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9525" yWindow="135" windowWidth="4725" windowHeight="8250"/>
  </bookViews>
  <sheets>
    <sheet name="Intro Checker" sheetId="10" r:id="rId1"/>
    <sheet name="RTA Manager" sheetId="4" state="hidden" r:id="rId2"/>
    <sheet name="Settings" sheetId="3" state="hidden" r:id="rId3"/>
    <sheet name="RTAimport" sheetId="5" state="hidden" r:id="rId4"/>
    <sheet name="PriorityLoad" sheetId="9" state="hidden" r:id="rId5"/>
    <sheet name="Report" sheetId="7" state="hidden" r:id="rId6"/>
  </sheets>
  <functionGroups builtInGroupCount="17"/>
  <definedNames>
    <definedName name="_xlnm._FilterDatabase" localSheetId="1" hidden="1">'RTA Manager'!$A$1:$C$1</definedName>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 localSheetId="0">#REF!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Manager'!$E:$H,'RTA Manager'!$M:$P,'RTA Manager'!$W:$AI,'RTA Manager'!$V:$V,'RTA Manager'!$S:$U,'RTA Manager'!$F:$F,'RTA Manager'!$G:$G,'RTA Manager'!$H:$H</definedName>
    <definedName name="DIcode">Settings!$D$17:$M$17</definedName>
    <definedName name="Digital_Infrastructure_Names" localSheetId="2" hidden="1">Settings!$E$29:$E$46</definedName>
    <definedName name="DIgroup">Settings!$D$19:$M$19</definedName>
    <definedName name="DIgroupDelim">Settings!$D$20:$M$20</definedName>
    <definedName name="DIlab">Settings!$D$16:$M$16</definedName>
    <definedName name="DIstate">Settings!$D$18:$M$18</definedName>
    <definedName name="DItype">Settings!$D$15:$M$15</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Settings!$D$29:$D$72</definedName>
    <definedName name="FullScreenMode">Settings!$Q$9</definedName>
    <definedName name="inProc">Settings!$O$9</definedName>
    <definedName name="ltRange">Settings!#REF!</definedName>
    <definedName name="nameQuery">'RTA Manager'!$I$4</definedName>
    <definedName name="Permanent_Monitoring_Names" localSheetId="2" hidden="1">Settings!$C$29:$C$53</definedName>
    <definedName name="pltRange">Settings!#REF!</definedName>
    <definedName name="PMcode">Settings!$D$5:$M$5</definedName>
    <definedName name="PMgroup">Settings!$D$7:$M$7</definedName>
    <definedName name="PMgroupDelim">Settings!$D$8:$M$8</definedName>
    <definedName name="PMlab">Settings!$D$4:$M$4</definedName>
    <definedName name="PMstate">Settings!$D$6:$M$6</definedName>
    <definedName name="PMThide">'RTA Manager'!$E$6:$E$1357,'RTA Manager'!$I$6:$I$1357,'RTA Manager'!$K$6:$Q$1357,'RTA Manager'!$S$6:$W$1357,'RTA Manager'!$X:$X,'RTA Manager'!$Y:$Y,'RTA Manager'!$Z:$Z</definedName>
    <definedName name="PMtype">Settings!$D$3:$M$3</definedName>
    <definedName name="_xlnm.Print_Area" localSheetId="1">'RTA Manager'!$A$5:$R$81</definedName>
    <definedName name="reportHide">'RTA Manager'!$E:$E,'RTA Manager'!$G:$G,'RTA Manager'!$G:$G,'RTA Manager'!$G:$H,'RTA Manager'!$K:$Q,'RTA Manager'!$S:$Z</definedName>
    <definedName name="rtaDatesHide">'RTA Manager'!$G:$K,'RTA Manager'!$M:$P,'RTA Manager'!$S:$W,'RTA Manager'!$J:$J,'RTA Manager'!$X:$X,'RTA Manager'!$Y:$Y,'RTA Manager'!$Z:$Z</definedName>
    <definedName name="schedHide">'RTA Manager'!$M:$P</definedName>
    <definedName name="Scode">Settings!$D$23:$M$23</definedName>
    <definedName name="Sgroup">Settings!$D$25:$M$25</definedName>
    <definedName name="SgroupDelim">Settings!$D$26:$M$26</definedName>
    <definedName name="sheetViewMode">Settings!$Q$3</definedName>
    <definedName name="showAll">'RTA Manager'!$M:$P</definedName>
    <definedName name="Slab">Settings!$D$22:$M$22</definedName>
    <definedName name="Software_Names" localSheetId="2" hidden="1">Settings!$F$29:$F$38</definedName>
    <definedName name="sortCol">Settings!$O$11</definedName>
    <definedName name="sortOrder">Settings!$Q$11</definedName>
    <definedName name="Sstate">Settings!$D$24:$M$24</definedName>
    <definedName name="streamer1">#REF!</definedName>
    <definedName name="streamer2">#REF!</definedName>
    <definedName name="Stype">Settings!$D$21:$M$21</definedName>
    <definedName name="trackRtaHide">'RTA Manager'!$E:$H,'RTA Manager'!$K:$Q,'RTA Manager'!$S:$S,'RTA Manager'!$T:$T,'RTA Manager'!$V:$W,'RTA Manager'!$X:$X</definedName>
    <definedName name="Unique_Depts" localSheetId="2" hidden="1">Settings!$G$28:$G$39</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Manager'!$B$5:$Z$1357</definedName>
  </definedNames>
  <calcPr calcId="145621"/>
</workbook>
</file>

<file path=xl/calcChain.xml><?xml version="1.0" encoding="utf-8"?>
<calcChain xmlns="http://schemas.openxmlformats.org/spreadsheetml/2006/main">
  <c r="H140" i="4" l="1"/>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110"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33" i="4"/>
  <c r="H254" i="4"/>
  <c r="H255" i="4"/>
  <c r="H256" i="4"/>
  <c r="H257" i="4"/>
  <c r="H258" i="4"/>
  <c r="H259" i="4"/>
  <c r="H260" i="4"/>
  <c r="H261" i="4"/>
  <c r="H262" i="4"/>
  <c r="H263" i="4"/>
  <c r="H264" i="4"/>
  <c r="H265" i="4"/>
  <c r="H266" i="4"/>
  <c r="H267" i="4"/>
  <c r="H268" i="4"/>
  <c r="H76"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6"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12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107" i="4"/>
  <c r="H424" i="4"/>
  <c r="H425" i="4"/>
  <c r="H426" i="4"/>
  <c r="H427" i="4"/>
  <c r="H428" i="4"/>
  <c r="H429" i="4"/>
  <c r="H430" i="4"/>
  <c r="H431" i="4"/>
  <c r="H432" i="4"/>
  <c r="H69"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86" i="4"/>
  <c r="H126" i="4"/>
  <c r="H91" i="4"/>
  <c r="H618" i="4"/>
  <c r="H619" i="4"/>
  <c r="H620" i="4"/>
  <c r="H621" i="4"/>
  <c r="H622" i="4"/>
  <c r="H623" i="4"/>
  <c r="H624" i="4"/>
  <c r="H625" i="4"/>
  <c r="H118"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97"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111"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112" i="4"/>
  <c r="H41"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7" i="4"/>
  <c r="H868" i="4"/>
  <c r="H869" i="4"/>
  <c r="H870" i="4"/>
  <c r="H871" i="4"/>
  <c r="H872" i="4"/>
  <c r="H873" i="4"/>
  <c r="H874" i="4"/>
  <c r="H875" i="4"/>
  <c r="H876" i="4"/>
  <c r="H877" i="4"/>
  <c r="H36"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79"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113" i="4"/>
  <c r="H975" i="4"/>
  <c r="H976" i="4"/>
  <c r="H977" i="4"/>
  <c r="H978" i="4"/>
  <c r="H979" i="4"/>
  <c r="H980" i="4"/>
  <c r="H981" i="4"/>
  <c r="H982" i="4"/>
  <c r="H983" i="4"/>
  <c r="H984" i="4"/>
  <c r="H985" i="4"/>
  <c r="H986" i="4"/>
  <c r="H987" i="4"/>
  <c r="H988" i="4"/>
  <c r="H989" i="4"/>
  <c r="H990" i="4"/>
  <c r="H991" i="4"/>
  <c r="H992" i="4"/>
  <c r="H993" i="4"/>
  <c r="H994" i="4"/>
  <c r="H995" i="4"/>
  <c r="H996" i="4"/>
  <c r="H80" i="4"/>
  <c r="H997" i="4"/>
  <c r="H998" i="4"/>
  <c r="H999" i="4"/>
  <c r="H1000" i="4"/>
  <c r="H1001" i="4"/>
  <c r="H1002" i="4"/>
  <c r="H68" i="4"/>
  <c r="H55"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8" i="4"/>
  <c r="H1061" i="4"/>
  <c r="H1062" i="4"/>
  <c r="H1063" i="4"/>
  <c r="H1064" i="4"/>
  <c r="H1065" i="4"/>
  <c r="H1066" i="4"/>
  <c r="H1067" i="4"/>
  <c r="H1068" i="4"/>
  <c r="H1069" i="4"/>
  <c r="H1070" i="4"/>
  <c r="H1071" i="4"/>
  <c r="H1072" i="4"/>
  <c r="H94" i="4"/>
  <c r="H1073" i="4"/>
  <c r="H1074" i="4"/>
  <c r="H1075" i="4"/>
  <c r="H16" i="4"/>
  <c r="H1076" i="4"/>
  <c r="H59" i="4"/>
  <c r="H1077" i="4"/>
  <c r="H1078" i="4"/>
  <c r="H1079" i="4"/>
  <c r="H1080" i="4"/>
  <c r="H1081" i="4"/>
  <c r="H1082" i="4"/>
  <c r="H1083" i="4"/>
  <c r="H1084" i="4"/>
  <c r="H1085" i="4"/>
  <c r="H1086" i="4"/>
  <c r="H1087" i="4"/>
  <c r="H1088" i="4"/>
  <c r="H1089" i="4"/>
  <c r="H1090" i="4"/>
  <c r="H1091" i="4"/>
  <c r="H1092" i="4"/>
  <c r="H1093" i="4"/>
  <c r="H1094" i="4"/>
  <c r="H1095" i="4"/>
  <c r="H1096" i="4"/>
  <c r="H1097" i="4"/>
  <c r="H104" i="4"/>
  <c r="H1098" i="4"/>
  <c r="H1099" i="4"/>
  <c r="H1100" i="4"/>
  <c r="H1101" i="4"/>
  <c r="H1102" i="4"/>
  <c r="H1103" i="4"/>
  <c r="H1104" i="4"/>
  <c r="H1105" i="4"/>
  <c r="H1106" i="4"/>
  <c r="H1107" i="4"/>
  <c r="H1108" i="4"/>
  <c r="H1109" i="4"/>
  <c r="H1110" i="4"/>
  <c r="H1111" i="4"/>
  <c r="H1112" i="4"/>
  <c r="H1113" i="4"/>
  <c r="H1114" i="4"/>
  <c r="H1115" i="4"/>
  <c r="H1116" i="4"/>
  <c r="H1117" i="4"/>
  <c r="H1118" i="4"/>
  <c r="H1119" i="4"/>
  <c r="H1120" i="4"/>
  <c r="H115"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66" i="4"/>
  <c r="H1167" i="4"/>
  <c r="H1168" i="4"/>
  <c r="H1169" i="4"/>
  <c r="H1170" i="4"/>
  <c r="H1171" i="4"/>
  <c r="H1172" i="4"/>
  <c r="H1173" i="4"/>
  <c r="H1174" i="4"/>
  <c r="H1175" i="4"/>
  <c r="H1176" i="4"/>
  <c r="H1177" i="4"/>
  <c r="H1178" i="4"/>
  <c r="H1179" i="4"/>
  <c r="H1180" i="4"/>
  <c r="H1181" i="4"/>
  <c r="H1182" i="4"/>
  <c r="H1183" i="4"/>
  <c r="H1184" i="4"/>
  <c r="H84" i="4"/>
  <c r="H1185" i="4"/>
  <c r="H1186" i="4"/>
  <c r="H38" i="4"/>
  <c r="H1187" i="4"/>
  <c r="H1188" i="4"/>
  <c r="H1189" i="4"/>
  <c r="H1190" i="4"/>
  <c r="H81" i="4"/>
  <c r="H1191" i="4"/>
  <c r="H1192" i="4"/>
  <c r="H1193" i="4"/>
  <c r="H1194" i="4"/>
  <c r="H1195" i="4"/>
  <c r="H1196" i="4"/>
  <c r="H135" i="4"/>
  <c r="H1197" i="4"/>
  <c r="H1198" i="4"/>
  <c r="H1199" i="4"/>
  <c r="H1200" i="4"/>
  <c r="H1201" i="4"/>
  <c r="H1202" i="4"/>
  <c r="H1203" i="4"/>
  <c r="H1204" i="4"/>
  <c r="H1205" i="4"/>
  <c r="H60" i="4"/>
  <c r="H128" i="4"/>
  <c r="H29" i="4"/>
  <c r="H1206" i="4"/>
  <c r="H1207" i="4"/>
  <c r="H1208" i="4"/>
  <c r="H1209" i="4"/>
  <c r="H1210" i="4"/>
  <c r="H1211" i="4"/>
  <c r="H1212" i="4"/>
  <c r="H1213" i="4"/>
  <c r="H1214" i="4"/>
  <c r="H1215" i="4"/>
  <c r="H1216" i="4"/>
  <c r="H1217" i="4"/>
  <c r="H124" i="4"/>
  <c r="H73" i="4"/>
  <c r="H108" i="4"/>
  <c r="H114" i="4"/>
  <c r="H1218" i="4"/>
  <c r="H1219" i="4"/>
  <c r="H1220" i="4"/>
  <c r="H1221" i="4"/>
  <c r="H1222" i="4"/>
  <c r="H1223" i="4"/>
  <c r="H1224" i="4"/>
  <c r="H1225" i="4"/>
  <c r="H1226" i="4"/>
  <c r="H1227" i="4"/>
  <c r="H1228" i="4"/>
  <c r="H1229" i="4"/>
  <c r="H1230" i="4"/>
  <c r="H1231" i="4"/>
  <c r="H1232" i="4"/>
  <c r="H1233" i="4"/>
  <c r="H1234" i="4"/>
  <c r="H1235" i="4"/>
  <c r="H1236" i="4"/>
  <c r="H1237" i="4"/>
  <c r="H116" i="4"/>
  <c r="H1238" i="4"/>
  <c r="H1239" i="4"/>
  <c r="H1240" i="4"/>
  <c r="H1241" i="4"/>
  <c r="H1242" i="4"/>
  <c r="H1243" i="4"/>
  <c r="H1244" i="4"/>
  <c r="H1245" i="4"/>
  <c r="H1246" i="4"/>
  <c r="H1247" i="4"/>
  <c r="H1248" i="4"/>
  <c r="H1249" i="4"/>
  <c r="H1250" i="4"/>
  <c r="H1251" i="4"/>
  <c r="H1252" i="4"/>
  <c r="H1253" i="4"/>
  <c r="H1254" i="4"/>
  <c r="H122" i="4"/>
  <c r="H1255" i="4"/>
  <c r="H1256" i="4"/>
  <c r="H1257" i="4"/>
  <c r="H1258" i="4"/>
  <c r="H95" i="4"/>
  <c r="H25" i="4"/>
  <c r="H1259" i="4"/>
  <c r="H9" i="4"/>
  <c r="H1260" i="4"/>
  <c r="H1261" i="4"/>
  <c r="H1262" i="4"/>
  <c r="H1263" i="4"/>
  <c r="H1264" i="4"/>
  <c r="H1265" i="4"/>
  <c r="H1266" i="4"/>
  <c r="H1267" i="4"/>
  <c r="H1268" i="4"/>
  <c r="H1269" i="4"/>
  <c r="H1270" i="4"/>
  <c r="H1271" i="4"/>
  <c r="H1272" i="4"/>
  <c r="H1273" i="4"/>
  <c r="H1274" i="4"/>
  <c r="H1275" i="4"/>
  <c r="H1276" i="4"/>
  <c r="H1277" i="4"/>
  <c r="H1278" i="4"/>
  <c r="H1279" i="4"/>
  <c r="H1280" i="4"/>
  <c r="H1281" i="4"/>
  <c r="H1282" i="4"/>
  <c r="H1283" i="4"/>
  <c r="H1284" i="4"/>
  <c r="H1285" i="4"/>
  <c r="H1286" i="4"/>
  <c r="H1287" i="4"/>
  <c r="H1288" i="4"/>
  <c r="H1289" i="4"/>
  <c r="H1290" i="4"/>
  <c r="H1291" i="4"/>
  <c r="H1292" i="4"/>
  <c r="H1293" i="4"/>
  <c r="H1294" i="4"/>
  <c r="H1295" i="4"/>
  <c r="H1296" i="4"/>
  <c r="H1297" i="4"/>
  <c r="H1298" i="4"/>
  <c r="H1299" i="4"/>
  <c r="H1300" i="4"/>
  <c r="H1301" i="4"/>
  <c r="H1302" i="4"/>
  <c r="H1303" i="4"/>
  <c r="H1304" i="4"/>
  <c r="H1305" i="4"/>
  <c r="H1306" i="4"/>
  <c r="H1307" i="4"/>
  <c r="H1308" i="4"/>
  <c r="H138" i="4"/>
  <c r="H1309" i="4"/>
  <c r="H1310" i="4"/>
  <c r="H1311" i="4"/>
  <c r="H1312" i="4"/>
  <c r="H1313" i="4"/>
  <c r="H10" i="4"/>
  <c r="H1314" i="4"/>
  <c r="H1315" i="4"/>
  <c r="H15" i="4"/>
  <c r="H1316" i="4"/>
  <c r="H39" i="4"/>
  <c r="H1317" i="4"/>
  <c r="H131" i="4"/>
  <c r="H129" i="4"/>
  <c r="H1318" i="4"/>
  <c r="H1319" i="4"/>
  <c r="H98" i="4"/>
  <c r="H1320" i="4"/>
  <c r="H56" i="4"/>
  <c r="H89" i="4"/>
  <c r="H17" i="4"/>
  <c r="H11" i="4"/>
  <c r="H99" i="4"/>
  <c r="H1321" i="4"/>
  <c r="H1322" i="4"/>
  <c r="H1323" i="4"/>
  <c r="H70" i="4"/>
  <c r="H45" i="4"/>
  <c r="H1324" i="4"/>
  <c r="H1325" i="4"/>
  <c r="H1326" i="4"/>
  <c r="H52" i="4"/>
  <c r="H26" i="4"/>
  <c r="H136" i="4"/>
  <c r="H137" i="4"/>
  <c r="H133" i="4"/>
  <c r="H134" i="4"/>
  <c r="H1327" i="4"/>
  <c r="H1328" i="4"/>
  <c r="H1329" i="4"/>
  <c r="H87" i="4"/>
  <c r="H30" i="4"/>
  <c r="H1330" i="4"/>
  <c r="H1331" i="4"/>
  <c r="H1332" i="4"/>
  <c r="H100" i="4"/>
  <c r="H37" i="4"/>
  <c r="H71" i="4"/>
  <c r="H1333" i="4"/>
  <c r="H1334" i="4"/>
  <c r="H74" i="4"/>
  <c r="H1335" i="4"/>
  <c r="H1336" i="4"/>
  <c r="H75" i="4"/>
  <c r="H1337" i="4"/>
  <c r="H1338" i="4"/>
  <c r="H77" i="4"/>
  <c r="H12" i="4"/>
  <c r="H18" i="4"/>
  <c r="H1339" i="4"/>
  <c r="H72" i="4"/>
  <c r="H1340" i="4"/>
  <c r="H27" i="4"/>
  <c r="H21" i="4"/>
  <c r="H1341" i="4"/>
  <c r="H1342" i="4"/>
  <c r="H1343" i="4"/>
  <c r="H139" i="4"/>
  <c r="H117" i="4"/>
  <c r="H119" i="4"/>
  <c r="H34" i="4"/>
  <c r="H106" i="4"/>
  <c r="H82" i="4"/>
  <c r="H1344" i="4"/>
  <c r="H1345" i="4"/>
  <c r="H1346" i="4"/>
  <c r="H102" i="4"/>
  <c r="H1347" i="4"/>
  <c r="H1348" i="4"/>
  <c r="H49" i="4"/>
  <c r="H1349" i="4"/>
  <c r="H53" i="4"/>
  <c r="H50" i="4"/>
  <c r="H13" i="4"/>
  <c r="H46" i="4"/>
  <c r="H42" i="4"/>
  <c r="H1350" i="4"/>
  <c r="H121" i="4"/>
  <c r="H1351" i="4"/>
  <c r="H40" i="4"/>
  <c r="H1352" i="4"/>
  <c r="H43" i="4"/>
  <c r="H47" i="4"/>
  <c r="H1353" i="4"/>
  <c r="H92" i="4"/>
  <c r="H22" i="4"/>
  <c r="H48" i="4"/>
  <c r="H63" i="4"/>
  <c r="H57" i="4"/>
  <c r="H61" i="4"/>
  <c r="H65" i="4"/>
  <c r="H62" i="4"/>
  <c r="H31" i="4"/>
  <c r="H35" i="4"/>
  <c r="H58" i="4"/>
  <c r="H44" i="4"/>
  <c r="H14" i="4"/>
  <c r="H64" i="4"/>
  <c r="H19" i="4"/>
  <c r="H66" i="4"/>
  <c r="H54" i="4"/>
  <c r="H23" i="4"/>
  <c r="H78" i="4"/>
  <c r="H51" i="4"/>
  <c r="H24" i="4"/>
  <c r="H132" i="4"/>
  <c r="H105" i="4"/>
  <c r="H127" i="4"/>
  <c r="H109" i="4"/>
  <c r="H130" i="4"/>
  <c r="H28" i="4"/>
  <c r="H1354" i="4"/>
  <c r="H93" i="4"/>
  <c r="H88" i="4"/>
  <c r="H90" i="4"/>
  <c r="H1355" i="4"/>
  <c r="H96" i="4"/>
  <c r="H83" i="4"/>
  <c r="H67" i="4"/>
  <c r="H103" i="4"/>
  <c r="H101" i="4"/>
  <c r="H125" i="4"/>
  <c r="H85" i="4"/>
  <c r="H123" i="4"/>
  <c r="H1356" i="4"/>
  <c r="H1357" i="4"/>
  <c r="H20" i="4"/>
  <c r="H32"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110"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33" i="4"/>
  <c r="M254" i="4"/>
  <c r="M255" i="4"/>
  <c r="M256" i="4"/>
  <c r="M257" i="4"/>
  <c r="M258" i="4"/>
  <c r="M259" i="4"/>
  <c r="M260" i="4"/>
  <c r="M261" i="4"/>
  <c r="M262" i="4"/>
  <c r="M263" i="4"/>
  <c r="M264" i="4"/>
  <c r="M265" i="4"/>
  <c r="M266" i="4"/>
  <c r="M267" i="4"/>
  <c r="M268" i="4"/>
  <c r="M76"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6"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12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107" i="4"/>
  <c r="M424" i="4"/>
  <c r="M425" i="4"/>
  <c r="M426" i="4"/>
  <c r="M427" i="4"/>
  <c r="M428" i="4"/>
  <c r="M429" i="4"/>
  <c r="M430" i="4"/>
  <c r="M431" i="4"/>
  <c r="M432" i="4"/>
  <c r="M69"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86" i="4"/>
  <c r="M126" i="4"/>
  <c r="M91" i="4"/>
  <c r="M618" i="4"/>
  <c r="M619" i="4"/>
  <c r="M620" i="4"/>
  <c r="M621" i="4"/>
  <c r="M622" i="4"/>
  <c r="M623" i="4"/>
  <c r="M624" i="4"/>
  <c r="M625" i="4"/>
  <c r="M118"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97"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111"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112" i="4"/>
  <c r="M41"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7" i="4"/>
  <c r="M868" i="4"/>
  <c r="M869" i="4"/>
  <c r="M870" i="4"/>
  <c r="M871" i="4"/>
  <c r="M872" i="4"/>
  <c r="M873" i="4"/>
  <c r="M874" i="4"/>
  <c r="M875" i="4"/>
  <c r="M876" i="4"/>
  <c r="M877" i="4"/>
  <c r="M36"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79"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113" i="4"/>
  <c r="M975" i="4"/>
  <c r="M976" i="4"/>
  <c r="M977" i="4"/>
  <c r="M978" i="4"/>
  <c r="M979" i="4"/>
  <c r="M980" i="4"/>
  <c r="M981" i="4"/>
  <c r="M982" i="4"/>
  <c r="M983" i="4"/>
  <c r="M984" i="4"/>
  <c r="M985" i="4"/>
  <c r="M986" i="4"/>
  <c r="M987" i="4"/>
  <c r="M988" i="4"/>
  <c r="M989" i="4"/>
  <c r="M990" i="4"/>
  <c r="M991" i="4"/>
  <c r="M992" i="4"/>
  <c r="M993" i="4"/>
  <c r="M994" i="4"/>
  <c r="M995" i="4"/>
  <c r="M996" i="4"/>
  <c r="M80" i="4"/>
  <c r="M997" i="4"/>
  <c r="M998" i="4"/>
  <c r="M999" i="4"/>
  <c r="M1000" i="4"/>
  <c r="M1001" i="4"/>
  <c r="M1002" i="4"/>
  <c r="M68" i="4"/>
  <c r="M55"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1054" i="4"/>
  <c r="M1055" i="4"/>
  <c r="M1056" i="4"/>
  <c r="M1057" i="4"/>
  <c r="M1058" i="4"/>
  <c r="M1059" i="4"/>
  <c r="M1060" i="4"/>
  <c r="M8" i="4"/>
  <c r="M1061" i="4"/>
  <c r="M1062" i="4"/>
  <c r="M1063" i="4"/>
  <c r="M1064" i="4"/>
  <c r="M1065" i="4"/>
  <c r="M1066" i="4"/>
  <c r="M1067" i="4"/>
  <c r="M1068" i="4"/>
  <c r="M1069" i="4"/>
  <c r="M1070" i="4"/>
  <c r="M1071" i="4"/>
  <c r="M1072" i="4"/>
  <c r="M94" i="4"/>
  <c r="M1073" i="4"/>
  <c r="M1074" i="4"/>
  <c r="M1075" i="4"/>
  <c r="M16" i="4"/>
  <c r="M1076" i="4"/>
  <c r="M59" i="4"/>
  <c r="M1077" i="4"/>
  <c r="M1078" i="4"/>
  <c r="M1079" i="4"/>
  <c r="M1080" i="4"/>
  <c r="M1081" i="4"/>
  <c r="M1082" i="4"/>
  <c r="M1083" i="4"/>
  <c r="M1084" i="4"/>
  <c r="M1085" i="4"/>
  <c r="M1086" i="4"/>
  <c r="M1087" i="4"/>
  <c r="M1088" i="4"/>
  <c r="M1089" i="4"/>
  <c r="M1090" i="4"/>
  <c r="M1091" i="4"/>
  <c r="M1092" i="4"/>
  <c r="M1093" i="4"/>
  <c r="M1094" i="4"/>
  <c r="M1095" i="4"/>
  <c r="M1096" i="4"/>
  <c r="M1097" i="4"/>
  <c r="M104" i="4"/>
  <c r="M1098" i="4"/>
  <c r="M1099" i="4"/>
  <c r="M1100" i="4"/>
  <c r="M1101" i="4"/>
  <c r="M1102" i="4"/>
  <c r="M1103" i="4"/>
  <c r="M1104" i="4"/>
  <c r="M1105" i="4"/>
  <c r="M1106" i="4"/>
  <c r="M1107" i="4"/>
  <c r="M1108" i="4"/>
  <c r="M1109" i="4"/>
  <c r="M1110" i="4"/>
  <c r="M1111" i="4"/>
  <c r="M1112" i="4"/>
  <c r="M1113" i="4"/>
  <c r="M1114" i="4"/>
  <c r="M1115" i="4"/>
  <c r="M1116" i="4"/>
  <c r="M1117" i="4"/>
  <c r="M1118" i="4"/>
  <c r="M1119" i="4"/>
  <c r="M1120" i="4"/>
  <c r="M115"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1171" i="4"/>
  <c r="M1172" i="4"/>
  <c r="M1173" i="4"/>
  <c r="M1174" i="4"/>
  <c r="M1175" i="4"/>
  <c r="M1176" i="4"/>
  <c r="M1177" i="4"/>
  <c r="M1178" i="4"/>
  <c r="M1179" i="4"/>
  <c r="M1180" i="4"/>
  <c r="M1181" i="4"/>
  <c r="M1182" i="4"/>
  <c r="M1183" i="4"/>
  <c r="M1184" i="4"/>
  <c r="M84" i="4"/>
  <c r="M1185" i="4"/>
  <c r="M1186" i="4"/>
  <c r="M38" i="4"/>
  <c r="M1187" i="4"/>
  <c r="M1188" i="4"/>
  <c r="M1189" i="4"/>
  <c r="M1190" i="4"/>
  <c r="M81" i="4"/>
  <c r="M1191" i="4"/>
  <c r="M1192" i="4"/>
  <c r="M1193" i="4"/>
  <c r="M1194" i="4"/>
  <c r="M1195" i="4"/>
  <c r="M1196" i="4"/>
  <c r="M135" i="4"/>
  <c r="M1197" i="4"/>
  <c r="M1198" i="4"/>
  <c r="M1199" i="4"/>
  <c r="M1200" i="4"/>
  <c r="M1201" i="4"/>
  <c r="M1202" i="4"/>
  <c r="M1203" i="4"/>
  <c r="M1204" i="4"/>
  <c r="M1205" i="4"/>
  <c r="M60" i="4"/>
  <c r="M128" i="4"/>
  <c r="M29" i="4"/>
  <c r="M1206" i="4"/>
  <c r="M1207" i="4"/>
  <c r="M1208" i="4"/>
  <c r="M1209" i="4"/>
  <c r="M1210" i="4"/>
  <c r="M1211" i="4"/>
  <c r="M1212" i="4"/>
  <c r="M1213" i="4"/>
  <c r="M1214" i="4"/>
  <c r="M1215" i="4"/>
  <c r="M1216" i="4"/>
  <c r="M1217" i="4"/>
  <c r="M124" i="4"/>
  <c r="M73" i="4"/>
  <c r="M108" i="4"/>
  <c r="M114" i="4"/>
  <c r="M1218" i="4"/>
  <c r="M1219" i="4"/>
  <c r="M1220" i="4"/>
  <c r="M1221" i="4"/>
  <c r="M1222" i="4"/>
  <c r="M1223" i="4"/>
  <c r="M1224" i="4"/>
  <c r="M1225" i="4"/>
  <c r="M1226" i="4"/>
  <c r="M1227" i="4"/>
  <c r="M1228" i="4"/>
  <c r="M1229" i="4"/>
  <c r="M1230" i="4"/>
  <c r="M1231" i="4"/>
  <c r="M1232" i="4"/>
  <c r="M1233" i="4"/>
  <c r="M1234" i="4"/>
  <c r="M1235" i="4"/>
  <c r="M1236" i="4"/>
  <c r="M1237" i="4"/>
  <c r="M116" i="4"/>
  <c r="M1238" i="4"/>
  <c r="M1239" i="4"/>
  <c r="M1240" i="4"/>
  <c r="M1241" i="4"/>
  <c r="M1242" i="4"/>
  <c r="M1243" i="4"/>
  <c r="M1244" i="4"/>
  <c r="M1245" i="4"/>
  <c r="M1246" i="4"/>
  <c r="M1247" i="4"/>
  <c r="M1248" i="4"/>
  <c r="M1249" i="4"/>
  <c r="M1250" i="4"/>
  <c r="M1251" i="4"/>
  <c r="M1252" i="4"/>
  <c r="M1253" i="4"/>
  <c r="M1254" i="4"/>
  <c r="M122" i="4"/>
  <c r="M1255" i="4"/>
  <c r="M1256" i="4"/>
  <c r="M1257" i="4"/>
  <c r="M1258" i="4"/>
  <c r="M95" i="4"/>
  <c r="M25" i="4"/>
  <c r="M1259" i="4"/>
  <c r="M9" i="4"/>
  <c r="M1260" i="4"/>
  <c r="M1261" i="4"/>
  <c r="M1262" i="4"/>
  <c r="M1263" i="4"/>
  <c r="M1264" i="4"/>
  <c r="M1265" i="4"/>
  <c r="M1266" i="4"/>
  <c r="M1267" i="4"/>
  <c r="M1268" i="4"/>
  <c r="M1269" i="4"/>
  <c r="M1270" i="4"/>
  <c r="M1271" i="4"/>
  <c r="M1272" i="4"/>
  <c r="M1273" i="4"/>
  <c r="M1274" i="4"/>
  <c r="M1275" i="4"/>
  <c r="M1276" i="4"/>
  <c r="M1277" i="4"/>
  <c r="M1278" i="4"/>
  <c r="M1279" i="4"/>
  <c r="M1280" i="4"/>
  <c r="M1281" i="4"/>
  <c r="M1282" i="4"/>
  <c r="M1283" i="4"/>
  <c r="M1284" i="4"/>
  <c r="M1285" i="4"/>
  <c r="M1286" i="4"/>
  <c r="M1287" i="4"/>
  <c r="M1288" i="4"/>
  <c r="M1289" i="4"/>
  <c r="M1290" i="4"/>
  <c r="M1291" i="4"/>
  <c r="M1292" i="4"/>
  <c r="M1293" i="4"/>
  <c r="M1294" i="4"/>
  <c r="M1295" i="4"/>
  <c r="M1296" i="4"/>
  <c r="M1297" i="4"/>
  <c r="M1298" i="4"/>
  <c r="M1299" i="4"/>
  <c r="M1300" i="4"/>
  <c r="M1301" i="4"/>
  <c r="M1302" i="4"/>
  <c r="M1303" i="4"/>
  <c r="M1304" i="4"/>
  <c r="M1305" i="4"/>
  <c r="M1306" i="4"/>
  <c r="M1307" i="4"/>
  <c r="M1308" i="4"/>
  <c r="M138" i="4"/>
  <c r="M1309" i="4"/>
  <c r="M1310" i="4"/>
  <c r="M1311" i="4"/>
  <c r="M1312" i="4"/>
  <c r="M1313" i="4"/>
  <c r="M10" i="4"/>
  <c r="M1314" i="4"/>
  <c r="M1315" i="4"/>
  <c r="M15" i="4"/>
  <c r="M1316" i="4"/>
  <c r="M39" i="4"/>
  <c r="M1317" i="4"/>
  <c r="M131" i="4"/>
  <c r="M129" i="4"/>
  <c r="M1318" i="4"/>
  <c r="M1319" i="4"/>
  <c r="M98" i="4"/>
  <c r="M1320" i="4"/>
  <c r="M56" i="4"/>
  <c r="M89" i="4"/>
  <c r="M17" i="4"/>
  <c r="M11" i="4"/>
  <c r="M99" i="4"/>
  <c r="M1321" i="4"/>
  <c r="M1322" i="4"/>
  <c r="M1323" i="4"/>
  <c r="M70" i="4"/>
  <c r="M45" i="4"/>
  <c r="M1324" i="4"/>
  <c r="M1325" i="4"/>
  <c r="M1326" i="4"/>
  <c r="M52" i="4"/>
  <c r="M26" i="4"/>
  <c r="M136" i="4"/>
  <c r="M137" i="4"/>
  <c r="M133" i="4"/>
  <c r="M134" i="4"/>
  <c r="M1327" i="4"/>
  <c r="M1328" i="4"/>
  <c r="M1329" i="4"/>
  <c r="M87" i="4"/>
  <c r="M30" i="4"/>
  <c r="M1330" i="4"/>
  <c r="M1331" i="4"/>
  <c r="M1332" i="4"/>
  <c r="M100" i="4"/>
  <c r="M37" i="4"/>
  <c r="M71" i="4"/>
  <c r="M1333" i="4"/>
  <c r="M1334" i="4"/>
  <c r="M74" i="4"/>
  <c r="M1335" i="4"/>
  <c r="M1336" i="4"/>
  <c r="M75" i="4"/>
  <c r="M1337" i="4"/>
  <c r="M1338" i="4"/>
  <c r="M77" i="4"/>
  <c r="M12" i="4"/>
  <c r="M18" i="4"/>
  <c r="M1339" i="4"/>
  <c r="M72" i="4"/>
  <c r="M1340" i="4"/>
  <c r="M27" i="4"/>
  <c r="M21" i="4"/>
  <c r="M1341" i="4"/>
  <c r="M1342" i="4"/>
  <c r="M1343" i="4"/>
  <c r="M139" i="4"/>
  <c r="M117" i="4"/>
  <c r="M119" i="4"/>
  <c r="M34" i="4"/>
  <c r="M106" i="4"/>
  <c r="M82" i="4"/>
  <c r="M1344" i="4"/>
  <c r="M1345" i="4"/>
  <c r="M1346" i="4"/>
  <c r="M102" i="4"/>
  <c r="M1347" i="4"/>
  <c r="M1348" i="4"/>
  <c r="M49" i="4"/>
  <c r="M1349" i="4"/>
  <c r="M53" i="4"/>
  <c r="M50" i="4"/>
  <c r="M13" i="4"/>
  <c r="M46" i="4"/>
  <c r="M42" i="4"/>
  <c r="M1350" i="4"/>
  <c r="M121" i="4"/>
  <c r="M1351" i="4"/>
  <c r="M40" i="4"/>
  <c r="M1352" i="4"/>
  <c r="M43" i="4"/>
  <c r="M47" i="4"/>
  <c r="M1353" i="4"/>
  <c r="M92" i="4"/>
  <c r="M22" i="4"/>
  <c r="M48" i="4"/>
  <c r="M63" i="4"/>
  <c r="M57" i="4"/>
  <c r="M61" i="4"/>
  <c r="M65" i="4"/>
  <c r="M62" i="4"/>
  <c r="M31" i="4"/>
  <c r="M35" i="4"/>
  <c r="M58" i="4"/>
  <c r="M44" i="4"/>
  <c r="M14" i="4"/>
  <c r="M64" i="4"/>
  <c r="M19" i="4"/>
  <c r="M66" i="4"/>
  <c r="M54" i="4"/>
  <c r="M23" i="4"/>
  <c r="M78" i="4"/>
  <c r="M51" i="4"/>
  <c r="M24" i="4"/>
  <c r="M132" i="4"/>
  <c r="M105" i="4"/>
  <c r="M127" i="4"/>
  <c r="M109" i="4"/>
  <c r="M130" i="4"/>
  <c r="M28" i="4"/>
  <c r="M1354" i="4"/>
  <c r="M93" i="4"/>
  <c r="M88" i="4"/>
  <c r="M90" i="4"/>
  <c r="M1355" i="4"/>
  <c r="M96" i="4"/>
  <c r="M83" i="4"/>
  <c r="M67" i="4"/>
  <c r="M103" i="4"/>
  <c r="M101" i="4"/>
  <c r="M125" i="4"/>
  <c r="M85" i="4"/>
  <c r="M123" i="4"/>
  <c r="M1356" i="4"/>
  <c r="M1357" i="4"/>
  <c r="M20" i="4"/>
  <c r="M32"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110"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33" i="4"/>
  <c r="N254" i="4"/>
  <c r="N255" i="4"/>
  <c r="N256" i="4"/>
  <c r="N257" i="4"/>
  <c r="N258" i="4"/>
  <c r="N259" i="4"/>
  <c r="N260" i="4"/>
  <c r="N261" i="4"/>
  <c r="N262" i="4"/>
  <c r="N263" i="4"/>
  <c r="N264" i="4"/>
  <c r="N265" i="4"/>
  <c r="N266" i="4"/>
  <c r="N267" i="4"/>
  <c r="N268" i="4"/>
  <c r="N76"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6"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12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107" i="4"/>
  <c r="N424" i="4"/>
  <c r="N425" i="4"/>
  <c r="N426" i="4"/>
  <c r="N427" i="4"/>
  <c r="N428" i="4"/>
  <c r="N429" i="4"/>
  <c r="N430" i="4"/>
  <c r="N431" i="4"/>
  <c r="N432" i="4"/>
  <c r="N69"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86" i="4"/>
  <c r="N126" i="4"/>
  <c r="N91" i="4"/>
  <c r="N618" i="4"/>
  <c r="N619" i="4"/>
  <c r="N620" i="4"/>
  <c r="N621" i="4"/>
  <c r="N622" i="4"/>
  <c r="N623" i="4"/>
  <c r="N624" i="4"/>
  <c r="N625" i="4"/>
  <c r="N118"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97"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111"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112" i="4"/>
  <c r="N41"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7" i="4"/>
  <c r="N868" i="4"/>
  <c r="N869" i="4"/>
  <c r="N870" i="4"/>
  <c r="N871" i="4"/>
  <c r="N872" i="4"/>
  <c r="N873" i="4"/>
  <c r="N874" i="4"/>
  <c r="N875" i="4"/>
  <c r="N876" i="4"/>
  <c r="N877" i="4"/>
  <c r="N36"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79"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113" i="4"/>
  <c r="N975" i="4"/>
  <c r="N976" i="4"/>
  <c r="N977" i="4"/>
  <c r="N978" i="4"/>
  <c r="N979" i="4"/>
  <c r="N980" i="4"/>
  <c r="N981" i="4"/>
  <c r="N982" i="4"/>
  <c r="N983" i="4"/>
  <c r="N984" i="4"/>
  <c r="N985" i="4"/>
  <c r="N986" i="4"/>
  <c r="N987" i="4"/>
  <c r="N988" i="4"/>
  <c r="N989" i="4"/>
  <c r="N990" i="4"/>
  <c r="N991" i="4"/>
  <c r="N992" i="4"/>
  <c r="N993" i="4"/>
  <c r="N994" i="4"/>
  <c r="N995" i="4"/>
  <c r="N996" i="4"/>
  <c r="N80" i="4"/>
  <c r="N997" i="4"/>
  <c r="N998" i="4"/>
  <c r="N999" i="4"/>
  <c r="N1000" i="4"/>
  <c r="N1001" i="4"/>
  <c r="N1002" i="4"/>
  <c r="N68" i="4"/>
  <c r="N55" i="4"/>
  <c r="N1003" i="4"/>
  <c r="N1004" i="4"/>
  <c r="N1005" i="4"/>
  <c r="N1006" i="4"/>
  <c r="N1007" i="4"/>
  <c r="N1008" i="4"/>
  <c r="N1009" i="4"/>
  <c r="N1010"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1048" i="4"/>
  <c r="N1049" i="4"/>
  <c r="N1050" i="4"/>
  <c r="N1051" i="4"/>
  <c r="N1052" i="4"/>
  <c r="N1053" i="4"/>
  <c r="N1054" i="4"/>
  <c r="N1055" i="4"/>
  <c r="N1056" i="4"/>
  <c r="N1057" i="4"/>
  <c r="N1058" i="4"/>
  <c r="N1059" i="4"/>
  <c r="N1060" i="4"/>
  <c r="N8" i="4"/>
  <c r="N1061" i="4"/>
  <c r="N1062" i="4"/>
  <c r="N1063" i="4"/>
  <c r="N1064" i="4"/>
  <c r="N1065" i="4"/>
  <c r="N1066" i="4"/>
  <c r="N1067" i="4"/>
  <c r="N1068" i="4"/>
  <c r="N1069" i="4"/>
  <c r="N1070" i="4"/>
  <c r="N1071" i="4"/>
  <c r="N1072" i="4"/>
  <c r="N94" i="4"/>
  <c r="N1073" i="4"/>
  <c r="N1074" i="4"/>
  <c r="N1075" i="4"/>
  <c r="N16" i="4"/>
  <c r="N1076" i="4"/>
  <c r="N59" i="4"/>
  <c r="N1077" i="4"/>
  <c r="N1078" i="4"/>
  <c r="N1079" i="4"/>
  <c r="N1080" i="4"/>
  <c r="N1081" i="4"/>
  <c r="N1082" i="4"/>
  <c r="N1083" i="4"/>
  <c r="N1084" i="4"/>
  <c r="N1085" i="4"/>
  <c r="N1086" i="4"/>
  <c r="N1087" i="4"/>
  <c r="N1088" i="4"/>
  <c r="N1089" i="4"/>
  <c r="N1090" i="4"/>
  <c r="N1091" i="4"/>
  <c r="N1092" i="4"/>
  <c r="N1093" i="4"/>
  <c r="N1094" i="4"/>
  <c r="N1095" i="4"/>
  <c r="N1096" i="4"/>
  <c r="N1097" i="4"/>
  <c r="N104" i="4"/>
  <c r="N1098" i="4"/>
  <c r="N1099" i="4"/>
  <c r="N1100" i="4"/>
  <c r="N1101" i="4"/>
  <c r="N1102" i="4"/>
  <c r="N1103" i="4"/>
  <c r="N1104" i="4"/>
  <c r="N1105" i="4"/>
  <c r="N1106" i="4"/>
  <c r="N1107" i="4"/>
  <c r="N1108" i="4"/>
  <c r="N1109" i="4"/>
  <c r="N1110" i="4"/>
  <c r="N1111" i="4"/>
  <c r="N1112" i="4"/>
  <c r="N1113" i="4"/>
  <c r="N1114" i="4"/>
  <c r="N1115" i="4"/>
  <c r="N1116" i="4"/>
  <c r="N1117" i="4"/>
  <c r="N1118" i="4"/>
  <c r="N1119" i="4"/>
  <c r="N1120" i="4"/>
  <c r="N115" i="4"/>
  <c r="N1121" i="4"/>
  <c r="N1122" i="4"/>
  <c r="N1123" i="4"/>
  <c r="N1124" i="4"/>
  <c r="N1125" i="4"/>
  <c r="N1126" i="4"/>
  <c r="N1127" i="4"/>
  <c r="N1128" i="4"/>
  <c r="N1129" i="4"/>
  <c r="N1130" i="4"/>
  <c r="N1131" i="4"/>
  <c r="N1132" i="4"/>
  <c r="N1133" i="4"/>
  <c r="N1134" i="4"/>
  <c r="N1135" i="4"/>
  <c r="N1136" i="4"/>
  <c r="N1137" i="4"/>
  <c r="N1138" i="4"/>
  <c r="N1139" i="4"/>
  <c r="N1140" i="4"/>
  <c r="N1141" i="4"/>
  <c r="N1142" i="4"/>
  <c r="N1143" i="4"/>
  <c r="N1144" i="4"/>
  <c r="N1145" i="4"/>
  <c r="N1146" i="4"/>
  <c r="N1147" i="4"/>
  <c r="N1148" i="4"/>
  <c r="N1149" i="4"/>
  <c r="N1150" i="4"/>
  <c r="N1151" i="4"/>
  <c r="N1152" i="4"/>
  <c r="N1153" i="4"/>
  <c r="N1154" i="4"/>
  <c r="N1155" i="4"/>
  <c r="N1156" i="4"/>
  <c r="N1157" i="4"/>
  <c r="N1158" i="4"/>
  <c r="N1159" i="4"/>
  <c r="N1160" i="4"/>
  <c r="N1161" i="4"/>
  <c r="N1162" i="4"/>
  <c r="N1163" i="4"/>
  <c r="N1164" i="4"/>
  <c r="N1165" i="4"/>
  <c r="N1166" i="4"/>
  <c r="N1167" i="4"/>
  <c r="N1168" i="4"/>
  <c r="N1169" i="4"/>
  <c r="N1170" i="4"/>
  <c r="N1171" i="4"/>
  <c r="N1172" i="4"/>
  <c r="N1173" i="4"/>
  <c r="N1174" i="4"/>
  <c r="N1175" i="4"/>
  <c r="N1176" i="4"/>
  <c r="N1177" i="4"/>
  <c r="N1178" i="4"/>
  <c r="N1179" i="4"/>
  <c r="N1180" i="4"/>
  <c r="N1181" i="4"/>
  <c r="N1182" i="4"/>
  <c r="N1183" i="4"/>
  <c r="N1184" i="4"/>
  <c r="N84" i="4"/>
  <c r="N1185" i="4"/>
  <c r="N1186" i="4"/>
  <c r="N38" i="4"/>
  <c r="N1187" i="4"/>
  <c r="N1188" i="4"/>
  <c r="N1189" i="4"/>
  <c r="N1190" i="4"/>
  <c r="N81" i="4"/>
  <c r="N1191" i="4"/>
  <c r="N1192" i="4"/>
  <c r="N1193" i="4"/>
  <c r="N1194" i="4"/>
  <c r="N1195" i="4"/>
  <c r="N1196" i="4"/>
  <c r="N135" i="4"/>
  <c r="N1197" i="4"/>
  <c r="N1198" i="4"/>
  <c r="N1199" i="4"/>
  <c r="N1200" i="4"/>
  <c r="N1201" i="4"/>
  <c r="N1202" i="4"/>
  <c r="N1203" i="4"/>
  <c r="N1204" i="4"/>
  <c r="N1205" i="4"/>
  <c r="N60" i="4"/>
  <c r="N128" i="4"/>
  <c r="N29" i="4"/>
  <c r="N1206" i="4"/>
  <c r="N1207" i="4"/>
  <c r="N1208" i="4"/>
  <c r="N1209" i="4"/>
  <c r="N1210" i="4"/>
  <c r="N1211" i="4"/>
  <c r="N1212" i="4"/>
  <c r="N1213" i="4"/>
  <c r="N1214" i="4"/>
  <c r="N1215" i="4"/>
  <c r="N1216" i="4"/>
  <c r="N1217" i="4"/>
  <c r="N124" i="4"/>
  <c r="N73" i="4"/>
  <c r="N108" i="4"/>
  <c r="N114" i="4"/>
  <c r="N1218" i="4"/>
  <c r="N1219" i="4"/>
  <c r="N1220" i="4"/>
  <c r="N1221" i="4"/>
  <c r="N1222" i="4"/>
  <c r="N1223" i="4"/>
  <c r="N1224" i="4"/>
  <c r="N1225" i="4"/>
  <c r="N1226" i="4"/>
  <c r="N1227" i="4"/>
  <c r="N1228" i="4"/>
  <c r="N1229" i="4"/>
  <c r="N1230" i="4"/>
  <c r="N1231" i="4"/>
  <c r="N1232" i="4"/>
  <c r="N1233" i="4"/>
  <c r="N1234" i="4"/>
  <c r="N1235" i="4"/>
  <c r="N1236" i="4"/>
  <c r="N1237" i="4"/>
  <c r="N116" i="4"/>
  <c r="N1238" i="4"/>
  <c r="N1239" i="4"/>
  <c r="N1240" i="4"/>
  <c r="N1241" i="4"/>
  <c r="N1242" i="4"/>
  <c r="N1243" i="4"/>
  <c r="N1244" i="4"/>
  <c r="N1245" i="4"/>
  <c r="N1246" i="4"/>
  <c r="N1247" i="4"/>
  <c r="N1248" i="4"/>
  <c r="N1249" i="4"/>
  <c r="N1250" i="4"/>
  <c r="N1251" i="4"/>
  <c r="N1252" i="4"/>
  <c r="N1253" i="4"/>
  <c r="N1254" i="4"/>
  <c r="N122" i="4"/>
  <c r="N1255" i="4"/>
  <c r="N1256" i="4"/>
  <c r="N1257" i="4"/>
  <c r="N1258" i="4"/>
  <c r="N95" i="4"/>
  <c r="N25" i="4"/>
  <c r="N1259" i="4"/>
  <c r="N9" i="4"/>
  <c r="N1260" i="4"/>
  <c r="N1261" i="4"/>
  <c r="N1262" i="4"/>
  <c r="N1263" i="4"/>
  <c r="N1264" i="4"/>
  <c r="N1265" i="4"/>
  <c r="N1266" i="4"/>
  <c r="N1267" i="4"/>
  <c r="N1268" i="4"/>
  <c r="N1269" i="4"/>
  <c r="N1270" i="4"/>
  <c r="N1271" i="4"/>
  <c r="N1272" i="4"/>
  <c r="N1273" i="4"/>
  <c r="N1274" i="4"/>
  <c r="N1275" i="4"/>
  <c r="N1276" i="4"/>
  <c r="N1277" i="4"/>
  <c r="N1278" i="4"/>
  <c r="N1279" i="4"/>
  <c r="N1280" i="4"/>
  <c r="N1281" i="4"/>
  <c r="N1282" i="4"/>
  <c r="N1283" i="4"/>
  <c r="N1284" i="4"/>
  <c r="N1285" i="4"/>
  <c r="N1286" i="4"/>
  <c r="N1287" i="4"/>
  <c r="N1288" i="4"/>
  <c r="N1289" i="4"/>
  <c r="N1290" i="4"/>
  <c r="N1291" i="4"/>
  <c r="N1292" i="4"/>
  <c r="N1293" i="4"/>
  <c r="N1294" i="4"/>
  <c r="N1295" i="4"/>
  <c r="N1296" i="4"/>
  <c r="N1297" i="4"/>
  <c r="N1298" i="4"/>
  <c r="N1299" i="4"/>
  <c r="N1300" i="4"/>
  <c r="N1301" i="4"/>
  <c r="N1302" i="4"/>
  <c r="N1303" i="4"/>
  <c r="N1304" i="4"/>
  <c r="N1305" i="4"/>
  <c r="N1306" i="4"/>
  <c r="N1307" i="4"/>
  <c r="N1308" i="4"/>
  <c r="N138" i="4"/>
  <c r="N1309" i="4"/>
  <c r="N1310" i="4"/>
  <c r="N1311" i="4"/>
  <c r="N1312" i="4"/>
  <c r="N1313" i="4"/>
  <c r="N10" i="4"/>
  <c r="N1314" i="4"/>
  <c r="N1315" i="4"/>
  <c r="N15" i="4"/>
  <c r="N1316" i="4"/>
  <c r="N39" i="4"/>
  <c r="N1317" i="4"/>
  <c r="N131" i="4"/>
  <c r="N129" i="4"/>
  <c r="N1318" i="4"/>
  <c r="N1319" i="4"/>
  <c r="N98" i="4"/>
  <c r="N1320" i="4"/>
  <c r="N56" i="4"/>
  <c r="N89" i="4"/>
  <c r="N17" i="4"/>
  <c r="N11" i="4"/>
  <c r="N99" i="4"/>
  <c r="N1321" i="4"/>
  <c r="N1322" i="4"/>
  <c r="N1323" i="4"/>
  <c r="N70" i="4"/>
  <c r="N45" i="4"/>
  <c r="N1324" i="4"/>
  <c r="N1325" i="4"/>
  <c r="N1326" i="4"/>
  <c r="N52" i="4"/>
  <c r="N26" i="4"/>
  <c r="N136" i="4"/>
  <c r="N137" i="4"/>
  <c r="N133" i="4"/>
  <c r="N134" i="4"/>
  <c r="N1327" i="4"/>
  <c r="N1328" i="4"/>
  <c r="N1329" i="4"/>
  <c r="N87" i="4"/>
  <c r="N30" i="4"/>
  <c r="N1330" i="4"/>
  <c r="N1331" i="4"/>
  <c r="N1332" i="4"/>
  <c r="N100" i="4"/>
  <c r="N37" i="4"/>
  <c r="N71" i="4"/>
  <c r="N1333" i="4"/>
  <c r="N1334" i="4"/>
  <c r="N74" i="4"/>
  <c r="N1335" i="4"/>
  <c r="N1336" i="4"/>
  <c r="N75" i="4"/>
  <c r="N1337" i="4"/>
  <c r="N1338" i="4"/>
  <c r="N77" i="4"/>
  <c r="N12" i="4"/>
  <c r="N18" i="4"/>
  <c r="N1339" i="4"/>
  <c r="N72" i="4"/>
  <c r="N1340" i="4"/>
  <c r="N27" i="4"/>
  <c r="N21" i="4"/>
  <c r="N1341" i="4"/>
  <c r="N1342" i="4"/>
  <c r="N1343" i="4"/>
  <c r="N139" i="4"/>
  <c r="N117" i="4"/>
  <c r="N119" i="4"/>
  <c r="N34" i="4"/>
  <c r="N106" i="4"/>
  <c r="N82" i="4"/>
  <c r="N1344" i="4"/>
  <c r="N1345" i="4"/>
  <c r="N1346" i="4"/>
  <c r="N102" i="4"/>
  <c r="N1347" i="4"/>
  <c r="N1348" i="4"/>
  <c r="N49" i="4"/>
  <c r="N1349" i="4"/>
  <c r="N53" i="4"/>
  <c r="N50" i="4"/>
  <c r="N13" i="4"/>
  <c r="N46" i="4"/>
  <c r="N42" i="4"/>
  <c r="N1350" i="4"/>
  <c r="N121" i="4"/>
  <c r="N1351" i="4"/>
  <c r="N40" i="4"/>
  <c r="N1352" i="4"/>
  <c r="N43" i="4"/>
  <c r="N47" i="4"/>
  <c r="N1353" i="4"/>
  <c r="N92" i="4"/>
  <c r="N22" i="4"/>
  <c r="N48" i="4"/>
  <c r="N63" i="4"/>
  <c r="N57" i="4"/>
  <c r="N61" i="4"/>
  <c r="N65" i="4"/>
  <c r="N62" i="4"/>
  <c r="N31" i="4"/>
  <c r="N35" i="4"/>
  <c r="N58" i="4"/>
  <c r="N44" i="4"/>
  <c r="N14" i="4"/>
  <c r="N64" i="4"/>
  <c r="N19" i="4"/>
  <c r="N66" i="4"/>
  <c r="N54" i="4"/>
  <c r="N23" i="4"/>
  <c r="N78" i="4"/>
  <c r="N51" i="4"/>
  <c r="N24" i="4"/>
  <c r="N132" i="4"/>
  <c r="N105" i="4"/>
  <c r="N127" i="4"/>
  <c r="N109" i="4"/>
  <c r="N130" i="4"/>
  <c r="N28" i="4"/>
  <c r="N1354" i="4"/>
  <c r="N93" i="4"/>
  <c r="N88" i="4"/>
  <c r="N90" i="4"/>
  <c r="N1355" i="4"/>
  <c r="N96" i="4"/>
  <c r="N83" i="4"/>
  <c r="N67" i="4"/>
  <c r="N103" i="4"/>
  <c r="N101" i="4"/>
  <c r="N125" i="4"/>
  <c r="N85" i="4"/>
  <c r="N123" i="4"/>
  <c r="N1356" i="4"/>
  <c r="N1357" i="4"/>
  <c r="N20" i="4"/>
  <c r="N32"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110"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33" i="4"/>
  <c r="O254" i="4"/>
  <c r="O255" i="4"/>
  <c r="O256" i="4"/>
  <c r="O257" i="4"/>
  <c r="O258" i="4"/>
  <c r="O259" i="4"/>
  <c r="O260" i="4"/>
  <c r="O261" i="4"/>
  <c r="O262" i="4"/>
  <c r="O263" i="4"/>
  <c r="O264" i="4"/>
  <c r="O265" i="4"/>
  <c r="O266" i="4"/>
  <c r="O267" i="4"/>
  <c r="O268" i="4"/>
  <c r="O76"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6"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12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107" i="4"/>
  <c r="O424" i="4"/>
  <c r="O425" i="4"/>
  <c r="O426" i="4"/>
  <c r="O427" i="4"/>
  <c r="O428" i="4"/>
  <c r="O429" i="4"/>
  <c r="O430" i="4"/>
  <c r="O431" i="4"/>
  <c r="O432" i="4"/>
  <c r="O69"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86" i="4"/>
  <c r="O126" i="4"/>
  <c r="O91" i="4"/>
  <c r="O618" i="4"/>
  <c r="O619" i="4"/>
  <c r="O620" i="4"/>
  <c r="O621" i="4"/>
  <c r="O622" i="4"/>
  <c r="O623" i="4"/>
  <c r="O624" i="4"/>
  <c r="O625" i="4"/>
  <c r="O118"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97"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111"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112" i="4"/>
  <c r="O41"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7" i="4"/>
  <c r="O868" i="4"/>
  <c r="O869" i="4"/>
  <c r="O870" i="4"/>
  <c r="O871" i="4"/>
  <c r="O872" i="4"/>
  <c r="O873" i="4"/>
  <c r="O874" i="4"/>
  <c r="O875" i="4"/>
  <c r="O876" i="4"/>
  <c r="O877" i="4"/>
  <c r="O36"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79"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113" i="4"/>
  <c r="O975" i="4"/>
  <c r="O976" i="4"/>
  <c r="O977" i="4"/>
  <c r="O978" i="4"/>
  <c r="O979" i="4"/>
  <c r="O980" i="4"/>
  <c r="O981" i="4"/>
  <c r="O982" i="4"/>
  <c r="O983" i="4"/>
  <c r="O984" i="4"/>
  <c r="O985" i="4"/>
  <c r="O986" i="4"/>
  <c r="O987" i="4"/>
  <c r="O988" i="4"/>
  <c r="O989" i="4"/>
  <c r="O990" i="4"/>
  <c r="O991" i="4"/>
  <c r="O992" i="4"/>
  <c r="O993" i="4"/>
  <c r="O994" i="4"/>
  <c r="O995" i="4"/>
  <c r="O996" i="4"/>
  <c r="O80" i="4"/>
  <c r="O997" i="4"/>
  <c r="O998" i="4"/>
  <c r="O999" i="4"/>
  <c r="O1000" i="4"/>
  <c r="O1001" i="4"/>
  <c r="O1002" i="4"/>
  <c r="O68" i="4"/>
  <c r="O55"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1051" i="4"/>
  <c r="O1052" i="4"/>
  <c r="O1053" i="4"/>
  <c r="O1054" i="4"/>
  <c r="O1055" i="4"/>
  <c r="O1056" i="4"/>
  <c r="O1057" i="4"/>
  <c r="O1058" i="4"/>
  <c r="O1059" i="4"/>
  <c r="O1060" i="4"/>
  <c r="O8" i="4"/>
  <c r="O1061" i="4"/>
  <c r="O1062" i="4"/>
  <c r="O1063" i="4"/>
  <c r="O1064" i="4"/>
  <c r="O1065" i="4"/>
  <c r="O1066" i="4"/>
  <c r="O1067" i="4"/>
  <c r="O1068" i="4"/>
  <c r="O1069" i="4"/>
  <c r="O1070" i="4"/>
  <c r="O1071" i="4"/>
  <c r="O1072" i="4"/>
  <c r="O94" i="4"/>
  <c r="O1073" i="4"/>
  <c r="O1074" i="4"/>
  <c r="O1075" i="4"/>
  <c r="O16" i="4"/>
  <c r="O1076" i="4"/>
  <c r="O59" i="4"/>
  <c r="O1077" i="4"/>
  <c r="O1078" i="4"/>
  <c r="O1079" i="4"/>
  <c r="O1080" i="4"/>
  <c r="O1081" i="4"/>
  <c r="O1082" i="4"/>
  <c r="O1083" i="4"/>
  <c r="O1084" i="4"/>
  <c r="O1085" i="4"/>
  <c r="O1086" i="4"/>
  <c r="O1087" i="4"/>
  <c r="O1088" i="4"/>
  <c r="O1089" i="4"/>
  <c r="O1090" i="4"/>
  <c r="O1091" i="4"/>
  <c r="O1092" i="4"/>
  <c r="O1093" i="4"/>
  <c r="O1094" i="4"/>
  <c r="O1095" i="4"/>
  <c r="O1096" i="4"/>
  <c r="O1097" i="4"/>
  <c r="O104" i="4"/>
  <c r="O1098" i="4"/>
  <c r="O1099" i="4"/>
  <c r="O1100" i="4"/>
  <c r="O1101" i="4"/>
  <c r="O1102" i="4"/>
  <c r="O1103" i="4"/>
  <c r="O1104" i="4"/>
  <c r="O1105" i="4"/>
  <c r="O1106" i="4"/>
  <c r="O1107" i="4"/>
  <c r="O1108" i="4"/>
  <c r="O1109" i="4"/>
  <c r="O1110" i="4"/>
  <c r="O1111" i="4"/>
  <c r="O1112" i="4"/>
  <c r="O1113" i="4"/>
  <c r="O1114" i="4"/>
  <c r="O1115" i="4"/>
  <c r="O1116" i="4"/>
  <c r="O1117" i="4"/>
  <c r="O1118" i="4"/>
  <c r="O1119" i="4"/>
  <c r="O1120" i="4"/>
  <c r="O115"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1170" i="4"/>
  <c r="O1171" i="4"/>
  <c r="O1172" i="4"/>
  <c r="O1173" i="4"/>
  <c r="O1174" i="4"/>
  <c r="O1175" i="4"/>
  <c r="O1176" i="4"/>
  <c r="O1177" i="4"/>
  <c r="O1178" i="4"/>
  <c r="O1179" i="4"/>
  <c r="O1180" i="4"/>
  <c r="O1181" i="4"/>
  <c r="O1182" i="4"/>
  <c r="O1183" i="4"/>
  <c r="O1184" i="4"/>
  <c r="O84" i="4"/>
  <c r="O1185" i="4"/>
  <c r="O1186" i="4"/>
  <c r="O38" i="4"/>
  <c r="O1187" i="4"/>
  <c r="O1188" i="4"/>
  <c r="O1189" i="4"/>
  <c r="O1190" i="4"/>
  <c r="O81" i="4"/>
  <c r="O1191" i="4"/>
  <c r="O1192" i="4"/>
  <c r="O1193" i="4"/>
  <c r="O1194" i="4"/>
  <c r="O1195" i="4"/>
  <c r="O1196" i="4"/>
  <c r="O135" i="4"/>
  <c r="O1197" i="4"/>
  <c r="O1198" i="4"/>
  <c r="O1199" i="4"/>
  <c r="O1200" i="4"/>
  <c r="O1201" i="4"/>
  <c r="O1202" i="4"/>
  <c r="O1203" i="4"/>
  <c r="O1204" i="4"/>
  <c r="O1205" i="4"/>
  <c r="O60" i="4"/>
  <c r="O128" i="4"/>
  <c r="O29" i="4"/>
  <c r="O1206" i="4"/>
  <c r="O1207" i="4"/>
  <c r="O1208" i="4"/>
  <c r="O1209" i="4"/>
  <c r="O1210" i="4"/>
  <c r="O1211" i="4"/>
  <c r="O1212" i="4"/>
  <c r="O1213" i="4"/>
  <c r="O1214" i="4"/>
  <c r="O1215" i="4"/>
  <c r="O1216" i="4"/>
  <c r="O1217" i="4"/>
  <c r="O124" i="4"/>
  <c r="O73" i="4"/>
  <c r="O108" i="4"/>
  <c r="O114" i="4"/>
  <c r="O1218" i="4"/>
  <c r="O1219" i="4"/>
  <c r="O1220" i="4"/>
  <c r="O1221" i="4"/>
  <c r="O1222" i="4"/>
  <c r="O1223" i="4"/>
  <c r="O1224" i="4"/>
  <c r="O1225" i="4"/>
  <c r="O1226" i="4"/>
  <c r="O1227" i="4"/>
  <c r="O1228" i="4"/>
  <c r="O1229" i="4"/>
  <c r="O1230" i="4"/>
  <c r="O1231" i="4"/>
  <c r="O1232" i="4"/>
  <c r="O1233" i="4"/>
  <c r="O1234" i="4"/>
  <c r="O1235" i="4"/>
  <c r="O1236" i="4"/>
  <c r="O1237" i="4"/>
  <c r="O116" i="4"/>
  <c r="O1238" i="4"/>
  <c r="O1239" i="4"/>
  <c r="O1240" i="4"/>
  <c r="O1241" i="4"/>
  <c r="O1242" i="4"/>
  <c r="O1243" i="4"/>
  <c r="O1244" i="4"/>
  <c r="O1245" i="4"/>
  <c r="O1246" i="4"/>
  <c r="O1247" i="4"/>
  <c r="O1248" i="4"/>
  <c r="O1249" i="4"/>
  <c r="O1250" i="4"/>
  <c r="O1251" i="4"/>
  <c r="O1252" i="4"/>
  <c r="O1253" i="4"/>
  <c r="O1254" i="4"/>
  <c r="O122" i="4"/>
  <c r="O1255" i="4"/>
  <c r="O1256" i="4"/>
  <c r="O1257" i="4"/>
  <c r="O1258" i="4"/>
  <c r="O95" i="4"/>
  <c r="O25" i="4"/>
  <c r="O1259" i="4"/>
  <c r="O9" i="4"/>
  <c r="O1260" i="4"/>
  <c r="O1261" i="4"/>
  <c r="O1262" i="4"/>
  <c r="O1263" i="4"/>
  <c r="O1264" i="4"/>
  <c r="O1265" i="4"/>
  <c r="O1266" i="4"/>
  <c r="O1267" i="4"/>
  <c r="O1268" i="4"/>
  <c r="O1269" i="4"/>
  <c r="O1270" i="4"/>
  <c r="O1271" i="4"/>
  <c r="O1272" i="4"/>
  <c r="O1273" i="4"/>
  <c r="O1274" i="4"/>
  <c r="O1275" i="4"/>
  <c r="O1276" i="4"/>
  <c r="O1277" i="4"/>
  <c r="O1278" i="4"/>
  <c r="O1279" i="4"/>
  <c r="O1280" i="4"/>
  <c r="O1281" i="4"/>
  <c r="O1282" i="4"/>
  <c r="O1283" i="4"/>
  <c r="O1284" i="4"/>
  <c r="O1285" i="4"/>
  <c r="O1286" i="4"/>
  <c r="O1287" i="4"/>
  <c r="O1288" i="4"/>
  <c r="O1289" i="4"/>
  <c r="O1290" i="4"/>
  <c r="O1291" i="4"/>
  <c r="O1292" i="4"/>
  <c r="O1293" i="4"/>
  <c r="O1294" i="4"/>
  <c r="O1295" i="4"/>
  <c r="O1296" i="4"/>
  <c r="O1297" i="4"/>
  <c r="O1298" i="4"/>
  <c r="O1299" i="4"/>
  <c r="O1300" i="4"/>
  <c r="O1301" i="4"/>
  <c r="O1302" i="4"/>
  <c r="O1303" i="4"/>
  <c r="O1304" i="4"/>
  <c r="O1305" i="4"/>
  <c r="O1306" i="4"/>
  <c r="O1307" i="4"/>
  <c r="O1308" i="4"/>
  <c r="O138" i="4"/>
  <c r="O1309" i="4"/>
  <c r="O1310" i="4"/>
  <c r="O1311" i="4"/>
  <c r="O1312" i="4"/>
  <c r="O1313" i="4"/>
  <c r="O10" i="4"/>
  <c r="O1314" i="4"/>
  <c r="O1315" i="4"/>
  <c r="O15" i="4"/>
  <c r="O1316" i="4"/>
  <c r="O39" i="4"/>
  <c r="O1317" i="4"/>
  <c r="O131" i="4"/>
  <c r="O129" i="4"/>
  <c r="O1318" i="4"/>
  <c r="O1319" i="4"/>
  <c r="O98" i="4"/>
  <c r="O1320" i="4"/>
  <c r="O56" i="4"/>
  <c r="O89" i="4"/>
  <c r="O17" i="4"/>
  <c r="O11" i="4"/>
  <c r="O99" i="4"/>
  <c r="O1321" i="4"/>
  <c r="O1322" i="4"/>
  <c r="O1323" i="4"/>
  <c r="O70" i="4"/>
  <c r="O45" i="4"/>
  <c r="O1324" i="4"/>
  <c r="O1325" i="4"/>
  <c r="O1326" i="4"/>
  <c r="O52" i="4"/>
  <c r="O26" i="4"/>
  <c r="O136" i="4"/>
  <c r="O137" i="4"/>
  <c r="O133" i="4"/>
  <c r="O134" i="4"/>
  <c r="O1327" i="4"/>
  <c r="O1328" i="4"/>
  <c r="O1329" i="4"/>
  <c r="O87" i="4"/>
  <c r="O30" i="4"/>
  <c r="O1330" i="4"/>
  <c r="O1331" i="4"/>
  <c r="O1332" i="4"/>
  <c r="O100" i="4"/>
  <c r="O37" i="4"/>
  <c r="O71" i="4"/>
  <c r="O1333" i="4"/>
  <c r="O1334" i="4"/>
  <c r="O74" i="4"/>
  <c r="O1335" i="4"/>
  <c r="O1336" i="4"/>
  <c r="O75" i="4"/>
  <c r="O1337" i="4"/>
  <c r="O1338" i="4"/>
  <c r="O77" i="4"/>
  <c r="O12" i="4"/>
  <c r="O18" i="4"/>
  <c r="O1339" i="4"/>
  <c r="O72" i="4"/>
  <c r="O1340" i="4"/>
  <c r="O27" i="4"/>
  <c r="O21" i="4"/>
  <c r="O1341" i="4"/>
  <c r="O1342" i="4"/>
  <c r="O1343" i="4"/>
  <c r="O139" i="4"/>
  <c r="O117" i="4"/>
  <c r="O119" i="4"/>
  <c r="O34" i="4"/>
  <c r="O106" i="4"/>
  <c r="O82" i="4"/>
  <c r="O1344" i="4"/>
  <c r="O1345" i="4"/>
  <c r="O1346" i="4"/>
  <c r="O102" i="4"/>
  <c r="O1347" i="4"/>
  <c r="O1348" i="4"/>
  <c r="O49" i="4"/>
  <c r="O1349" i="4"/>
  <c r="O53" i="4"/>
  <c r="O50" i="4"/>
  <c r="O13" i="4"/>
  <c r="O46" i="4"/>
  <c r="O42" i="4"/>
  <c r="O1350" i="4"/>
  <c r="O121" i="4"/>
  <c r="O1351" i="4"/>
  <c r="O40" i="4"/>
  <c r="O1352" i="4"/>
  <c r="O43" i="4"/>
  <c r="O47" i="4"/>
  <c r="O1353" i="4"/>
  <c r="O92" i="4"/>
  <c r="O22" i="4"/>
  <c r="O48" i="4"/>
  <c r="O63" i="4"/>
  <c r="O57" i="4"/>
  <c r="O61" i="4"/>
  <c r="O65" i="4"/>
  <c r="O62" i="4"/>
  <c r="O31" i="4"/>
  <c r="O35" i="4"/>
  <c r="O58" i="4"/>
  <c r="O44" i="4"/>
  <c r="O14" i="4"/>
  <c r="O64" i="4"/>
  <c r="O19" i="4"/>
  <c r="O66" i="4"/>
  <c r="O54" i="4"/>
  <c r="O23" i="4"/>
  <c r="O78" i="4"/>
  <c r="O51" i="4"/>
  <c r="O24" i="4"/>
  <c r="O132" i="4"/>
  <c r="O105" i="4"/>
  <c r="O127" i="4"/>
  <c r="O109" i="4"/>
  <c r="O130" i="4"/>
  <c r="O28" i="4"/>
  <c r="O1354" i="4"/>
  <c r="O93" i="4"/>
  <c r="O88" i="4"/>
  <c r="O90" i="4"/>
  <c r="O1355" i="4"/>
  <c r="O96" i="4"/>
  <c r="O83" i="4"/>
  <c r="O67" i="4"/>
  <c r="O103" i="4"/>
  <c r="O101" i="4"/>
  <c r="O125" i="4"/>
  <c r="O85" i="4"/>
  <c r="O123" i="4"/>
  <c r="O1356" i="4"/>
  <c r="O1357" i="4"/>
  <c r="O20" i="4"/>
  <c r="O32"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110"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33" i="4"/>
  <c r="P254" i="4"/>
  <c r="P255" i="4"/>
  <c r="P256" i="4"/>
  <c r="P257" i="4"/>
  <c r="P258" i="4"/>
  <c r="P259" i="4"/>
  <c r="P260" i="4"/>
  <c r="P261" i="4"/>
  <c r="P262" i="4"/>
  <c r="P263" i="4"/>
  <c r="P264" i="4"/>
  <c r="P265" i="4"/>
  <c r="P266" i="4"/>
  <c r="P267" i="4"/>
  <c r="P268" i="4"/>
  <c r="P76"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6"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12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107" i="4"/>
  <c r="P424" i="4"/>
  <c r="P425" i="4"/>
  <c r="P426" i="4"/>
  <c r="P427" i="4"/>
  <c r="P428" i="4"/>
  <c r="P429" i="4"/>
  <c r="P430" i="4"/>
  <c r="P431" i="4"/>
  <c r="P432" i="4"/>
  <c r="P69"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86" i="4"/>
  <c r="P126" i="4"/>
  <c r="P91" i="4"/>
  <c r="P618" i="4"/>
  <c r="P619" i="4"/>
  <c r="P620" i="4"/>
  <c r="P621" i="4"/>
  <c r="P622" i="4"/>
  <c r="P623" i="4"/>
  <c r="P624" i="4"/>
  <c r="P625" i="4"/>
  <c r="P118"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97"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111"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112" i="4"/>
  <c r="P41"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854" i="4"/>
  <c r="P855" i="4"/>
  <c r="P856" i="4"/>
  <c r="P857" i="4"/>
  <c r="P858" i="4"/>
  <c r="P859" i="4"/>
  <c r="P860" i="4"/>
  <c r="P861" i="4"/>
  <c r="P862" i="4"/>
  <c r="P863" i="4"/>
  <c r="P864" i="4"/>
  <c r="P865" i="4"/>
  <c r="P866" i="4"/>
  <c r="P867" i="4"/>
  <c r="P7" i="4"/>
  <c r="P868" i="4"/>
  <c r="P869" i="4"/>
  <c r="P870" i="4"/>
  <c r="P871" i="4"/>
  <c r="P872" i="4"/>
  <c r="P873" i="4"/>
  <c r="P874" i="4"/>
  <c r="P875" i="4"/>
  <c r="P876" i="4"/>
  <c r="P877" i="4"/>
  <c r="P36"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79" i="4"/>
  <c r="P942" i="4"/>
  <c r="P943" i="4"/>
  <c r="P944" i="4"/>
  <c r="P945" i="4"/>
  <c r="P946" i="4"/>
  <c r="P947" i="4"/>
  <c r="P948" i="4"/>
  <c r="P949" i="4"/>
  <c r="P950" i="4"/>
  <c r="P951" i="4"/>
  <c r="P952" i="4"/>
  <c r="P953" i="4"/>
  <c r="P954" i="4"/>
  <c r="P955" i="4"/>
  <c r="P956" i="4"/>
  <c r="P957" i="4"/>
  <c r="P958" i="4"/>
  <c r="P959" i="4"/>
  <c r="P960" i="4"/>
  <c r="P961" i="4"/>
  <c r="P962" i="4"/>
  <c r="P963" i="4"/>
  <c r="P964" i="4"/>
  <c r="P965" i="4"/>
  <c r="P966" i="4"/>
  <c r="P967" i="4"/>
  <c r="P968" i="4"/>
  <c r="P969" i="4"/>
  <c r="P970" i="4"/>
  <c r="P971" i="4"/>
  <c r="P972" i="4"/>
  <c r="P973" i="4"/>
  <c r="P974" i="4"/>
  <c r="P113" i="4"/>
  <c r="P975" i="4"/>
  <c r="P976" i="4"/>
  <c r="P977" i="4"/>
  <c r="P978" i="4"/>
  <c r="P979" i="4"/>
  <c r="P980" i="4"/>
  <c r="P981" i="4"/>
  <c r="P982" i="4"/>
  <c r="P983" i="4"/>
  <c r="P984" i="4"/>
  <c r="P985" i="4"/>
  <c r="P986" i="4"/>
  <c r="P987" i="4"/>
  <c r="P988" i="4"/>
  <c r="P989" i="4"/>
  <c r="P990" i="4"/>
  <c r="P991" i="4"/>
  <c r="P992" i="4"/>
  <c r="P993" i="4"/>
  <c r="P994" i="4"/>
  <c r="P995" i="4"/>
  <c r="P996" i="4"/>
  <c r="P80" i="4"/>
  <c r="P997" i="4"/>
  <c r="P998" i="4"/>
  <c r="P999" i="4"/>
  <c r="P1000" i="4"/>
  <c r="P1001" i="4"/>
  <c r="P1002" i="4"/>
  <c r="P68" i="4"/>
  <c r="P55" i="4"/>
  <c r="P1003" i="4"/>
  <c r="P1004" i="4"/>
  <c r="P1005" i="4"/>
  <c r="P1006" i="4"/>
  <c r="P1007"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1050" i="4"/>
  <c r="P1051" i="4"/>
  <c r="P1052" i="4"/>
  <c r="P1053" i="4"/>
  <c r="P1054" i="4"/>
  <c r="P1055" i="4"/>
  <c r="P1056" i="4"/>
  <c r="P1057" i="4"/>
  <c r="P1058" i="4"/>
  <c r="P1059" i="4"/>
  <c r="P1060" i="4"/>
  <c r="P8" i="4"/>
  <c r="P1061" i="4"/>
  <c r="P1062" i="4"/>
  <c r="P1063" i="4"/>
  <c r="P1064" i="4"/>
  <c r="P1065" i="4"/>
  <c r="P1066" i="4"/>
  <c r="P1067" i="4"/>
  <c r="P1068" i="4"/>
  <c r="P1069" i="4"/>
  <c r="P1070" i="4"/>
  <c r="P1071" i="4"/>
  <c r="P1072" i="4"/>
  <c r="P94" i="4"/>
  <c r="P1073" i="4"/>
  <c r="P1074" i="4"/>
  <c r="P1075" i="4"/>
  <c r="P16" i="4"/>
  <c r="P1076" i="4"/>
  <c r="P59" i="4"/>
  <c r="P1077" i="4"/>
  <c r="P1078" i="4"/>
  <c r="P1079" i="4"/>
  <c r="P1080" i="4"/>
  <c r="P1081" i="4"/>
  <c r="P1082" i="4"/>
  <c r="P1083" i="4"/>
  <c r="P1084" i="4"/>
  <c r="P1085" i="4"/>
  <c r="P1086" i="4"/>
  <c r="P1087" i="4"/>
  <c r="P1088" i="4"/>
  <c r="P1089" i="4"/>
  <c r="P1090" i="4"/>
  <c r="P1091" i="4"/>
  <c r="P1092" i="4"/>
  <c r="P1093" i="4"/>
  <c r="P1094" i="4"/>
  <c r="P1095" i="4"/>
  <c r="P1096" i="4"/>
  <c r="P1097" i="4"/>
  <c r="P104" i="4"/>
  <c r="P1098" i="4"/>
  <c r="P1099" i="4"/>
  <c r="P1100" i="4"/>
  <c r="P1101" i="4"/>
  <c r="P1102" i="4"/>
  <c r="P1103" i="4"/>
  <c r="P1104" i="4"/>
  <c r="P1105" i="4"/>
  <c r="P1106" i="4"/>
  <c r="P1107" i="4"/>
  <c r="P1108" i="4"/>
  <c r="P1109" i="4"/>
  <c r="P1110" i="4"/>
  <c r="P1111" i="4"/>
  <c r="P1112" i="4"/>
  <c r="P1113" i="4"/>
  <c r="P1114" i="4"/>
  <c r="P1115" i="4"/>
  <c r="P1116" i="4"/>
  <c r="P1117" i="4"/>
  <c r="P1118" i="4"/>
  <c r="P1119" i="4"/>
  <c r="P1120" i="4"/>
  <c r="P115" i="4"/>
  <c r="P1121" i="4"/>
  <c r="P1122" i="4"/>
  <c r="P1123" i="4"/>
  <c r="P1124" i="4"/>
  <c r="P1125" i="4"/>
  <c r="P1126" i="4"/>
  <c r="P1127" i="4"/>
  <c r="P1128" i="4"/>
  <c r="P1129" i="4"/>
  <c r="P1130" i="4"/>
  <c r="P1131" i="4"/>
  <c r="P1132" i="4"/>
  <c r="P1133" i="4"/>
  <c r="P1134" i="4"/>
  <c r="P1135" i="4"/>
  <c r="P1136" i="4"/>
  <c r="P1137" i="4"/>
  <c r="P1138" i="4"/>
  <c r="P1139" i="4"/>
  <c r="P1140" i="4"/>
  <c r="P1141" i="4"/>
  <c r="P1142" i="4"/>
  <c r="P1143" i="4"/>
  <c r="P1144" i="4"/>
  <c r="P1145" i="4"/>
  <c r="P1146" i="4"/>
  <c r="P1147" i="4"/>
  <c r="P1148" i="4"/>
  <c r="P1149" i="4"/>
  <c r="P1150" i="4"/>
  <c r="P1151" i="4"/>
  <c r="P1152" i="4"/>
  <c r="P1153" i="4"/>
  <c r="P1154" i="4"/>
  <c r="P1155" i="4"/>
  <c r="P1156" i="4"/>
  <c r="P1157" i="4"/>
  <c r="P1158" i="4"/>
  <c r="P1159" i="4"/>
  <c r="P1160" i="4"/>
  <c r="P1161" i="4"/>
  <c r="P1162" i="4"/>
  <c r="P1163" i="4"/>
  <c r="P1164" i="4"/>
  <c r="P1165" i="4"/>
  <c r="P1166" i="4"/>
  <c r="P1167" i="4"/>
  <c r="P1168" i="4"/>
  <c r="P1169" i="4"/>
  <c r="P1170" i="4"/>
  <c r="P1171" i="4"/>
  <c r="P1172" i="4"/>
  <c r="P1173" i="4"/>
  <c r="P1174" i="4"/>
  <c r="P1175" i="4"/>
  <c r="P1176" i="4"/>
  <c r="P1177" i="4"/>
  <c r="P1178" i="4"/>
  <c r="P1179" i="4"/>
  <c r="P1180" i="4"/>
  <c r="P1181" i="4"/>
  <c r="P1182" i="4"/>
  <c r="P1183" i="4"/>
  <c r="P1184" i="4"/>
  <c r="P84" i="4"/>
  <c r="P1185" i="4"/>
  <c r="P1186" i="4"/>
  <c r="P38" i="4"/>
  <c r="P1187" i="4"/>
  <c r="P1188" i="4"/>
  <c r="P1189" i="4"/>
  <c r="P1190" i="4"/>
  <c r="P81" i="4"/>
  <c r="P1191" i="4"/>
  <c r="P1192" i="4"/>
  <c r="P1193" i="4"/>
  <c r="P1194" i="4"/>
  <c r="P1195" i="4"/>
  <c r="P1196" i="4"/>
  <c r="P135" i="4"/>
  <c r="P1197" i="4"/>
  <c r="P1198" i="4"/>
  <c r="P1199" i="4"/>
  <c r="P1200" i="4"/>
  <c r="P1201" i="4"/>
  <c r="P1202" i="4"/>
  <c r="P1203" i="4"/>
  <c r="P1204" i="4"/>
  <c r="P1205" i="4"/>
  <c r="P60" i="4"/>
  <c r="P128" i="4"/>
  <c r="P29" i="4"/>
  <c r="P1206" i="4"/>
  <c r="P1207" i="4"/>
  <c r="P1208" i="4"/>
  <c r="P1209" i="4"/>
  <c r="P1210" i="4"/>
  <c r="P1211" i="4"/>
  <c r="P1212" i="4"/>
  <c r="P1213" i="4"/>
  <c r="P1214" i="4"/>
  <c r="P1215" i="4"/>
  <c r="P1216" i="4"/>
  <c r="P1217" i="4"/>
  <c r="P124" i="4"/>
  <c r="P73" i="4"/>
  <c r="P108" i="4"/>
  <c r="P114" i="4"/>
  <c r="P1218" i="4"/>
  <c r="P1219" i="4"/>
  <c r="P1220" i="4"/>
  <c r="P1221" i="4"/>
  <c r="P1222" i="4"/>
  <c r="P1223" i="4"/>
  <c r="P1224" i="4"/>
  <c r="P1225" i="4"/>
  <c r="P1226" i="4"/>
  <c r="P1227" i="4"/>
  <c r="P1228" i="4"/>
  <c r="P1229" i="4"/>
  <c r="P1230" i="4"/>
  <c r="P1231" i="4"/>
  <c r="P1232" i="4"/>
  <c r="P1233" i="4"/>
  <c r="P1234" i="4"/>
  <c r="P1235" i="4"/>
  <c r="P1236" i="4"/>
  <c r="P1237" i="4"/>
  <c r="P116" i="4"/>
  <c r="P1238" i="4"/>
  <c r="P1239" i="4"/>
  <c r="P1240" i="4"/>
  <c r="P1241" i="4"/>
  <c r="P1242" i="4"/>
  <c r="P1243" i="4"/>
  <c r="P1244" i="4"/>
  <c r="P1245" i="4"/>
  <c r="P1246" i="4"/>
  <c r="P1247" i="4"/>
  <c r="P1248" i="4"/>
  <c r="P1249" i="4"/>
  <c r="P1250" i="4"/>
  <c r="P1251" i="4"/>
  <c r="P1252" i="4"/>
  <c r="P1253" i="4"/>
  <c r="P1254" i="4"/>
  <c r="P122" i="4"/>
  <c r="P1255" i="4"/>
  <c r="P1256" i="4"/>
  <c r="P1257" i="4"/>
  <c r="P1258" i="4"/>
  <c r="P95" i="4"/>
  <c r="P25" i="4"/>
  <c r="P1259" i="4"/>
  <c r="P9" i="4"/>
  <c r="P1260" i="4"/>
  <c r="P1261" i="4"/>
  <c r="P1262" i="4"/>
  <c r="P1263" i="4"/>
  <c r="P1264" i="4"/>
  <c r="P1265" i="4"/>
  <c r="P1266" i="4"/>
  <c r="P1267" i="4"/>
  <c r="P1268" i="4"/>
  <c r="P1269" i="4"/>
  <c r="P1270" i="4"/>
  <c r="P1271" i="4"/>
  <c r="P1272" i="4"/>
  <c r="P1273" i="4"/>
  <c r="P1274" i="4"/>
  <c r="P1275" i="4"/>
  <c r="P1276" i="4"/>
  <c r="P1277" i="4"/>
  <c r="P1278" i="4"/>
  <c r="P1279" i="4"/>
  <c r="P1280" i="4"/>
  <c r="P1281" i="4"/>
  <c r="P1282" i="4"/>
  <c r="P1283" i="4"/>
  <c r="P1284" i="4"/>
  <c r="P1285" i="4"/>
  <c r="P1286" i="4"/>
  <c r="P1287" i="4"/>
  <c r="P1288" i="4"/>
  <c r="P1289" i="4"/>
  <c r="P1290" i="4"/>
  <c r="P1291" i="4"/>
  <c r="P1292" i="4"/>
  <c r="P1293" i="4"/>
  <c r="P1294" i="4"/>
  <c r="P1295" i="4"/>
  <c r="P1296" i="4"/>
  <c r="P1297" i="4"/>
  <c r="P1298" i="4"/>
  <c r="P1299" i="4"/>
  <c r="P1300" i="4"/>
  <c r="P1301" i="4"/>
  <c r="P1302" i="4"/>
  <c r="P1303" i="4"/>
  <c r="P1304" i="4"/>
  <c r="P1305" i="4"/>
  <c r="P1306" i="4"/>
  <c r="P1307" i="4"/>
  <c r="P1308" i="4"/>
  <c r="P138" i="4"/>
  <c r="P1309" i="4"/>
  <c r="P1310" i="4"/>
  <c r="P1311" i="4"/>
  <c r="P1312" i="4"/>
  <c r="P1313" i="4"/>
  <c r="P10" i="4"/>
  <c r="P1314" i="4"/>
  <c r="P1315" i="4"/>
  <c r="P15" i="4"/>
  <c r="P1316" i="4"/>
  <c r="P39" i="4"/>
  <c r="P1317" i="4"/>
  <c r="P131" i="4"/>
  <c r="P129" i="4"/>
  <c r="P1318" i="4"/>
  <c r="P1319" i="4"/>
  <c r="P98" i="4"/>
  <c r="P1320" i="4"/>
  <c r="P56" i="4"/>
  <c r="P89" i="4"/>
  <c r="P17" i="4"/>
  <c r="P11" i="4"/>
  <c r="P99" i="4"/>
  <c r="P1321" i="4"/>
  <c r="P1322" i="4"/>
  <c r="P1323" i="4"/>
  <c r="P70" i="4"/>
  <c r="P45" i="4"/>
  <c r="P1324" i="4"/>
  <c r="P1325" i="4"/>
  <c r="P1326" i="4"/>
  <c r="P52" i="4"/>
  <c r="P26" i="4"/>
  <c r="P136" i="4"/>
  <c r="P137" i="4"/>
  <c r="P133" i="4"/>
  <c r="P134" i="4"/>
  <c r="P1327" i="4"/>
  <c r="P1328" i="4"/>
  <c r="P1329" i="4"/>
  <c r="P87" i="4"/>
  <c r="P30" i="4"/>
  <c r="P1330" i="4"/>
  <c r="P1331" i="4"/>
  <c r="P1332" i="4"/>
  <c r="P100" i="4"/>
  <c r="P37" i="4"/>
  <c r="P71" i="4"/>
  <c r="P1333" i="4"/>
  <c r="P1334" i="4"/>
  <c r="P74" i="4"/>
  <c r="P1335" i="4"/>
  <c r="P1336" i="4"/>
  <c r="P75" i="4"/>
  <c r="P1337" i="4"/>
  <c r="P1338" i="4"/>
  <c r="P77" i="4"/>
  <c r="P12" i="4"/>
  <c r="P18" i="4"/>
  <c r="P1339" i="4"/>
  <c r="P72" i="4"/>
  <c r="P1340" i="4"/>
  <c r="P27" i="4"/>
  <c r="P21" i="4"/>
  <c r="P1341" i="4"/>
  <c r="P1342" i="4"/>
  <c r="P1343" i="4"/>
  <c r="P139" i="4"/>
  <c r="P117" i="4"/>
  <c r="P119" i="4"/>
  <c r="P34" i="4"/>
  <c r="P106" i="4"/>
  <c r="P82" i="4"/>
  <c r="P1344" i="4"/>
  <c r="P1345" i="4"/>
  <c r="P1346" i="4"/>
  <c r="P102" i="4"/>
  <c r="P1347" i="4"/>
  <c r="P1348" i="4"/>
  <c r="P49" i="4"/>
  <c r="P1349" i="4"/>
  <c r="P53" i="4"/>
  <c r="P50" i="4"/>
  <c r="P13" i="4"/>
  <c r="P46" i="4"/>
  <c r="P42" i="4"/>
  <c r="P1350" i="4"/>
  <c r="P121" i="4"/>
  <c r="P1351" i="4"/>
  <c r="P40" i="4"/>
  <c r="P1352" i="4"/>
  <c r="P43" i="4"/>
  <c r="P47" i="4"/>
  <c r="P1353" i="4"/>
  <c r="P92" i="4"/>
  <c r="P22" i="4"/>
  <c r="P48" i="4"/>
  <c r="P63" i="4"/>
  <c r="P57" i="4"/>
  <c r="P61" i="4"/>
  <c r="P65" i="4"/>
  <c r="P62" i="4"/>
  <c r="P31" i="4"/>
  <c r="P35" i="4"/>
  <c r="P58" i="4"/>
  <c r="P44" i="4"/>
  <c r="P14" i="4"/>
  <c r="P64" i="4"/>
  <c r="P19" i="4"/>
  <c r="P66" i="4"/>
  <c r="P54" i="4"/>
  <c r="P23" i="4"/>
  <c r="P78" i="4"/>
  <c r="P51" i="4"/>
  <c r="P24" i="4"/>
  <c r="P132" i="4"/>
  <c r="P105" i="4"/>
  <c r="P127" i="4"/>
  <c r="P109" i="4"/>
  <c r="P130" i="4"/>
  <c r="P28" i="4"/>
  <c r="P1354" i="4"/>
  <c r="P93" i="4"/>
  <c r="P88" i="4"/>
  <c r="P90" i="4"/>
  <c r="P1355" i="4"/>
  <c r="P96" i="4"/>
  <c r="P83" i="4"/>
  <c r="P67" i="4"/>
  <c r="P103" i="4"/>
  <c r="P101" i="4"/>
  <c r="P125" i="4"/>
  <c r="P85" i="4"/>
  <c r="P123" i="4"/>
  <c r="P1356" i="4"/>
  <c r="P1357" i="4"/>
  <c r="P20" i="4"/>
  <c r="P32" i="4"/>
  <c r="A140" i="4"/>
  <c r="A144" i="4"/>
  <c r="A148" i="4"/>
  <c r="A152" i="4"/>
  <c r="A156" i="4"/>
  <c r="A160" i="4"/>
  <c r="A164" i="4"/>
  <c r="A168" i="4"/>
  <c r="A172" i="4"/>
  <c r="A176" i="4"/>
  <c r="A180" i="4"/>
  <c r="A184" i="4"/>
  <c r="A188" i="4"/>
  <c r="A192" i="4"/>
  <c r="A196" i="4"/>
  <c r="A200" i="4"/>
  <c r="A204" i="4"/>
  <c r="A208" i="4"/>
  <c r="A212" i="4"/>
  <c r="A216" i="4"/>
  <c r="A220" i="4"/>
  <c r="A224" i="4"/>
  <c r="A227" i="4"/>
  <c r="A231" i="4"/>
  <c r="A235" i="4"/>
  <c r="A239" i="4"/>
  <c r="A243" i="4"/>
  <c r="A247" i="4"/>
  <c r="A251" i="4"/>
  <c r="A254" i="4"/>
  <c r="A258" i="4"/>
  <c r="A262" i="4"/>
  <c r="A266" i="4"/>
  <c r="A269" i="4"/>
  <c r="A273" i="4"/>
  <c r="A277" i="4"/>
  <c r="A281" i="4"/>
  <c r="A285" i="4"/>
  <c r="A289" i="4"/>
  <c r="A293" i="4"/>
  <c r="A297" i="4"/>
  <c r="A301" i="4"/>
  <c r="A305" i="4"/>
  <c r="A309" i="4"/>
  <c r="A313" i="4"/>
  <c r="A317" i="4"/>
  <c r="A321" i="4"/>
  <c r="A324" i="4"/>
  <c r="A328" i="4"/>
  <c r="A332" i="4"/>
  <c r="A336" i="4"/>
  <c r="A340" i="4"/>
  <c r="A344" i="4"/>
  <c r="A348" i="4"/>
  <c r="A351" i="4"/>
  <c r="A355" i="4"/>
  <c r="A359" i="4"/>
  <c r="A363" i="4"/>
  <c r="A367" i="4"/>
  <c r="A371" i="4"/>
  <c r="A375" i="4"/>
  <c r="A379" i="4"/>
  <c r="A383" i="4"/>
  <c r="A387" i="4"/>
  <c r="A391" i="4"/>
  <c r="A395" i="4"/>
  <c r="A399" i="4"/>
  <c r="A403" i="4"/>
  <c r="A407" i="4"/>
  <c r="A411" i="4"/>
  <c r="A415" i="4"/>
  <c r="A419" i="4"/>
  <c r="A423" i="4"/>
  <c r="A426" i="4"/>
  <c r="A430" i="4"/>
  <c r="A433" i="4"/>
  <c r="A437" i="4"/>
  <c r="A441" i="4"/>
  <c r="A445" i="4"/>
  <c r="A449" i="4"/>
  <c r="A453" i="4"/>
  <c r="A457" i="4"/>
  <c r="A461" i="4"/>
  <c r="A465" i="4"/>
  <c r="A469" i="4"/>
  <c r="A473" i="4"/>
  <c r="A477" i="4"/>
  <c r="A481" i="4"/>
  <c r="A485" i="4"/>
  <c r="A489" i="4"/>
  <c r="A493" i="4"/>
  <c r="A497" i="4"/>
  <c r="A501" i="4"/>
  <c r="A505" i="4"/>
  <c r="A509" i="4"/>
  <c r="A513" i="4"/>
  <c r="A517" i="4"/>
  <c r="A521" i="4"/>
  <c r="A525" i="4"/>
  <c r="A529" i="4"/>
  <c r="A533" i="4"/>
  <c r="A537" i="4"/>
  <c r="A541" i="4"/>
  <c r="A545" i="4"/>
  <c r="A549" i="4"/>
  <c r="A553" i="4"/>
  <c r="A557" i="4"/>
  <c r="A561" i="4"/>
  <c r="A565" i="4"/>
  <c r="A569" i="4"/>
  <c r="A573" i="4"/>
  <c r="A577" i="4"/>
  <c r="A581" i="4"/>
  <c r="A585" i="4"/>
  <c r="A589" i="4"/>
  <c r="A593" i="4"/>
  <c r="A597" i="4"/>
  <c r="A601" i="4"/>
  <c r="A605" i="4"/>
  <c r="A609" i="4"/>
  <c r="A613" i="4"/>
  <c r="A617" i="4"/>
  <c r="A618" i="4"/>
  <c r="A622" i="4"/>
  <c r="A118" i="4"/>
  <c r="A629" i="4"/>
  <c r="A633" i="4"/>
  <c r="A142" i="4"/>
  <c r="A146" i="4"/>
  <c r="A150" i="4"/>
  <c r="A154" i="4"/>
  <c r="A158" i="4"/>
  <c r="A162" i="4"/>
  <c r="A166" i="4"/>
  <c r="A170" i="4"/>
  <c r="A174" i="4"/>
  <c r="A178" i="4"/>
  <c r="A182" i="4"/>
  <c r="A186" i="4"/>
  <c r="A190" i="4"/>
  <c r="A194" i="4"/>
  <c r="A198" i="4"/>
  <c r="A202" i="4"/>
  <c r="A206" i="4"/>
  <c r="A210" i="4"/>
  <c r="A214" i="4"/>
  <c r="A218" i="4"/>
  <c r="A222" i="4"/>
  <c r="A225" i="4"/>
  <c r="A229" i="4"/>
  <c r="A233" i="4"/>
  <c r="A237" i="4"/>
  <c r="A241" i="4"/>
  <c r="A245" i="4"/>
  <c r="A249" i="4"/>
  <c r="A253" i="4"/>
  <c r="A256" i="4"/>
  <c r="A260" i="4"/>
  <c r="A264" i="4"/>
  <c r="A268" i="4"/>
  <c r="A271" i="4"/>
  <c r="A275" i="4"/>
  <c r="A279" i="4"/>
  <c r="A283" i="4"/>
  <c r="A287" i="4"/>
  <c r="A291" i="4"/>
  <c r="A295" i="4"/>
  <c r="A299" i="4"/>
  <c r="A303" i="4"/>
  <c r="A307" i="4"/>
  <c r="A311" i="4"/>
  <c r="A315" i="4"/>
  <c r="A319" i="4"/>
  <c r="A323" i="4"/>
  <c r="A326" i="4"/>
  <c r="A330" i="4"/>
  <c r="A334" i="4"/>
  <c r="A338" i="4"/>
  <c r="A342" i="4"/>
  <c r="A346" i="4"/>
  <c r="A350" i="4"/>
  <c r="A353" i="4"/>
  <c r="A357" i="4"/>
  <c r="A361" i="4"/>
  <c r="A365" i="4"/>
  <c r="A369" i="4"/>
  <c r="A373" i="4"/>
  <c r="A377" i="4"/>
  <c r="A381" i="4"/>
  <c r="A385" i="4"/>
  <c r="A389" i="4"/>
  <c r="A393" i="4"/>
  <c r="A397" i="4"/>
  <c r="A401" i="4"/>
  <c r="A405" i="4"/>
  <c r="A409" i="4"/>
  <c r="A413" i="4"/>
  <c r="A417" i="4"/>
  <c r="A421" i="4"/>
  <c r="A424" i="4"/>
  <c r="A428" i="4"/>
  <c r="A432" i="4"/>
  <c r="A435" i="4"/>
  <c r="A439" i="4"/>
  <c r="A143" i="4"/>
  <c r="A147" i="4"/>
  <c r="A151" i="4"/>
  <c r="A155" i="4"/>
  <c r="A159" i="4"/>
  <c r="A163" i="4"/>
  <c r="A167" i="4"/>
  <c r="A171" i="4"/>
  <c r="A175" i="4"/>
  <c r="A179" i="4"/>
  <c r="A183" i="4"/>
  <c r="A187" i="4"/>
  <c r="A191" i="4"/>
  <c r="A195" i="4"/>
  <c r="A199" i="4"/>
  <c r="A203" i="4"/>
  <c r="A207" i="4"/>
  <c r="A211" i="4"/>
  <c r="A215" i="4"/>
  <c r="A219" i="4"/>
  <c r="A223" i="4"/>
  <c r="A226" i="4"/>
  <c r="A230" i="4"/>
  <c r="A234" i="4"/>
  <c r="A238" i="4"/>
  <c r="A242" i="4"/>
  <c r="A246" i="4"/>
  <c r="A250" i="4"/>
  <c r="A33" i="4"/>
  <c r="A257" i="4"/>
  <c r="A261" i="4"/>
  <c r="A265" i="4"/>
  <c r="A76" i="4"/>
  <c r="A272" i="4"/>
  <c r="A276" i="4"/>
  <c r="A280" i="4"/>
  <c r="A284" i="4"/>
  <c r="A288" i="4"/>
  <c r="A292" i="4"/>
  <c r="A296" i="4"/>
  <c r="A300" i="4"/>
  <c r="A304" i="4"/>
  <c r="A308" i="4"/>
  <c r="A312" i="4"/>
  <c r="A316" i="4"/>
  <c r="A320" i="4"/>
  <c r="A6" i="4"/>
  <c r="A327" i="4"/>
  <c r="A331" i="4"/>
  <c r="A335" i="4"/>
  <c r="A339" i="4"/>
  <c r="A343" i="4"/>
  <c r="A347" i="4"/>
  <c r="A120" i="4"/>
  <c r="A354" i="4"/>
  <c r="A358" i="4"/>
  <c r="A362" i="4"/>
  <c r="A366" i="4"/>
  <c r="A370" i="4"/>
  <c r="A374" i="4"/>
  <c r="A378" i="4"/>
  <c r="A382" i="4"/>
  <c r="A386" i="4"/>
  <c r="A390" i="4"/>
  <c r="A394" i="4"/>
  <c r="A398" i="4"/>
  <c r="A402" i="4"/>
  <c r="A406" i="4"/>
  <c r="A410" i="4"/>
  <c r="A414" i="4"/>
  <c r="A418" i="4"/>
  <c r="A422" i="4"/>
  <c r="A425" i="4"/>
  <c r="A429" i="4"/>
  <c r="A69" i="4"/>
  <c r="A436" i="4"/>
  <c r="A440" i="4"/>
  <c r="A141" i="4"/>
  <c r="A157" i="4"/>
  <c r="A173" i="4"/>
  <c r="A189" i="4"/>
  <c r="A205" i="4"/>
  <c r="A221" i="4"/>
  <c r="A236" i="4"/>
  <c r="A252" i="4"/>
  <c r="A267" i="4"/>
  <c r="A282" i="4"/>
  <c r="A298" i="4"/>
  <c r="A314" i="4"/>
  <c r="A329" i="4"/>
  <c r="A345" i="4"/>
  <c r="A360" i="4"/>
  <c r="A376" i="4"/>
  <c r="A392" i="4"/>
  <c r="A408" i="4"/>
  <c r="A107" i="4"/>
  <c r="A438" i="4"/>
  <c r="A446" i="4"/>
  <c r="A451" i="4"/>
  <c r="A456" i="4"/>
  <c r="A462" i="4"/>
  <c r="A467" i="4"/>
  <c r="A472" i="4"/>
  <c r="A478" i="4"/>
  <c r="A483" i="4"/>
  <c r="A488" i="4"/>
  <c r="A494" i="4"/>
  <c r="A499" i="4"/>
  <c r="A504" i="4"/>
  <c r="A510" i="4"/>
  <c r="A515" i="4"/>
  <c r="A520" i="4"/>
  <c r="A526" i="4"/>
  <c r="A531" i="4"/>
  <c r="A536" i="4"/>
  <c r="A542" i="4"/>
  <c r="A547" i="4"/>
  <c r="A552" i="4"/>
  <c r="A558" i="4"/>
  <c r="A563" i="4"/>
  <c r="A568" i="4"/>
  <c r="A574" i="4"/>
  <c r="A579" i="4"/>
  <c r="A584" i="4"/>
  <c r="A590" i="4"/>
  <c r="A595" i="4"/>
  <c r="A600" i="4"/>
  <c r="A606" i="4"/>
  <c r="A611" i="4"/>
  <c r="A616" i="4"/>
  <c r="A619" i="4"/>
  <c r="A624" i="4"/>
  <c r="A628" i="4"/>
  <c r="A634" i="4"/>
  <c r="A638" i="4"/>
  <c r="A642" i="4"/>
  <c r="A646" i="4"/>
  <c r="A650" i="4"/>
  <c r="A654" i="4"/>
  <c r="A658" i="4"/>
  <c r="A662" i="4"/>
  <c r="A665" i="4"/>
  <c r="A669" i="4"/>
  <c r="A673" i="4"/>
  <c r="A677" i="4"/>
  <c r="A681" i="4"/>
  <c r="A685" i="4"/>
  <c r="A689" i="4"/>
  <c r="A111" i="4"/>
  <c r="A696" i="4"/>
  <c r="A700" i="4"/>
  <c r="A704" i="4"/>
  <c r="A708" i="4"/>
  <c r="A712" i="4"/>
  <c r="A716" i="4"/>
  <c r="A720" i="4"/>
  <c r="A724" i="4"/>
  <c r="A728" i="4"/>
  <c r="A732" i="4"/>
  <c r="A736" i="4"/>
  <c r="A145" i="4"/>
  <c r="A161" i="4"/>
  <c r="A177" i="4"/>
  <c r="A193" i="4"/>
  <c r="A209" i="4"/>
  <c r="A110" i="4"/>
  <c r="A240" i="4"/>
  <c r="A255" i="4"/>
  <c r="A270" i="4"/>
  <c r="A286" i="4"/>
  <c r="A302" i="4"/>
  <c r="A318" i="4"/>
  <c r="A333" i="4"/>
  <c r="A349" i="4"/>
  <c r="A364" i="4"/>
  <c r="A380" i="4"/>
  <c r="A396" i="4"/>
  <c r="A412" i="4"/>
  <c r="A427" i="4"/>
  <c r="A442" i="4"/>
  <c r="A447" i="4"/>
  <c r="A452" i="4"/>
  <c r="A458" i="4"/>
  <c r="A463" i="4"/>
  <c r="A468" i="4"/>
  <c r="A474" i="4"/>
  <c r="A479" i="4"/>
  <c r="A484" i="4"/>
  <c r="A490" i="4"/>
  <c r="A495" i="4"/>
  <c r="A500" i="4"/>
  <c r="A506" i="4"/>
  <c r="A511" i="4"/>
  <c r="A516" i="4"/>
  <c r="A522" i="4"/>
  <c r="A527" i="4"/>
  <c r="A532" i="4"/>
  <c r="A538" i="4"/>
  <c r="A543" i="4"/>
  <c r="A548" i="4"/>
  <c r="A554" i="4"/>
  <c r="A559" i="4"/>
  <c r="A564" i="4"/>
  <c r="A570" i="4"/>
  <c r="A575" i="4"/>
  <c r="A580" i="4"/>
  <c r="A586" i="4"/>
  <c r="A591" i="4"/>
  <c r="A596" i="4"/>
  <c r="A602" i="4"/>
  <c r="A607" i="4"/>
  <c r="A612" i="4"/>
  <c r="A86" i="4"/>
  <c r="A620" i="4"/>
  <c r="A625" i="4"/>
  <c r="A630" i="4"/>
  <c r="A635" i="4"/>
  <c r="A639" i="4"/>
  <c r="A643" i="4"/>
  <c r="A647" i="4"/>
  <c r="A651" i="4"/>
  <c r="A655" i="4"/>
  <c r="A659" i="4"/>
  <c r="A663" i="4"/>
  <c r="A666" i="4"/>
  <c r="A670" i="4"/>
  <c r="A674" i="4"/>
  <c r="A678" i="4"/>
  <c r="A682" i="4"/>
  <c r="A686" i="4"/>
  <c r="A690" i="4"/>
  <c r="A693" i="4"/>
  <c r="A697" i="4"/>
  <c r="A701" i="4"/>
  <c r="A705" i="4"/>
  <c r="A709" i="4"/>
  <c r="A713" i="4"/>
  <c r="A717" i="4"/>
  <c r="A721" i="4"/>
  <c r="A725" i="4"/>
  <c r="A729" i="4"/>
  <c r="A733" i="4"/>
  <c r="A737" i="4"/>
  <c r="A741" i="4"/>
  <c r="A745" i="4"/>
  <c r="A749" i="4"/>
  <c r="A753" i="4"/>
  <c r="A757" i="4"/>
  <c r="A761" i="4"/>
  <c r="A765" i="4"/>
  <c r="A769" i="4"/>
  <c r="A773" i="4"/>
  <c r="A777" i="4"/>
  <c r="A781" i="4"/>
  <c r="A785" i="4"/>
  <c r="A789" i="4"/>
  <c r="A793" i="4"/>
  <c r="A797" i="4"/>
  <c r="A801" i="4"/>
  <c r="A805" i="4"/>
  <c r="A809" i="4"/>
  <c r="A813" i="4"/>
  <c r="A817" i="4"/>
  <c r="A821" i="4"/>
  <c r="A112" i="4"/>
  <c r="A827" i="4"/>
  <c r="A831" i="4"/>
  <c r="A835" i="4"/>
  <c r="A839" i="4"/>
  <c r="A843" i="4"/>
  <c r="A847" i="4"/>
  <c r="A851" i="4"/>
  <c r="A855" i="4"/>
  <c r="A859" i="4"/>
  <c r="A863" i="4"/>
  <c r="A867" i="4"/>
  <c r="A870" i="4"/>
  <c r="A874" i="4"/>
  <c r="A36" i="4"/>
  <c r="A881" i="4"/>
  <c r="A885" i="4"/>
  <c r="A889" i="4"/>
  <c r="A893" i="4"/>
  <c r="A897" i="4"/>
  <c r="A901" i="4"/>
  <c r="A905" i="4"/>
  <c r="A909" i="4"/>
  <c r="A149" i="4"/>
  <c r="A165" i="4"/>
  <c r="A181" i="4"/>
  <c r="A197" i="4"/>
  <c r="A213" i="4"/>
  <c r="A228" i="4"/>
  <c r="A244" i="4"/>
  <c r="A259" i="4"/>
  <c r="A274" i="4"/>
  <c r="A290" i="4"/>
  <c r="A306" i="4"/>
  <c r="A322" i="4"/>
  <c r="A337" i="4"/>
  <c r="A352" i="4"/>
  <c r="A368" i="4"/>
  <c r="A384" i="4"/>
  <c r="A400" i="4"/>
  <c r="A416" i="4"/>
  <c r="A431" i="4"/>
  <c r="A443" i="4"/>
  <c r="A448" i="4"/>
  <c r="A454" i="4"/>
  <c r="A459" i="4"/>
  <c r="A464" i="4"/>
  <c r="A470" i="4"/>
  <c r="A475" i="4"/>
  <c r="A480" i="4"/>
  <c r="A486" i="4"/>
  <c r="A491" i="4"/>
  <c r="A496" i="4"/>
  <c r="A502" i="4"/>
  <c r="A507" i="4"/>
  <c r="A512" i="4"/>
  <c r="A518" i="4"/>
  <c r="A523" i="4"/>
  <c r="A528" i="4"/>
  <c r="A534" i="4"/>
  <c r="A539" i="4"/>
  <c r="A544" i="4"/>
  <c r="A550" i="4"/>
  <c r="A555" i="4"/>
  <c r="A560" i="4"/>
  <c r="A566" i="4"/>
  <c r="A571" i="4"/>
  <c r="A576" i="4"/>
  <c r="A582" i="4"/>
  <c r="A587" i="4"/>
  <c r="A592" i="4"/>
  <c r="A598" i="4"/>
  <c r="A603" i="4"/>
  <c r="A608" i="4"/>
  <c r="A614" i="4"/>
  <c r="A126" i="4"/>
  <c r="A621" i="4"/>
  <c r="A626" i="4"/>
  <c r="A631" i="4"/>
  <c r="A636" i="4"/>
  <c r="A640" i="4"/>
  <c r="A644" i="4"/>
  <c r="A648" i="4"/>
  <c r="A652" i="4"/>
  <c r="A656" i="4"/>
  <c r="A660" i="4"/>
  <c r="A97" i="4"/>
  <c r="A667" i="4"/>
  <c r="A671" i="4"/>
  <c r="A675" i="4"/>
  <c r="A679" i="4"/>
  <c r="A683" i="4"/>
  <c r="A687" i="4"/>
  <c r="A691" i="4"/>
  <c r="A694" i="4"/>
  <c r="A153" i="4"/>
  <c r="A217" i="4"/>
  <c r="A278" i="4"/>
  <c r="A341" i="4"/>
  <c r="A404" i="4"/>
  <c r="A450" i="4"/>
  <c r="A471" i="4"/>
  <c r="A492" i="4"/>
  <c r="A514" i="4"/>
  <c r="A535" i="4"/>
  <c r="A556" i="4"/>
  <c r="A578" i="4"/>
  <c r="A599" i="4"/>
  <c r="A91" i="4"/>
  <c r="A637" i="4"/>
  <c r="A653" i="4"/>
  <c r="A668" i="4"/>
  <c r="A684" i="4"/>
  <c r="A698" i="4"/>
  <c r="A706" i="4"/>
  <c r="A714" i="4"/>
  <c r="A722" i="4"/>
  <c r="A730" i="4"/>
  <c r="A738" i="4"/>
  <c r="A743" i="4"/>
  <c r="A748" i="4"/>
  <c r="A754" i="4"/>
  <c r="A759" i="4"/>
  <c r="A764" i="4"/>
  <c r="A770" i="4"/>
  <c r="A775" i="4"/>
  <c r="A780" i="4"/>
  <c r="A786" i="4"/>
  <c r="A791" i="4"/>
  <c r="A796" i="4"/>
  <c r="A802" i="4"/>
  <c r="A807" i="4"/>
  <c r="A812" i="4"/>
  <c r="A818" i="4"/>
  <c r="A823" i="4"/>
  <c r="A826" i="4"/>
  <c r="A832" i="4"/>
  <c r="A837" i="4"/>
  <c r="A842" i="4"/>
  <c r="A848" i="4"/>
  <c r="A853" i="4"/>
  <c r="A858" i="4"/>
  <c r="A864" i="4"/>
  <c r="A868" i="4"/>
  <c r="A873" i="4"/>
  <c r="A878" i="4"/>
  <c r="A883" i="4"/>
  <c r="A888" i="4"/>
  <c r="A894" i="4"/>
  <c r="A899" i="4"/>
  <c r="A904" i="4"/>
  <c r="A910" i="4"/>
  <c r="A914" i="4"/>
  <c r="A918" i="4"/>
  <c r="A922" i="4"/>
  <c r="A926" i="4"/>
  <c r="A930" i="4"/>
  <c r="A934" i="4"/>
  <c r="A938" i="4"/>
  <c r="A79" i="4"/>
  <c r="A945" i="4"/>
  <c r="A949" i="4"/>
  <c r="A953" i="4"/>
  <c r="A957" i="4"/>
  <c r="A961" i="4"/>
  <c r="A965" i="4"/>
  <c r="A969" i="4"/>
  <c r="A973" i="4"/>
  <c r="A976" i="4"/>
  <c r="A980" i="4"/>
  <c r="A984" i="4"/>
  <c r="A988" i="4"/>
  <c r="A992" i="4"/>
  <c r="A996" i="4"/>
  <c r="A999" i="4"/>
  <c r="A68" i="4"/>
  <c r="A1005" i="4"/>
  <c r="A1009" i="4"/>
  <c r="A1013" i="4"/>
  <c r="A1017" i="4"/>
  <c r="A1021" i="4"/>
  <c r="A1025" i="4"/>
  <c r="A1029" i="4"/>
  <c r="A1033" i="4"/>
  <c r="A1037" i="4"/>
  <c r="A1041" i="4"/>
  <c r="A1045" i="4"/>
  <c r="A1049" i="4"/>
  <c r="A1053" i="4"/>
  <c r="A1057" i="4"/>
  <c r="A8" i="4"/>
  <c r="A1064" i="4"/>
  <c r="A1068" i="4"/>
  <c r="A1072" i="4"/>
  <c r="A1075" i="4"/>
  <c r="A1077" i="4"/>
  <c r="A1081" i="4"/>
  <c r="A1085" i="4"/>
  <c r="A1089" i="4"/>
  <c r="A1093" i="4"/>
  <c r="A1097" i="4"/>
  <c r="A1100" i="4"/>
  <c r="A1104" i="4"/>
  <c r="A1108" i="4"/>
  <c r="A1112" i="4"/>
  <c r="A1116" i="4"/>
  <c r="A1120" i="4"/>
  <c r="A1123" i="4"/>
  <c r="A1127" i="4"/>
  <c r="A1131" i="4"/>
  <c r="A1135" i="4"/>
  <c r="A1139" i="4"/>
  <c r="A1143" i="4"/>
  <c r="A1147" i="4"/>
  <c r="A1151" i="4"/>
  <c r="A1155" i="4"/>
  <c r="A1159" i="4"/>
  <c r="A1163" i="4"/>
  <c r="A1167" i="4"/>
  <c r="A1171" i="4"/>
  <c r="A1175" i="4"/>
  <c r="A1179" i="4"/>
  <c r="A1183" i="4"/>
  <c r="A1186" i="4"/>
  <c r="A1189" i="4"/>
  <c r="A1192" i="4"/>
  <c r="A1196" i="4"/>
  <c r="A1199" i="4"/>
  <c r="A1203" i="4"/>
  <c r="A128" i="4"/>
  <c r="A1208" i="4"/>
  <c r="A1212" i="4"/>
  <c r="A1216" i="4"/>
  <c r="A108" i="4"/>
  <c r="A1220" i="4"/>
  <c r="A1224" i="4"/>
  <c r="A1228" i="4"/>
  <c r="A1232" i="4"/>
  <c r="A1236" i="4"/>
  <c r="A1239" i="4"/>
  <c r="A1243" i="4"/>
  <c r="A1247" i="4"/>
  <c r="A1251" i="4"/>
  <c r="A122" i="4"/>
  <c r="A1258" i="4"/>
  <c r="A9" i="4"/>
  <c r="A1263" i="4"/>
  <c r="A1267" i="4"/>
  <c r="A1271" i="4"/>
  <c r="A1275" i="4"/>
  <c r="A1279" i="4"/>
  <c r="A1283" i="4"/>
  <c r="A1287" i="4"/>
  <c r="A1291" i="4"/>
  <c r="A1295" i="4"/>
  <c r="A1299" i="4"/>
  <c r="A1303" i="4"/>
  <c r="A1307" i="4"/>
  <c r="A1310" i="4"/>
  <c r="A10" i="4"/>
  <c r="A1316" i="4"/>
  <c r="A129" i="4"/>
  <c r="A1320" i="4"/>
  <c r="A11" i="4"/>
  <c r="A1323" i="4"/>
  <c r="A1325" i="4"/>
  <c r="A136" i="4"/>
  <c r="A1327" i="4"/>
  <c r="A30" i="4"/>
  <c r="A100" i="4"/>
  <c r="A1334" i="4"/>
  <c r="A75" i="4"/>
  <c r="A12" i="4"/>
  <c r="A1340" i="4"/>
  <c r="A1342" i="4"/>
  <c r="A119" i="4"/>
  <c r="A1344" i="4"/>
  <c r="A1347" i="4"/>
  <c r="A53" i="4"/>
  <c r="A42" i="4"/>
  <c r="A40" i="4"/>
  <c r="A1353" i="4"/>
  <c r="A63" i="4"/>
  <c r="A62" i="4"/>
  <c r="A44" i="4"/>
  <c r="A66" i="4"/>
  <c r="A51" i="4"/>
  <c r="A127" i="4"/>
  <c r="A1354" i="4"/>
  <c r="A1355" i="4"/>
  <c r="A103" i="4"/>
  <c r="A123" i="4"/>
  <c r="A32" i="4"/>
  <c r="G143" i="4"/>
  <c r="G147" i="4"/>
  <c r="G151" i="4"/>
  <c r="G155" i="4"/>
  <c r="G159" i="4"/>
  <c r="G163" i="4"/>
  <c r="G167" i="4"/>
  <c r="G171" i="4"/>
  <c r="G175" i="4"/>
  <c r="G179" i="4"/>
  <c r="G183" i="4"/>
  <c r="G187" i="4"/>
  <c r="G191" i="4"/>
  <c r="G195" i="4"/>
  <c r="G199" i="4"/>
  <c r="G203" i="4"/>
  <c r="G207" i="4"/>
  <c r="G211" i="4"/>
  <c r="G215" i="4"/>
  <c r="G219" i="4"/>
  <c r="G223" i="4"/>
  <c r="G226" i="4"/>
  <c r="G230" i="4"/>
  <c r="G234" i="4"/>
  <c r="G238" i="4"/>
  <c r="G242" i="4"/>
  <c r="G246" i="4"/>
  <c r="G250" i="4"/>
  <c r="G33" i="4"/>
  <c r="G257" i="4"/>
  <c r="G261" i="4"/>
  <c r="G265" i="4"/>
  <c r="G76" i="4"/>
  <c r="A169" i="4"/>
  <c r="A232" i="4"/>
  <c r="A294" i="4"/>
  <c r="A356" i="4"/>
  <c r="A420" i="4"/>
  <c r="A455" i="4"/>
  <c r="A476" i="4"/>
  <c r="A498" i="4"/>
  <c r="A519" i="4"/>
  <c r="A540" i="4"/>
  <c r="A562" i="4"/>
  <c r="A583" i="4"/>
  <c r="A604" i="4"/>
  <c r="A623" i="4"/>
  <c r="A641" i="4"/>
  <c r="A657" i="4"/>
  <c r="A672" i="4"/>
  <c r="A688" i="4"/>
  <c r="A699" i="4"/>
  <c r="A707" i="4"/>
  <c r="A715" i="4"/>
  <c r="A723" i="4"/>
  <c r="A731" i="4"/>
  <c r="A739" i="4"/>
  <c r="A744" i="4"/>
  <c r="A750" i="4"/>
  <c r="A755" i="4"/>
  <c r="A760" i="4"/>
  <c r="A766" i="4"/>
  <c r="A771" i="4"/>
  <c r="A776" i="4"/>
  <c r="A782" i="4"/>
  <c r="A787" i="4"/>
  <c r="A792" i="4"/>
  <c r="A798" i="4"/>
  <c r="A803" i="4"/>
  <c r="A808" i="4"/>
  <c r="A814" i="4"/>
  <c r="A819" i="4"/>
  <c r="A824" i="4"/>
  <c r="A828" i="4"/>
  <c r="A833" i="4"/>
  <c r="A838" i="4"/>
  <c r="A844" i="4"/>
  <c r="A849" i="4"/>
  <c r="A854" i="4"/>
  <c r="A860" i="4"/>
  <c r="A865" i="4"/>
  <c r="A869" i="4"/>
  <c r="A875" i="4"/>
  <c r="A879" i="4"/>
  <c r="A884" i="4"/>
  <c r="A890" i="4"/>
  <c r="A895" i="4"/>
  <c r="A900" i="4"/>
  <c r="A906" i="4"/>
  <c r="A911" i="4"/>
  <c r="A915" i="4"/>
  <c r="A919" i="4"/>
  <c r="A923" i="4"/>
  <c r="A927" i="4"/>
  <c r="A931" i="4"/>
  <c r="A935" i="4"/>
  <c r="A939" i="4"/>
  <c r="A942" i="4"/>
  <c r="A946" i="4"/>
  <c r="A950" i="4"/>
  <c r="A954" i="4"/>
  <c r="A958" i="4"/>
  <c r="A962" i="4"/>
  <c r="A966" i="4"/>
  <c r="A970" i="4"/>
  <c r="A974" i="4"/>
  <c r="A977" i="4"/>
  <c r="A981" i="4"/>
  <c r="A985" i="4"/>
  <c r="A989" i="4"/>
  <c r="A993" i="4"/>
  <c r="A80" i="4"/>
  <c r="A1000" i="4"/>
  <c r="A55" i="4"/>
  <c r="A1006" i="4"/>
  <c r="A1010" i="4"/>
  <c r="A1014" i="4"/>
  <c r="A1018" i="4"/>
  <c r="A1022" i="4"/>
  <c r="A1026" i="4"/>
  <c r="A1030" i="4"/>
  <c r="A1034" i="4"/>
  <c r="A1038" i="4"/>
  <c r="A1042" i="4"/>
  <c r="A1046" i="4"/>
  <c r="A1050" i="4"/>
  <c r="A1054" i="4"/>
  <c r="A1058" i="4"/>
  <c r="A1061" i="4"/>
  <c r="A1065" i="4"/>
  <c r="A1069" i="4"/>
  <c r="A94" i="4"/>
  <c r="A16" i="4"/>
  <c r="A1078" i="4"/>
  <c r="A1082" i="4"/>
  <c r="A1086" i="4"/>
  <c r="A1090" i="4"/>
  <c r="A1094" i="4"/>
  <c r="A104" i="4"/>
  <c r="A1101" i="4"/>
  <c r="A1105" i="4"/>
  <c r="A1109" i="4"/>
  <c r="A1113" i="4"/>
  <c r="A1117" i="4"/>
  <c r="A115" i="4"/>
  <c r="A1124" i="4"/>
  <c r="A1128" i="4"/>
  <c r="A1132" i="4"/>
  <c r="A1136" i="4"/>
  <c r="A1140" i="4"/>
  <c r="A1144" i="4"/>
  <c r="A1148" i="4"/>
  <c r="A1152" i="4"/>
  <c r="A1156" i="4"/>
  <c r="A1160" i="4"/>
  <c r="A1164" i="4"/>
  <c r="A1168" i="4"/>
  <c r="A1172" i="4"/>
  <c r="A1176" i="4"/>
  <c r="A1180" i="4"/>
  <c r="A1184" i="4"/>
  <c r="A38" i="4"/>
  <c r="A185" i="4"/>
  <c r="A248" i="4"/>
  <c r="A310" i="4"/>
  <c r="A372" i="4"/>
  <c r="A434" i="4"/>
  <c r="A460" i="4"/>
  <c r="A482" i="4"/>
  <c r="A503" i="4"/>
  <c r="A524" i="4"/>
  <c r="A546" i="4"/>
  <c r="A567" i="4"/>
  <c r="A588" i="4"/>
  <c r="A610" i="4"/>
  <c r="A627" i="4"/>
  <c r="A645" i="4"/>
  <c r="A661" i="4"/>
  <c r="A676" i="4"/>
  <c r="A692" i="4"/>
  <c r="A702" i="4"/>
  <c r="A710" i="4"/>
  <c r="A718" i="4"/>
  <c r="A726" i="4"/>
  <c r="A734" i="4"/>
  <c r="A740" i="4"/>
  <c r="A746" i="4"/>
  <c r="A751" i="4"/>
  <c r="A756" i="4"/>
  <c r="A762" i="4"/>
  <c r="A767" i="4"/>
  <c r="A772" i="4"/>
  <c r="A778" i="4"/>
  <c r="A783" i="4"/>
  <c r="A788" i="4"/>
  <c r="A794" i="4"/>
  <c r="A799" i="4"/>
  <c r="A804" i="4"/>
  <c r="A810" i="4"/>
  <c r="A815" i="4"/>
  <c r="A820" i="4"/>
  <c r="A41" i="4"/>
  <c r="A829" i="4"/>
  <c r="A834" i="4"/>
  <c r="A840" i="4"/>
  <c r="A845" i="4"/>
  <c r="A850" i="4"/>
  <c r="A856" i="4"/>
  <c r="A861" i="4"/>
  <c r="A866" i="4"/>
  <c r="A871" i="4"/>
  <c r="A876" i="4"/>
  <c r="A880" i="4"/>
  <c r="A886" i="4"/>
  <c r="A891" i="4"/>
  <c r="A896" i="4"/>
  <c r="A902" i="4"/>
  <c r="A907" i="4"/>
  <c r="A912" i="4"/>
  <c r="A916" i="4"/>
  <c r="A920" i="4"/>
  <c r="A924" i="4"/>
  <c r="A928" i="4"/>
  <c r="A932" i="4"/>
  <c r="A936" i="4"/>
  <c r="A940" i="4"/>
  <c r="A943" i="4"/>
  <c r="A947" i="4"/>
  <c r="A951" i="4"/>
  <c r="A955" i="4"/>
  <c r="A959" i="4"/>
  <c r="A963" i="4"/>
  <c r="A967" i="4"/>
  <c r="A971" i="4"/>
  <c r="A113" i="4"/>
  <c r="A978" i="4"/>
  <c r="A982" i="4"/>
  <c r="A986" i="4"/>
  <c r="A990" i="4"/>
  <c r="A994" i="4"/>
  <c r="A997" i="4"/>
  <c r="A1001" i="4"/>
  <c r="A1003" i="4"/>
  <c r="A1007" i="4"/>
  <c r="A1011" i="4"/>
  <c r="A1015" i="4"/>
  <c r="A1019" i="4"/>
  <c r="A1023" i="4"/>
  <c r="A1027" i="4"/>
  <c r="A1031" i="4"/>
  <c r="A1035" i="4"/>
  <c r="A1039" i="4"/>
  <c r="A1043" i="4"/>
  <c r="A1047" i="4"/>
  <c r="A1051" i="4"/>
  <c r="A1055" i="4"/>
  <c r="A1059" i="4"/>
  <c r="A1062" i="4"/>
  <c r="A1066" i="4"/>
  <c r="A1070" i="4"/>
  <c r="A1073" i="4"/>
  <c r="A1076" i="4"/>
  <c r="A1079" i="4"/>
  <c r="A1083" i="4"/>
  <c r="A1087" i="4"/>
  <c r="A1091" i="4"/>
  <c r="A1095" i="4"/>
  <c r="A1098" i="4"/>
  <c r="A1102" i="4"/>
  <c r="A1106" i="4"/>
  <c r="A1110" i="4"/>
  <c r="A1114" i="4"/>
  <c r="A1118" i="4"/>
  <c r="A1121" i="4"/>
  <c r="A1125" i="4"/>
  <c r="A1129" i="4"/>
  <c r="A1133" i="4"/>
  <c r="A1137" i="4"/>
  <c r="A1141" i="4"/>
  <c r="A1145" i="4"/>
  <c r="A1149" i="4"/>
  <c r="A1153" i="4"/>
  <c r="A1157" i="4"/>
  <c r="A1161" i="4"/>
  <c r="A1165" i="4"/>
  <c r="A1169" i="4"/>
  <c r="A1173" i="4"/>
  <c r="A1177" i="4"/>
  <c r="A1181" i="4"/>
  <c r="A201" i="4"/>
  <c r="A444" i="4"/>
  <c r="A530" i="4"/>
  <c r="A615" i="4"/>
  <c r="A680" i="4"/>
  <c r="A719" i="4"/>
  <c r="A747" i="4"/>
  <c r="A768" i="4"/>
  <c r="A790" i="4"/>
  <c r="A811" i="4"/>
  <c r="A830" i="4"/>
  <c r="A852" i="4"/>
  <c r="A872" i="4"/>
  <c r="A892" i="4"/>
  <c r="A913" i="4"/>
  <c r="A929" i="4"/>
  <c r="A944" i="4"/>
  <c r="A960" i="4"/>
  <c r="A975" i="4"/>
  <c r="A991" i="4"/>
  <c r="A1004" i="4"/>
  <c r="A1020" i="4"/>
  <c r="A1036" i="4"/>
  <c r="A1052" i="4"/>
  <c r="A1067" i="4"/>
  <c r="A1080" i="4"/>
  <c r="A1096" i="4"/>
  <c r="A1111" i="4"/>
  <c r="A1126" i="4"/>
  <c r="A1142" i="4"/>
  <c r="A1158" i="4"/>
  <c r="A1174" i="4"/>
  <c r="A1185" i="4"/>
  <c r="A81" i="4"/>
  <c r="A1195" i="4"/>
  <c r="A1200" i="4"/>
  <c r="A1205" i="4"/>
  <c r="A1207" i="4"/>
  <c r="A1213" i="4"/>
  <c r="A124" i="4"/>
  <c r="A1219" i="4"/>
  <c r="A1225" i="4"/>
  <c r="A1230" i="4"/>
  <c r="A1235" i="4"/>
  <c r="A1240" i="4"/>
  <c r="A1245" i="4"/>
  <c r="A1250" i="4"/>
  <c r="A1255" i="4"/>
  <c r="A25" i="4"/>
  <c r="A1262" i="4"/>
  <c r="A1268" i="4"/>
  <c r="A1273" i="4"/>
  <c r="A1278" i="4"/>
  <c r="A1284" i="4"/>
  <c r="A1289" i="4"/>
  <c r="A1294" i="4"/>
  <c r="A1300" i="4"/>
  <c r="A1305" i="4"/>
  <c r="A1309" i="4"/>
  <c r="A1314" i="4"/>
  <c r="A1317" i="4"/>
  <c r="A98" i="4"/>
  <c r="A99" i="4"/>
  <c r="A45" i="4"/>
  <c r="A26" i="4"/>
  <c r="A1328" i="4"/>
  <c r="A1331" i="4"/>
  <c r="A1333" i="4"/>
  <c r="A1337" i="4"/>
  <c r="A1339" i="4"/>
  <c r="A1341" i="4"/>
  <c r="A34" i="4"/>
  <c r="A1346" i="4"/>
  <c r="A1349" i="4"/>
  <c r="A1350" i="4"/>
  <c r="A43" i="4"/>
  <c r="A48" i="4"/>
  <c r="A31" i="4"/>
  <c r="A64" i="4"/>
  <c r="A78" i="4"/>
  <c r="A109" i="4"/>
  <c r="A88" i="4"/>
  <c r="A67" i="4"/>
  <c r="A1356" i="4"/>
  <c r="G141" i="4"/>
  <c r="G146" i="4"/>
  <c r="G152" i="4"/>
  <c r="G157" i="4"/>
  <c r="G162" i="4"/>
  <c r="G168" i="4"/>
  <c r="G173" i="4"/>
  <c r="G178" i="4"/>
  <c r="G184" i="4"/>
  <c r="G189" i="4"/>
  <c r="G194" i="4"/>
  <c r="G200" i="4"/>
  <c r="G205" i="4"/>
  <c r="G210" i="4"/>
  <c r="G216" i="4"/>
  <c r="G221" i="4"/>
  <c r="G225" i="4"/>
  <c r="G231" i="4"/>
  <c r="G236" i="4"/>
  <c r="G241" i="4"/>
  <c r="G247" i="4"/>
  <c r="G252" i="4"/>
  <c r="G256" i="4"/>
  <c r="G262" i="4"/>
  <c r="G267" i="4"/>
  <c r="G271" i="4"/>
  <c r="G275" i="4"/>
  <c r="G279" i="4"/>
  <c r="G283" i="4"/>
  <c r="G287" i="4"/>
  <c r="G291" i="4"/>
  <c r="G295" i="4"/>
  <c r="G299" i="4"/>
  <c r="G303" i="4"/>
  <c r="G307" i="4"/>
  <c r="G311" i="4"/>
  <c r="G315" i="4"/>
  <c r="G319" i="4"/>
  <c r="G323" i="4"/>
  <c r="G326" i="4"/>
  <c r="G330" i="4"/>
  <c r="G334" i="4"/>
  <c r="G338" i="4"/>
  <c r="G342" i="4"/>
  <c r="G346" i="4"/>
  <c r="G350" i="4"/>
  <c r="G353" i="4"/>
  <c r="G357" i="4"/>
  <c r="G361" i="4"/>
  <c r="G365" i="4"/>
  <c r="G369" i="4"/>
  <c r="G373" i="4"/>
  <c r="G377" i="4"/>
  <c r="G381" i="4"/>
  <c r="G385" i="4"/>
  <c r="G389" i="4"/>
  <c r="G393" i="4"/>
  <c r="G397" i="4"/>
  <c r="G401" i="4"/>
  <c r="G405" i="4"/>
  <c r="G409" i="4"/>
  <c r="G413" i="4"/>
  <c r="G417" i="4"/>
  <c r="G421" i="4"/>
  <c r="G424" i="4"/>
  <c r="G428" i="4"/>
  <c r="G432" i="4"/>
  <c r="G435" i="4"/>
  <c r="G439" i="4"/>
  <c r="G443" i="4"/>
  <c r="G447" i="4"/>
  <c r="G451" i="4"/>
  <c r="G455" i="4"/>
  <c r="G459" i="4"/>
  <c r="G463" i="4"/>
  <c r="G467" i="4"/>
  <c r="G471" i="4"/>
  <c r="G475" i="4"/>
  <c r="G479" i="4"/>
  <c r="G483" i="4"/>
  <c r="G487" i="4"/>
  <c r="G491" i="4"/>
  <c r="G495" i="4"/>
  <c r="G499" i="4"/>
  <c r="G503" i="4"/>
  <c r="G507" i="4"/>
  <c r="G511" i="4"/>
  <c r="G515" i="4"/>
  <c r="G519" i="4"/>
  <c r="G523" i="4"/>
  <c r="G527" i="4"/>
  <c r="G531" i="4"/>
  <c r="G535" i="4"/>
  <c r="G539" i="4"/>
  <c r="G543" i="4"/>
  <c r="G547" i="4"/>
  <c r="G551" i="4"/>
  <c r="G555" i="4"/>
  <c r="G559" i="4"/>
  <c r="G563" i="4"/>
  <c r="G567" i="4"/>
  <c r="G571" i="4"/>
  <c r="G575" i="4"/>
  <c r="G579" i="4"/>
  <c r="G583" i="4"/>
  <c r="G587" i="4"/>
  <c r="G591" i="4"/>
  <c r="G595" i="4"/>
  <c r="G599" i="4"/>
  <c r="G603" i="4"/>
  <c r="G607" i="4"/>
  <c r="G611" i="4"/>
  <c r="G615" i="4"/>
  <c r="G126" i="4"/>
  <c r="G620" i="4"/>
  <c r="G624" i="4"/>
  <c r="G627" i="4"/>
  <c r="G631" i="4"/>
  <c r="G635" i="4"/>
  <c r="G639" i="4"/>
  <c r="G643" i="4"/>
  <c r="G647" i="4"/>
  <c r="G651" i="4"/>
  <c r="G655" i="4"/>
  <c r="G659" i="4"/>
  <c r="G663" i="4"/>
  <c r="G666" i="4"/>
  <c r="G670" i="4"/>
  <c r="G674" i="4"/>
  <c r="G678" i="4"/>
  <c r="G682" i="4"/>
  <c r="G686" i="4"/>
  <c r="G690" i="4"/>
  <c r="G693" i="4"/>
  <c r="G697" i="4"/>
  <c r="G701" i="4"/>
  <c r="G705" i="4"/>
  <c r="G709" i="4"/>
  <c r="G713" i="4"/>
  <c r="G717" i="4"/>
  <c r="G721" i="4"/>
  <c r="G725" i="4"/>
  <c r="G729" i="4"/>
  <c r="G733" i="4"/>
  <c r="G737" i="4"/>
  <c r="G741" i="4"/>
  <c r="G745" i="4"/>
  <c r="G749" i="4"/>
  <c r="G753" i="4"/>
  <c r="G757" i="4"/>
  <c r="G761" i="4"/>
  <c r="G765" i="4"/>
  <c r="G769" i="4"/>
  <c r="G773" i="4"/>
  <c r="G777" i="4"/>
  <c r="G781" i="4"/>
  <c r="G785" i="4"/>
  <c r="G789" i="4"/>
  <c r="G793" i="4"/>
  <c r="G797" i="4"/>
  <c r="G801" i="4"/>
  <c r="G805" i="4"/>
  <c r="G809" i="4"/>
  <c r="G813" i="4"/>
  <c r="G817" i="4"/>
  <c r="G821" i="4"/>
  <c r="G112" i="4"/>
  <c r="G827" i="4"/>
  <c r="G831" i="4"/>
  <c r="G835" i="4"/>
  <c r="G839" i="4"/>
  <c r="A263" i="4"/>
  <c r="A466" i="4"/>
  <c r="A551" i="4"/>
  <c r="A632" i="4"/>
  <c r="A695" i="4"/>
  <c r="A727" i="4"/>
  <c r="A752" i="4"/>
  <c r="A774" i="4"/>
  <c r="A795" i="4"/>
  <c r="A816" i="4"/>
  <c r="A836" i="4"/>
  <c r="A857" i="4"/>
  <c r="A877" i="4"/>
  <c r="A898" i="4"/>
  <c r="A917" i="4"/>
  <c r="A933" i="4"/>
  <c r="A948" i="4"/>
  <c r="A964" i="4"/>
  <c r="A979" i="4"/>
  <c r="A995" i="4"/>
  <c r="A1008" i="4"/>
  <c r="A1024" i="4"/>
  <c r="A1040" i="4"/>
  <c r="A1056" i="4"/>
  <c r="A1071" i="4"/>
  <c r="A1084" i="4"/>
  <c r="A1099" i="4"/>
  <c r="A1115" i="4"/>
  <c r="A1130" i="4"/>
  <c r="A1146" i="4"/>
  <c r="A1162" i="4"/>
  <c r="A1178" i="4"/>
  <c r="A1187" i="4"/>
  <c r="A1191" i="4"/>
  <c r="A135" i="4"/>
  <c r="A1201" i="4"/>
  <c r="A60" i="4"/>
  <c r="A1209" i="4"/>
  <c r="A1214" i="4"/>
  <c r="A73" i="4"/>
  <c r="A1221" i="4"/>
  <c r="A1226" i="4"/>
  <c r="A1231" i="4"/>
  <c r="A1237" i="4"/>
  <c r="A1241" i="4"/>
  <c r="A1246" i="4"/>
  <c r="A1252" i="4"/>
  <c r="A1256" i="4"/>
  <c r="A1259" i="4"/>
  <c r="A1264" i="4"/>
  <c r="A1269" i="4"/>
  <c r="A1274" i="4"/>
  <c r="A1280" i="4"/>
  <c r="A1285" i="4"/>
  <c r="A1290" i="4"/>
  <c r="A1296" i="4"/>
  <c r="A1301" i="4"/>
  <c r="A1306" i="4"/>
  <c r="A1311" i="4"/>
  <c r="A1315" i="4"/>
  <c r="A131" i="4"/>
  <c r="A56" i="4"/>
  <c r="A1321" i="4"/>
  <c r="A1324" i="4"/>
  <c r="A137" i="4"/>
  <c r="A1329" i="4"/>
  <c r="A1332" i="4"/>
  <c r="A74" i="4"/>
  <c r="A1338" i="4"/>
  <c r="A72" i="4"/>
  <c r="A1343" i="4"/>
  <c r="A106" i="4"/>
  <c r="A102" i="4"/>
  <c r="A50" i="4"/>
  <c r="A121" i="4"/>
  <c r="A47" i="4"/>
  <c r="A57" i="4"/>
  <c r="A35" i="4"/>
  <c r="A19" i="4"/>
  <c r="A24" i="4"/>
  <c r="A130" i="4"/>
  <c r="A90" i="4"/>
  <c r="A101" i="4"/>
  <c r="A1357" i="4"/>
  <c r="G142" i="4"/>
  <c r="G148" i="4"/>
  <c r="G153" i="4"/>
  <c r="G158" i="4"/>
  <c r="G164" i="4"/>
  <c r="G169" i="4"/>
  <c r="G174" i="4"/>
  <c r="G180" i="4"/>
  <c r="G185" i="4"/>
  <c r="G190" i="4"/>
  <c r="G196" i="4"/>
  <c r="G201" i="4"/>
  <c r="G206" i="4"/>
  <c r="G212" i="4"/>
  <c r="G217" i="4"/>
  <c r="G222" i="4"/>
  <c r="G227" i="4"/>
  <c r="G232" i="4"/>
  <c r="G237" i="4"/>
  <c r="G243" i="4"/>
  <c r="G248" i="4"/>
  <c r="G253" i="4"/>
  <c r="G258" i="4"/>
  <c r="G263" i="4"/>
  <c r="G268" i="4"/>
  <c r="G272" i="4"/>
  <c r="G276" i="4"/>
  <c r="G280" i="4"/>
  <c r="G284" i="4"/>
  <c r="G288" i="4"/>
  <c r="G292" i="4"/>
  <c r="G296" i="4"/>
  <c r="G300" i="4"/>
  <c r="G304" i="4"/>
  <c r="G308" i="4"/>
  <c r="G312" i="4"/>
  <c r="G316" i="4"/>
  <c r="G320" i="4"/>
  <c r="G6" i="4"/>
  <c r="G327" i="4"/>
  <c r="G331" i="4"/>
  <c r="G335" i="4"/>
  <c r="G339" i="4"/>
  <c r="G343" i="4"/>
  <c r="G347" i="4"/>
  <c r="G120" i="4"/>
  <c r="G354" i="4"/>
  <c r="G358" i="4"/>
  <c r="G362" i="4"/>
  <c r="G366" i="4"/>
  <c r="G370" i="4"/>
  <c r="G374" i="4"/>
  <c r="G378" i="4"/>
  <c r="G382" i="4"/>
  <c r="G386" i="4"/>
  <c r="G390" i="4"/>
  <c r="G394" i="4"/>
  <c r="A325" i="4"/>
  <c r="A487" i="4"/>
  <c r="A572" i="4"/>
  <c r="A649" i="4"/>
  <c r="A703" i="4"/>
  <c r="A735" i="4"/>
  <c r="A758" i="4"/>
  <c r="A779" i="4"/>
  <c r="A800" i="4"/>
  <c r="A822" i="4"/>
  <c r="A841" i="4"/>
  <c r="A862" i="4"/>
  <c r="A882" i="4"/>
  <c r="A903" i="4"/>
  <c r="A921" i="4"/>
  <c r="A937" i="4"/>
  <c r="A952" i="4"/>
  <c r="A968" i="4"/>
  <c r="A983" i="4"/>
  <c r="A998" i="4"/>
  <c r="A1012" i="4"/>
  <c r="A1028" i="4"/>
  <c r="A1044" i="4"/>
  <c r="A1060" i="4"/>
  <c r="A1074" i="4"/>
  <c r="A1088" i="4"/>
  <c r="A1103" i="4"/>
  <c r="A1119" i="4"/>
  <c r="A1134" i="4"/>
  <c r="A1150" i="4"/>
  <c r="A1166" i="4"/>
  <c r="A1182" i="4"/>
  <c r="A1188" i="4"/>
  <c r="A1193" i="4"/>
  <c r="A1197" i="4"/>
  <c r="A1202" i="4"/>
  <c r="A29" i="4"/>
  <c r="A1210" i="4"/>
  <c r="A1215" i="4"/>
  <c r="A114" i="4"/>
  <c r="A1222" i="4"/>
  <c r="A1227" i="4"/>
  <c r="A1233" i="4"/>
  <c r="A116" i="4"/>
  <c r="A1242" i="4"/>
  <c r="A1248" i="4"/>
  <c r="A1253" i="4"/>
  <c r="A1257" i="4"/>
  <c r="A1260" i="4"/>
  <c r="A1265" i="4"/>
  <c r="A1270" i="4"/>
  <c r="A1276" i="4"/>
  <c r="A1281" i="4"/>
  <c r="A1286" i="4"/>
  <c r="A1292" i="4"/>
  <c r="A1297" i="4"/>
  <c r="A1302" i="4"/>
  <c r="A1308" i="4"/>
  <c r="A1312" i="4"/>
  <c r="A15" i="4"/>
  <c r="A1318" i="4"/>
  <c r="A89" i="4"/>
  <c r="A1322" i="4"/>
  <c r="A1326" i="4"/>
  <c r="A133" i="4"/>
  <c r="A87" i="4"/>
  <c r="A37" i="4"/>
  <c r="A1335" i="4"/>
  <c r="A77" i="4"/>
  <c r="A27" i="4"/>
  <c r="A139" i="4"/>
  <c r="A82" i="4"/>
  <c r="A1348" i="4"/>
  <c r="A13" i="4"/>
  <c r="A1351" i="4"/>
  <c r="A92" i="4"/>
  <c r="A61" i="4"/>
  <c r="A58" i="4"/>
  <c r="A54" i="4"/>
  <c r="A132" i="4"/>
  <c r="A28" i="4"/>
  <c r="A96" i="4"/>
  <c r="A125" i="4"/>
  <c r="A20" i="4"/>
  <c r="G144" i="4"/>
  <c r="G149" i="4"/>
  <c r="G154" i="4"/>
  <c r="G160" i="4"/>
  <c r="G165" i="4"/>
  <c r="G170" i="4"/>
  <c r="G176" i="4"/>
  <c r="G181" i="4"/>
  <c r="G186" i="4"/>
  <c r="G192" i="4"/>
  <c r="G197" i="4"/>
  <c r="G202" i="4"/>
  <c r="G208" i="4"/>
  <c r="G213" i="4"/>
  <c r="G218" i="4"/>
  <c r="G224" i="4"/>
  <c r="G228" i="4"/>
  <c r="G233" i="4"/>
  <c r="G239" i="4"/>
  <c r="G244" i="4"/>
  <c r="G249" i="4"/>
  <c r="G254" i="4"/>
  <c r="G259" i="4"/>
  <c r="G264" i="4"/>
  <c r="G269" i="4"/>
  <c r="G273" i="4"/>
  <c r="G277" i="4"/>
  <c r="G281" i="4"/>
  <c r="G285" i="4"/>
  <c r="G289" i="4"/>
  <c r="G293" i="4"/>
  <c r="G297" i="4"/>
  <c r="G301" i="4"/>
  <c r="G305" i="4"/>
  <c r="G309" i="4"/>
  <c r="G313" i="4"/>
  <c r="G317" i="4"/>
  <c r="G321" i="4"/>
  <c r="G324" i="4"/>
  <c r="G328" i="4"/>
  <c r="G332" i="4"/>
  <c r="G336" i="4"/>
  <c r="G340" i="4"/>
  <c r="G344" i="4"/>
  <c r="G348" i="4"/>
  <c r="G351" i="4"/>
  <c r="G355" i="4"/>
  <c r="G359" i="4"/>
  <c r="G363" i="4"/>
  <c r="G367" i="4"/>
  <c r="G371" i="4"/>
  <c r="G375" i="4"/>
  <c r="G379" i="4"/>
  <c r="G383" i="4"/>
  <c r="G387" i="4"/>
  <c r="G391" i="4"/>
  <c r="A388" i="4"/>
  <c r="A711" i="4"/>
  <c r="A806" i="4"/>
  <c r="A887" i="4"/>
  <c r="A956" i="4"/>
  <c r="A1016" i="4"/>
  <c r="A59" i="4"/>
  <c r="A1138" i="4"/>
  <c r="A1190" i="4"/>
  <c r="A1206" i="4"/>
  <c r="A1223" i="4"/>
  <c r="A1244" i="4"/>
  <c r="A1261" i="4"/>
  <c r="A1282" i="4"/>
  <c r="A1304" i="4"/>
  <c r="A1319" i="4"/>
  <c r="A134" i="4"/>
  <c r="A18" i="4"/>
  <c r="A49" i="4"/>
  <c r="A65" i="4"/>
  <c r="A93" i="4"/>
  <c r="G145" i="4"/>
  <c r="G166" i="4"/>
  <c r="G188" i="4"/>
  <c r="G209" i="4"/>
  <c r="G229" i="4"/>
  <c r="G251" i="4"/>
  <c r="G270" i="4"/>
  <c r="G286" i="4"/>
  <c r="G302" i="4"/>
  <c r="G318" i="4"/>
  <c r="G333" i="4"/>
  <c r="G349" i="4"/>
  <c r="G364" i="4"/>
  <c r="G380" i="4"/>
  <c r="G395" i="4"/>
  <c r="G400" i="4"/>
  <c r="G406" i="4"/>
  <c r="G411" i="4"/>
  <c r="G416" i="4"/>
  <c r="G422" i="4"/>
  <c r="G426" i="4"/>
  <c r="G431" i="4"/>
  <c r="G436" i="4"/>
  <c r="G441" i="4"/>
  <c r="G446" i="4"/>
  <c r="G452" i="4"/>
  <c r="G457" i="4"/>
  <c r="G462" i="4"/>
  <c r="G468" i="4"/>
  <c r="G473" i="4"/>
  <c r="G478" i="4"/>
  <c r="G484" i="4"/>
  <c r="G489" i="4"/>
  <c r="G494" i="4"/>
  <c r="G500" i="4"/>
  <c r="G505" i="4"/>
  <c r="G510" i="4"/>
  <c r="G516" i="4"/>
  <c r="G521" i="4"/>
  <c r="G526" i="4"/>
  <c r="G532" i="4"/>
  <c r="G537" i="4"/>
  <c r="G542" i="4"/>
  <c r="G548" i="4"/>
  <c r="G553" i="4"/>
  <c r="G558" i="4"/>
  <c r="G564" i="4"/>
  <c r="G569" i="4"/>
  <c r="G574" i="4"/>
  <c r="G580" i="4"/>
  <c r="G585" i="4"/>
  <c r="G590" i="4"/>
  <c r="G596" i="4"/>
  <c r="G601" i="4"/>
  <c r="G606" i="4"/>
  <c r="G612" i="4"/>
  <c r="G617" i="4"/>
  <c r="G619" i="4"/>
  <c r="G625" i="4"/>
  <c r="G629" i="4"/>
  <c r="G634" i="4"/>
  <c r="G640" i="4"/>
  <c r="G645" i="4"/>
  <c r="G650" i="4"/>
  <c r="G656" i="4"/>
  <c r="G661" i="4"/>
  <c r="G665" i="4"/>
  <c r="G671" i="4"/>
  <c r="G676" i="4"/>
  <c r="G681" i="4"/>
  <c r="G687" i="4"/>
  <c r="G692" i="4"/>
  <c r="G696" i="4"/>
  <c r="G702" i="4"/>
  <c r="G707" i="4"/>
  <c r="G712" i="4"/>
  <c r="G718" i="4"/>
  <c r="G723" i="4"/>
  <c r="G728" i="4"/>
  <c r="G734" i="4"/>
  <c r="G739" i="4"/>
  <c r="G744" i="4"/>
  <c r="G750" i="4"/>
  <c r="G755" i="4"/>
  <c r="G760" i="4"/>
  <c r="G766" i="4"/>
  <c r="G771" i="4"/>
  <c r="G776" i="4"/>
  <c r="G782" i="4"/>
  <c r="G787" i="4"/>
  <c r="G792" i="4"/>
  <c r="G798" i="4"/>
  <c r="G803" i="4"/>
  <c r="G808" i="4"/>
  <c r="G814" i="4"/>
  <c r="G819" i="4"/>
  <c r="G824" i="4"/>
  <c r="G828" i="4"/>
  <c r="G833" i="4"/>
  <c r="G838" i="4"/>
  <c r="G843" i="4"/>
  <c r="G847" i="4"/>
  <c r="G851" i="4"/>
  <c r="G855" i="4"/>
  <c r="G859" i="4"/>
  <c r="G863" i="4"/>
  <c r="G867" i="4"/>
  <c r="G870" i="4"/>
  <c r="G874" i="4"/>
  <c r="G36" i="4"/>
  <c r="G881" i="4"/>
  <c r="G885" i="4"/>
  <c r="G889" i="4"/>
  <c r="G893" i="4"/>
  <c r="G897" i="4"/>
  <c r="G901" i="4"/>
  <c r="G905" i="4"/>
  <c r="G909" i="4"/>
  <c r="G913" i="4"/>
  <c r="G917" i="4"/>
  <c r="G921" i="4"/>
  <c r="G925" i="4"/>
  <c r="G929" i="4"/>
  <c r="G933" i="4"/>
  <c r="G937" i="4"/>
  <c r="G941" i="4"/>
  <c r="G944" i="4"/>
  <c r="G948" i="4"/>
  <c r="G952" i="4"/>
  <c r="G956" i="4"/>
  <c r="G960" i="4"/>
  <c r="G964" i="4"/>
  <c r="G968" i="4"/>
  <c r="G972" i="4"/>
  <c r="G975" i="4"/>
  <c r="G979" i="4"/>
  <c r="G983" i="4"/>
  <c r="G987" i="4"/>
  <c r="G991" i="4"/>
  <c r="G995" i="4"/>
  <c r="G998" i="4"/>
  <c r="G1002" i="4"/>
  <c r="G1004" i="4"/>
  <c r="G1008" i="4"/>
  <c r="G1012" i="4"/>
  <c r="G1016" i="4"/>
  <c r="G1020" i="4"/>
  <c r="G1024" i="4"/>
  <c r="G1028" i="4"/>
  <c r="G1032" i="4"/>
  <c r="G1036" i="4"/>
  <c r="G1040" i="4"/>
  <c r="G1044" i="4"/>
  <c r="G1048" i="4"/>
  <c r="G1052" i="4"/>
  <c r="G1056" i="4"/>
  <c r="G1060" i="4"/>
  <c r="G1063" i="4"/>
  <c r="G1067" i="4"/>
  <c r="G1071" i="4"/>
  <c r="G1074" i="4"/>
  <c r="G59" i="4"/>
  <c r="G1080" i="4"/>
  <c r="G1084" i="4"/>
  <c r="G1088" i="4"/>
  <c r="G1092" i="4"/>
  <c r="G1096" i="4"/>
  <c r="G1099" i="4"/>
  <c r="G1103" i="4"/>
  <c r="G1107" i="4"/>
  <c r="G1111" i="4"/>
  <c r="G1115" i="4"/>
  <c r="G1119" i="4"/>
  <c r="G1122" i="4"/>
  <c r="G1126" i="4"/>
  <c r="G1130" i="4"/>
  <c r="G1134" i="4"/>
  <c r="G1138" i="4"/>
  <c r="G1142" i="4"/>
  <c r="G1146" i="4"/>
  <c r="G1150" i="4"/>
  <c r="G1154" i="4"/>
  <c r="G1158" i="4"/>
  <c r="G1162" i="4"/>
  <c r="G1166" i="4"/>
  <c r="G1170" i="4"/>
  <c r="G1174" i="4"/>
  <c r="G1178" i="4"/>
  <c r="G1182" i="4"/>
  <c r="G1185" i="4"/>
  <c r="G1188" i="4"/>
  <c r="G1191" i="4"/>
  <c r="G1195" i="4"/>
  <c r="G1198" i="4"/>
  <c r="G1202" i="4"/>
  <c r="G60" i="4"/>
  <c r="G1207" i="4"/>
  <c r="G1211" i="4"/>
  <c r="G1215" i="4"/>
  <c r="G73" i="4"/>
  <c r="G1219" i="4"/>
  <c r="G1223" i="4"/>
  <c r="G1227" i="4"/>
  <c r="G1231" i="4"/>
  <c r="G1235" i="4"/>
  <c r="G1238" i="4"/>
  <c r="G1242" i="4"/>
  <c r="G1246" i="4"/>
  <c r="G1250" i="4"/>
  <c r="G1254" i="4"/>
  <c r="G1257" i="4"/>
  <c r="G1259" i="4"/>
  <c r="G1262" i="4"/>
  <c r="G1266" i="4"/>
  <c r="G1270" i="4"/>
  <c r="G1274" i="4"/>
  <c r="G1278" i="4"/>
  <c r="G1282" i="4"/>
  <c r="G1286" i="4"/>
  <c r="G1290" i="4"/>
  <c r="G1294" i="4"/>
  <c r="G1298" i="4"/>
  <c r="G1302" i="4"/>
  <c r="G1306" i="4"/>
  <c r="G1309" i="4"/>
  <c r="G1313" i="4"/>
  <c r="G15" i="4"/>
  <c r="G131" i="4"/>
  <c r="G98" i="4"/>
  <c r="G17" i="4"/>
  <c r="G1322" i="4"/>
  <c r="G1324" i="4"/>
  <c r="G26" i="4"/>
  <c r="G134" i="4"/>
  <c r="G87" i="4"/>
  <c r="G1332" i="4"/>
  <c r="G1333" i="4"/>
  <c r="G1336" i="4"/>
  <c r="G77" i="4"/>
  <c r="G72" i="4"/>
  <c r="G1341" i="4"/>
  <c r="G117" i="4"/>
  <c r="G82" i="4"/>
  <c r="G102" i="4"/>
  <c r="G1349" i="4"/>
  <c r="G46" i="4"/>
  <c r="G1351" i="4"/>
  <c r="G47" i="4"/>
  <c r="G48" i="4"/>
  <c r="G65" i="4"/>
  <c r="G58" i="4"/>
  <c r="G19" i="4"/>
  <c r="G78" i="4"/>
  <c r="G105" i="4"/>
  <c r="G28" i="4"/>
  <c r="G90" i="4"/>
  <c r="G67" i="4"/>
  <c r="G85" i="4"/>
  <c r="G20" i="4"/>
  <c r="A508" i="4"/>
  <c r="A742" i="4"/>
  <c r="A825" i="4"/>
  <c r="A908" i="4"/>
  <c r="A972" i="4"/>
  <c r="A1032" i="4"/>
  <c r="A1092" i="4"/>
  <c r="A1154" i="4"/>
  <c r="A1194" i="4"/>
  <c r="A1211" i="4"/>
  <c r="A1229" i="4"/>
  <c r="A1249" i="4"/>
  <c r="A1266" i="4"/>
  <c r="A1288" i="4"/>
  <c r="A138" i="4"/>
  <c r="A17" i="4"/>
  <c r="A1330" i="4"/>
  <c r="A21" i="4"/>
  <c r="A46" i="4"/>
  <c r="A14" i="4"/>
  <c r="A83" i="4"/>
  <c r="G150" i="4"/>
  <c r="G172" i="4"/>
  <c r="G193" i="4"/>
  <c r="G214" i="4"/>
  <c r="G235" i="4"/>
  <c r="G255" i="4"/>
  <c r="G274" i="4"/>
  <c r="G290" i="4"/>
  <c r="G306" i="4"/>
  <c r="G322" i="4"/>
  <c r="G337" i="4"/>
  <c r="G352" i="4"/>
  <c r="G368" i="4"/>
  <c r="G384" i="4"/>
  <c r="G396" i="4"/>
  <c r="G402" i="4"/>
  <c r="G407" i="4"/>
  <c r="G412" i="4"/>
  <c r="G418" i="4"/>
  <c r="G423" i="4"/>
  <c r="G427" i="4"/>
  <c r="G69" i="4"/>
  <c r="G437" i="4"/>
  <c r="G442" i="4"/>
  <c r="G448" i="4"/>
  <c r="G453" i="4"/>
  <c r="G458" i="4"/>
  <c r="G464" i="4"/>
  <c r="G469" i="4"/>
  <c r="G474" i="4"/>
  <c r="G480" i="4"/>
  <c r="G485" i="4"/>
  <c r="G490" i="4"/>
  <c r="G496" i="4"/>
  <c r="G501" i="4"/>
  <c r="G506" i="4"/>
  <c r="G512" i="4"/>
  <c r="G517" i="4"/>
  <c r="G522" i="4"/>
  <c r="G528" i="4"/>
  <c r="G533" i="4"/>
  <c r="G538" i="4"/>
  <c r="G544" i="4"/>
  <c r="G549" i="4"/>
  <c r="G554" i="4"/>
  <c r="G560" i="4"/>
  <c r="G565" i="4"/>
  <c r="G570" i="4"/>
  <c r="G576" i="4"/>
  <c r="G581" i="4"/>
  <c r="G586" i="4"/>
  <c r="G592" i="4"/>
  <c r="G597" i="4"/>
  <c r="G602" i="4"/>
  <c r="G608" i="4"/>
  <c r="G613" i="4"/>
  <c r="G86" i="4"/>
  <c r="G621" i="4"/>
  <c r="G118" i="4"/>
  <c r="G630" i="4"/>
  <c r="G636" i="4"/>
  <c r="G641" i="4"/>
  <c r="G646" i="4"/>
  <c r="G652" i="4"/>
  <c r="G657" i="4"/>
  <c r="G662" i="4"/>
  <c r="G667" i="4"/>
  <c r="G672" i="4"/>
  <c r="G677" i="4"/>
  <c r="G683" i="4"/>
  <c r="G688" i="4"/>
  <c r="G111" i="4"/>
  <c r="G698" i="4"/>
  <c r="G703" i="4"/>
  <c r="G708" i="4"/>
  <c r="G714" i="4"/>
  <c r="G719" i="4"/>
  <c r="G724" i="4"/>
  <c r="G730" i="4"/>
  <c r="G735" i="4"/>
  <c r="G740" i="4"/>
  <c r="G746" i="4"/>
  <c r="G751" i="4"/>
  <c r="G756" i="4"/>
  <c r="G762" i="4"/>
  <c r="G767" i="4"/>
  <c r="G772" i="4"/>
  <c r="G778" i="4"/>
  <c r="G783" i="4"/>
  <c r="G788" i="4"/>
  <c r="G794" i="4"/>
  <c r="G799" i="4"/>
  <c r="G804" i="4"/>
  <c r="G810" i="4"/>
  <c r="G815" i="4"/>
  <c r="G820" i="4"/>
  <c r="G41" i="4"/>
  <c r="G829" i="4"/>
  <c r="G834" i="4"/>
  <c r="G840" i="4"/>
  <c r="G844" i="4"/>
  <c r="G848" i="4"/>
  <c r="G852" i="4"/>
  <c r="G856" i="4"/>
  <c r="G860" i="4"/>
  <c r="G864" i="4"/>
  <c r="G7" i="4"/>
  <c r="G871" i="4"/>
  <c r="G875" i="4"/>
  <c r="G878" i="4"/>
  <c r="G882" i="4"/>
  <c r="G886" i="4"/>
  <c r="G890" i="4"/>
  <c r="G894" i="4"/>
  <c r="G898" i="4"/>
  <c r="G902" i="4"/>
  <c r="G906" i="4"/>
  <c r="G910" i="4"/>
  <c r="G914" i="4"/>
  <c r="G918" i="4"/>
  <c r="G922" i="4"/>
  <c r="G926" i="4"/>
  <c r="G930" i="4"/>
  <c r="G934" i="4"/>
  <c r="G938" i="4"/>
  <c r="G79" i="4"/>
  <c r="G945" i="4"/>
  <c r="G949" i="4"/>
  <c r="G953" i="4"/>
  <c r="G957" i="4"/>
  <c r="G961" i="4"/>
  <c r="G965" i="4"/>
  <c r="G969" i="4"/>
  <c r="G973" i="4"/>
  <c r="G976" i="4"/>
  <c r="G980" i="4"/>
  <c r="G984" i="4"/>
  <c r="G988" i="4"/>
  <c r="G992" i="4"/>
  <c r="G996" i="4"/>
  <c r="G999" i="4"/>
  <c r="G68" i="4"/>
  <c r="G1005" i="4"/>
  <c r="G1009" i="4"/>
  <c r="G1013" i="4"/>
  <c r="G1017" i="4"/>
  <c r="G1021" i="4"/>
  <c r="G1025" i="4"/>
  <c r="G1029" i="4"/>
  <c r="G1033" i="4"/>
  <c r="G1037" i="4"/>
  <c r="G1041" i="4"/>
  <c r="G1045" i="4"/>
  <c r="G1049" i="4"/>
  <c r="G1053" i="4"/>
  <c r="G1057" i="4"/>
  <c r="G8" i="4"/>
  <c r="G1064" i="4"/>
  <c r="G1068" i="4"/>
  <c r="G1072" i="4"/>
  <c r="G1075" i="4"/>
  <c r="G1077" i="4"/>
  <c r="G1081" i="4"/>
  <c r="G1085" i="4"/>
  <c r="G1089" i="4"/>
  <c r="G1093" i="4"/>
  <c r="G1097" i="4"/>
  <c r="G1100" i="4"/>
  <c r="G1104" i="4"/>
  <c r="G1108" i="4"/>
  <c r="G1112" i="4"/>
  <c r="G1116" i="4"/>
  <c r="G1120" i="4"/>
  <c r="G1123" i="4"/>
  <c r="G1127" i="4"/>
  <c r="G1131" i="4"/>
  <c r="G1135" i="4"/>
  <c r="G1139" i="4"/>
  <c r="G1143" i="4"/>
  <c r="G1147" i="4"/>
  <c r="G1151" i="4"/>
  <c r="G1155" i="4"/>
  <c r="G1159" i="4"/>
  <c r="G1163" i="4"/>
  <c r="G1167" i="4"/>
  <c r="G1171" i="4"/>
  <c r="G1175" i="4"/>
  <c r="G1179" i="4"/>
  <c r="G1183" i="4"/>
  <c r="G1186" i="4"/>
  <c r="G1189" i="4"/>
  <c r="G1192" i="4"/>
  <c r="G1196" i="4"/>
  <c r="G1199" i="4"/>
  <c r="G1203" i="4"/>
  <c r="G128" i="4"/>
  <c r="G1208" i="4"/>
  <c r="G1212" i="4"/>
  <c r="G1216" i="4"/>
  <c r="G108" i="4"/>
  <c r="G1220" i="4"/>
  <c r="G1224" i="4"/>
  <c r="G1228" i="4"/>
  <c r="G1232" i="4"/>
  <c r="G1236" i="4"/>
  <c r="G1239" i="4"/>
  <c r="G1243" i="4"/>
  <c r="G1247" i="4"/>
  <c r="G1251" i="4"/>
  <c r="G122" i="4"/>
  <c r="G1258" i="4"/>
  <c r="G9" i="4"/>
  <c r="G1263" i="4"/>
  <c r="G1267" i="4"/>
  <c r="G1271" i="4"/>
  <c r="G1275" i="4"/>
  <c r="G1279" i="4"/>
  <c r="G1283" i="4"/>
  <c r="G1287" i="4"/>
  <c r="G1291" i="4"/>
  <c r="G1295" i="4"/>
  <c r="G1299" i="4"/>
  <c r="G1303" i="4"/>
  <c r="G1307" i="4"/>
  <c r="G1310" i="4"/>
  <c r="G10" i="4"/>
  <c r="G1316" i="4"/>
  <c r="G129" i="4"/>
  <c r="G1320" i="4"/>
  <c r="G11" i="4"/>
  <c r="G1323" i="4"/>
  <c r="G1325" i="4"/>
  <c r="G136" i="4"/>
  <c r="G1327" i="4"/>
  <c r="A594" i="4"/>
  <c r="A763" i="4"/>
  <c r="A846" i="4"/>
  <c r="A925" i="4"/>
  <c r="A987" i="4"/>
  <c r="A1048" i="4"/>
  <c r="A1107" i="4"/>
  <c r="A1170" i="4"/>
  <c r="A1198" i="4"/>
  <c r="A1217" i="4"/>
  <c r="A1234" i="4"/>
  <c r="A1254" i="4"/>
  <c r="A1272" i="4"/>
  <c r="A1293" i="4"/>
  <c r="A1313" i="4"/>
  <c r="A70" i="4"/>
  <c r="A71" i="4"/>
  <c r="A117" i="4"/>
  <c r="A1352" i="4"/>
  <c r="A23" i="4"/>
  <c r="A85" i="4"/>
  <c r="G156" i="4"/>
  <c r="G177" i="4"/>
  <c r="G198" i="4"/>
  <c r="G220" i="4"/>
  <c r="G240" i="4"/>
  <c r="G260" i="4"/>
  <c r="G278" i="4"/>
  <c r="G294" i="4"/>
  <c r="G310" i="4"/>
  <c r="G325" i="4"/>
  <c r="G341" i="4"/>
  <c r="G356" i="4"/>
  <c r="G372" i="4"/>
  <c r="G388" i="4"/>
  <c r="G398" i="4"/>
  <c r="G403" i="4"/>
  <c r="G408" i="4"/>
  <c r="G414" i="4"/>
  <c r="G419" i="4"/>
  <c r="G107" i="4"/>
  <c r="G429" i="4"/>
  <c r="G433" i="4"/>
  <c r="G438" i="4"/>
  <c r="G444" i="4"/>
  <c r="G449" i="4"/>
  <c r="G454" i="4"/>
  <c r="G460" i="4"/>
  <c r="G465" i="4"/>
  <c r="G470" i="4"/>
  <c r="G476" i="4"/>
  <c r="G481" i="4"/>
  <c r="G486" i="4"/>
  <c r="G492" i="4"/>
  <c r="G497" i="4"/>
  <c r="G502" i="4"/>
  <c r="G508" i="4"/>
  <c r="G513" i="4"/>
  <c r="G518" i="4"/>
  <c r="G524" i="4"/>
  <c r="G529" i="4"/>
  <c r="G534" i="4"/>
  <c r="G540" i="4"/>
  <c r="G545" i="4"/>
  <c r="G550" i="4"/>
  <c r="G556" i="4"/>
  <c r="G561" i="4"/>
  <c r="G566" i="4"/>
  <c r="G572" i="4"/>
  <c r="G577" i="4"/>
  <c r="G582" i="4"/>
  <c r="G588" i="4"/>
  <c r="G593" i="4"/>
  <c r="G598" i="4"/>
  <c r="G604" i="4"/>
  <c r="G609" i="4"/>
  <c r="G614" i="4"/>
  <c r="G91" i="4"/>
  <c r="G622" i="4"/>
  <c r="G626" i="4"/>
  <c r="G632" i="4"/>
  <c r="G637" i="4"/>
  <c r="G642" i="4"/>
  <c r="G648" i="4"/>
  <c r="G653" i="4"/>
  <c r="G658" i="4"/>
  <c r="G97" i="4"/>
  <c r="G668" i="4"/>
  <c r="G673" i="4"/>
  <c r="G679" i="4"/>
  <c r="G684" i="4"/>
  <c r="G689" i="4"/>
  <c r="G694" i="4"/>
  <c r="G699" i="4"/>
  <c r="G704" i="4"/>
  <c r="G710" i="4"/>
  <c r="G715" i="4"/>
  <c r="G720" i="4"/>
  <c r="G726" i="4"/>
  <c r="G731" i="4"/>
  <c r="G736" i="4"/>
  <c r="G742" i="4"/>
  <c r="G747" i="4"/>
  <c r="G752" i="4"/>
  <c r="G758" i="4"/>
  <c r="G763" i="4"/>
  <c r="G768" i="4"/>
  <c r="G774" i="4"/>
  <c r="G779" i="4"/>
  <c r="G784" i="4"/>
  <c r="G790" i="4"/>
  <c r="G795" i="4"/>
  <c r="G800" i="4"/>
  <c r="G806" i="4"/>
  <c r="G811" i="4"/>
  <c r="G816" i="4"/>
  <c r="G822" i="4"/>
  <c r="G825" i="4"/>
  <c r="G830" i="4"/>
  <c r="G836" i="4"/>
  <c r="A664" i="4"/>
  <c r="A1002" i="4"/>
  <c r="A1204" i="4"/>
  <c r="A1277" i="4"/>
  <c r="A1336" i="4"/>
  <c r="G140" i="4"/>
  <c r="G110" i="4"/>
  <c r="G298" i="4"/>
  <c r="G360" i="4"/>
  <c r="G404" i="4"/>
  <c r="G425" i="4"/>
  <c r="G445" i="4"/>
  <c r="G466" i="4"/>
  <c r="G488" i="4"/>
  <c r="G509" i="4"/>
  <c r="G530" i="4"/>
  <c r="G552" i="4"/>
  <c r="G573" i="4"/>
  <c r="G594" i="4"/>
  <c r="G616" i="4"/>
  <c r="G633" i="4"/>
  <c r="G654" i="4"/>
  <c r="G675" i="4"/>
  <c r="G695" i="4"/>
  <c r="G716" i="4"/>
  <c r="G738" i="4"/>
  <c r="G759" i="4"/>
  <c r="G780" i="4"/>
  <c r="G802" i="4"/>
  <c r="G823" i="4"/>
  <c r="G841" i="4"/>
  <c r="G849" i="4"/>
  <c r="G857" i="4"/>
  <c r="G865" i="4"/>
  <c r="G872" i="4"/>
  <c r="G879" i="4"/>
  <c r="G887" i="4"/>
  <c r="G895" i="4"/>
  <c r="G903" i="4"/>
  <c r="G911" i="4"/>
  <c r="G919" i="4"/>
  <c r="G927" i="4"/>
  <c r="G935" i="4"/>
  <c r="G942" i="4"/>
  <c r="G950" i="4"/>
  <c r="G958" i="4"/>
  <c r="G966" i="4"/>
  <c r="G974" i="4"/>
  <c r="G981" i="4"/>
  <c r="G989" i="4"/>
  <c r="G80" i="4"/>
  <c r="G55" i="4"/>
  <c r="G1010" i="4"/>
  <c r="G1018" i="4"/>
  <c r="G1026" i="4"/>
  <c r="G1034" i="4"/>
  <c r="G1042" i="4"/>
  <c r="G1050" i="4"/>
  <c r="G1058" i="4"/>
  <c r="G1065" i="4"/>
  <c r="G94" i="4"/>
  <c r="G1078" i="4"/>
  <c r="G1086" i="4"/>
  <c r="G1094" i="4"/>
  <c r="G1101" i="4"/>
  <c r="G1109" i="4"/>
  <c r="G1117" i="4"/>
  <c r="G1124" i="4"/>
  <c r="G1132" i="4"/>
  <c r="G1140" i="4"/>
  <c r="G1148" i="4"/>
  <c r="G1156" i="4"/>
  <c r="G1164" i="4"/>
  <c r="G1172" i="4"/>
  <c r="G1180" i="4"/>
  <c r="G38" i="4"/>
  <c r="G1193" i="4"/>
  <c r="G1200" i="4"/>
  <c r="G29" i="4"/>
  <c r="G1213" i="4"/>
  <c r="G114" i="4"/>
  <c r="G1225" i="4"/>
  <c r="G1233" i="4"/>
  <c r="G1240" i="4"/>
  <c r="G1248" i="4"/>
  <c r="G1255" i="4"/>
  <c r="G1260" i="4"/>
  <c r="G1268" i="4"/>
  <c r="G1276" i="4"/>
  <c r="G1284" i="4"/>
  <c r="G1292" i="4"/>
  <c r="G1300" i="4"/>
  <c r="G1308" i="4"/>
  <c r="G1314" i="4"/>
  <c r="G1318" i="4"/>
  <c r="G99" i="4"/>
  <c r="G1326" i="4"/>
  <c r="G1328" i="4"/>
  <c r="G1331" i="4"/>
  <c r="G1334" i="4"/>
  <c r="G1337" i="4"/>
  <c r="G1339" i="4"/>
  <c r="G1342" i="4"/>
  <c r="G34" i="4"/>
  <c r="G1346" i="4"/>
  <c r="G53" i="4"/>
  <c r="G1350" i="4"/>
  <c r="G43" i="4"/>
  <c r="G63" i="4"/>
  <c r="G31" i="4"/>
  <c r="G64" i="4"/>
  <c r="G51" i="4"/>
  <c r="G109" i="4"/>
  <c r="G88" i="4"/>
  <c r="G103" i="4"/>
  <c r="G1356" i="4"/>
  <c r="A784" i="4"/>
  <c r="A1063" i="4"/>
  <c r="A1218" i="4"/>
  <c r="A1298" i="4"/>
  <c r="A1345" i="4"/>
  <c r="G161" i="4"/>
  <c r="G245" i="4"/>
  <c r="G314" i="4"/>
  <c r="G376" i="4"/>
  <c r="G410" i="4"/>
  <c r="G430" i="4"/>
  <c r="G450" i="4"/>
  <c r="G472" i="4"/>
  <c r="G493" i="4"/>
  <c r="G514" i="4"/>
  <c r="G536" i="4"/>
  <c r="G557" i="4"/>
  <c r="G578" i="4"/>
  <c r="G600" i="4"/>
  <c r="G618" i="4"/>
  <c r="G638" i="4"/>
  <c r="G660" i="4"/>
  <c r="G680" i="4"/>
  <c r="G700" i="4"/>
  <c r="G722" i="4"/>
  <c r="G743" i="4"/>
  <c r="G764" i="4"/>
  <c r="G786" i="4"/>
  <c r="G807" i="4"/>
  <c r="G826" i="4"/>
  <c r="G842" i="4"/>
  <c r="G850" i="4"/>
  <c r="G858" i="4"/>
  <c r="G866" i="4"/>
  <c r="G873" i="4"/>
  <c r="G880" i="4"/>
  <c r="G888" i="4"/>
  <c r="G896" i="4"/>
  <c r="G904" i="4"/>
  <c r="G912" i="4"/>
  <c r="G920" i="4"/>
  <c r="G928" i="4"/>
  <c r="G936" i="4"/>
  <c r="G943" i="4"/>
  <c r="G951" i="4"/>
  <c r="G959" i="4"/>
  <c r="G967" i="4"/>
  <c r="G113" i="4"/>
  <c r="G982" i="4"/>
  <c r="G990" i="4"/>
  <c r="G997" i="4"/>
  <c r="G1003" i="4"/>
  <c r="G1011" i="4"/>
  <c r="G1019" i="4"/>
  <c r="G1027" i="4"/>
  <c r="G1035" i="4"/>
  <c r="G1043" i="4"/>
  <c r="G1051" i="4"/>
  <c r="G1059" i="4"/>
  <c r="G1066" i="4"/>
  <c r="G1073" i="4"/>
  <c r="G1079" i="4"/>
  <c r="G1087" i="4"/>
  <c r="G1095" i="4"/>
  <c r="G1102" i="4"/>
  <c r="G1110" i="4"/>
  <c r="G1118" i="4"/>
  <c r="G1125" i="4"/>
  <c r="G1133" i="4"/>
  <c r="G1141" i="4"/>
  <c r="G1149" i="4"/>
  <c r="G1157" i="4"/>
  <c r="G1165" i="4"/>
  <c r="G1173" i="4"/>
  <c r="G1181" i="4"/>
  <c r="G1187" i="4"/>
  <c r="G1194" i="4"/>
  <c r="G1201" i="4"/>
  <c r="G1206" i="4"/>
  <c r="G1214" i="4"/>
  <c r="G1218" i="4"/>
  <c r="G1226" i="4"/>
  <c r="G1234" i="4"/>
  <c r="G1241" i="4"/>
  <c r="G1249" i="4"/>
  <c r="G1256" i="4"/>
  <c r="G1261" i="4"/>
  <c r="G1269" i="4"/>
  <c r="G1277" i="4"/>
  <c r="G1285" i="4"/>
  <c r="G1293" i="4"/>
  <c r="G1301" i="4"/>
  <c r="G138" i="4"/>
  <c r="G1315" i="4"/>
  <c r="G1319" i="4"/>
  <c r="G1321" i="4"/>
  <c r="G52" i="4"/>
  <c r="G1329" i="4"/>
  <c r="G100" i="4"/>
  <c r="G74" i="4"/>
  <c r="G1338" i="4"/>
  <c r="G1340" i="4"/>
  <c r="G1343" i="4"/>
  <c r="G106" i="4"/>
  <c r="G1347" i="4"/>
  <c r="G50" i="4"/>
  <c r="G121" i="4"/>
  <c r="G1353" i="4"/>
  <c r="G57" i="4"/>
  <c r="G35" i="4"/>
  <c r="G66" i="4"/>
  <c r="G24" i="4"/>
  <c r="G130" i="4"/>
  <c r="G1355" i="4"/>
  <c r="G101" i="4"/>
  <c r="G1357" i="4"/>
  <c r="A941" i="4"/>
  <c r="A95" i="4"/>
  <c r="A105" i="4"/>
  <c r="G204" i="4"/>
  <c r="G345" i="4"/>
  <c r="G420" i="4"/>
  <c r="G440" i="4"/>
  <c r="G482" i="4"/>
  <c r="G504" i="4"/>
  <c r="G546" i="4"/>
  <c r="G589" i="4"/>
  <c r="G628" i="4"/>
  <c r="G649" i="4"/>
  <c r="G691" i="4"/>
  <c r="G732" i="4"/>
  <c r="G754" i="4"/>
  <c r="G775" i="4"/>
  <c r="G818" i="4"/>
  <c r="G837" i="4"/>
  <c r="G854" i="4"/>
  <c r="G862" i="4"/>
  <c r="G877" i="4"/>
  <c r="G884" i="4"/>
  <c r="G900" i="4"/>
  <c r="G916" i="4"/>
  <c r="G924" i="4"/>
  <c r="G940" i="4"/>
  <c r="G947" i="4"/>
  <c r="G963" i="4"/>
  <c r="G978" i="4"/>
  <c r="G986" i="4"/>
  <c r="G1001" i="4"/>
  <c r="G1015" i="4"/>
  <c r="G1023" i="4"/>
  <c r="G1039" i="4"/>
  <c r="G1047" i="4"/>
  <c r="G1062" i="4"/>
  <c r="G1070" i="4"/>
  <c r="G1083" i="4"/>
  <c r="G1098" i="4"/>
  <c r="G1106" i="4"/>
  <c r="G1114" i="4"/>
  <c r="G1129" i="4"/>
  <c r="G1145" i="4"/>
  <c r="G1153" i="4"/>
  <c r="G1161" i="4"/>
  <c r="G1177" i="4"/>
  <c r="G81" i="4"/>
  <c r="G1205" i="4"/>
  <c r="G1210" i="4"/>
  <c r="G124" i="4"/>
  <c r="G1230" i="4"/>
  <c r="G1245" i="4"/>
  <c r="G1253" i="4"/>
  <c r="G1265" i="4"/>
  <c r="G1281" i="4"/>
  <c r="G1289" i="4"/>
  <c r="G1305" i="4"/>
  <c r="G1317" i="4"/>
  <c r="G89" i="4"/>
  <c r="G133" i="4"/>
  <c r="G1330" i="4"/>
  <c r="G75" i="4"/>
  <c r="G18" i="4"/>
  <c r="G119" i="4"/>
  <c r="G1345" i="4"/>
  <c r="G42" i="4"/>
  <c r="G22" i="4"/>
  <c r="G62" i="4"/>
  <c r="G23" i="4"/>
  <c r="G127" i="4"/>
  <c r="G83" i="4"/>
  <c r="G123" i="4"/>
  <c r="A7" i="4"/>
  <c r="A1122" i="4"/>
  <c r="A1238" i="4"/>
  <c r="A39" i="4"/>
  <c r="A22" i="4"/>
  <c r="G182" i="4"/>
  <c r="G266" i="4"/>
  <c r="G329" i="4"/>
  <c r="G392" i="4"/>
  <c r="G415" i="4"/>
  <c r="G434" i="4"/>
  <c r="G456" i="4"/>
  <c r="G477" i="4"/>
  <c r="G498" i="4"/>
  <c r="G520" i="4"/>
  <c r="G541" i="4"/>
  <c r="G562" i="4"/>
  <c r="G584" i="4"/>
  <c r="G605" i="4"/>
  <c r="G623" i="4"/>
  <c r="G644" i="4"/>
  <c r="G664" i="4"/>
  <c r="G685" i="4"/>
  <c r="G706" i="4"/>
  <c r="G727" i="4"/>
  <c r="G748" i="4"/>
  <c r="G770" i="4"/>
  <c r="G791" i="4"/>
  <c r="G812" i="4"/>
  <c r="G832" i="4"/>
  <c r="G845" i="4"/>
  <c r="G853" i="4"/>
  <c r="G861" i="4"/>
  <c r="G868" i="4"/>
  <c r="G876" i="4"/>
  <c r="G883" i="4"/>
  <c r="G891" i="4"/>
  <c r="G899" i="4"/>
  <c r="G907" i="4"/>
  <c r="G915" i="4"/>
  <c r="G923" i="4"/>
  <c r="G931" i="4"/>
  <c r="G939" i="4"/>
  <c r="G946" i="4"/>
  <c r="G954" i="4"/>
  <c r="G962" i="4"/>
  <c r="G970" i="4"/>
  <c r="G977" i="4"/>
  <c r="G985" i="4"/>
  <c r="G993" i="4"/>
  <c r="G1000" i="4"/>
  <c r="G1006" i="4"/>
  <c r="G1014" i="4"/>
  <c r="G1022" i="4"/>
  <c r="G1030" i="4"/>
  <c r="G1038" i="4"/>
  <c r="G1046" i="4"/>
  <c r="G1054" i="4"/>
  <c r="G1061" i="4"/>
  <c r="G1069" i="4"/>
  <c r="G16" i="4"/>
  <c r="G1082" i="4"/>
  <c r="G1090" i="4"/>
  <c r="G104" i="4"/>
  <c r="G1105" i="4"/>
  <c r="G1113" i="4"/>
  <c r="G115" i="4"/>
  <c r="G1128" i="4"/>
  <c r="G1136" i="4"/>
  <c r="G1144" i="4"/>
  <c r="G1152" i="4"/>
  <c r="G1160" i="4"/>
  <c r="G1168" i="4"/>
  <c r="G1176" i="4"/>
  <c r="G1184" i="4"/>
  <c r="G1190" i="4"/>
  <c r="G135" i="4"/>
  <c r="G1204" i="4"/>
  <c r="G1209" i="4"/>
  <c r="G1217" i="4"/>
  <c r="G1221" i="4"/>
  <c r="G1229" i="4"/>
  <c r="G1237" i="4"/>
  <c r="G1244" i="4"/>
  <c r="G1252" i="4"/>
  <c r="G95" i="4"/>
  <c r="G1264" i="4"/>
  <c r="G1272" i="4"/>
  <c r="G1280" i="4"/>
  <c r="G1288" i="4"/>
  <c r="G1296" i="4"/>
  <c r="G1304" i="4"/>
  <c r="G1311" i="4"/>
  <c r="G39" i="4"/>
  <c r="G56" i="4"/>
  <c r="G70" i="4"/>
  <c r="G137" i="4"/>
  <c r="G30" i="4"/>
  <c r="G37" i="4"/>
  <c r="G1335" i="4"/>
  <c r="G12" i="4"/>
  <c r="G27" i="4"/>
  <c r="G139" i="4"/>
  <c r="G1344" i="4"/>
  <c r="G1348" i="4"/>
  <c r="G13" i="4"/>
  <c r="G40" i="4"/>
  <c r="G92" i="4"/>
  <c r="G61" i="4"/>
  <c r="G44" i="4"/>
  <c r="G54" i="4"/>
  <c r="G132" i="4"/>
  <c r="G1354" i="4"/>
  <c r="G96" i="4"/>
  <c r="G125" i="4"/>
  <c r="G32" i="4"/>
  <c r="A84" i="4"/>
  <c r="A52" i="4"/>
  <c r="G282" i="4"/>
  <c r="G399" i="4"/>
  <c r="G461" i="4"/>
  <c r="G525" i="4"/>
  <c r="G568" i="4"/>
  <c r="G610" i="4"/>
  <c r="G669" i="4"/>
  <c r="G711" i="4"/>
  <c r="G796" i="4"/>
  <c r="G846" i="4"/>
  <c r="G869" i="4"/>
  <c r="G892" i="4"/>
  <c r="G908" i="4"/>
  <c r="G932" i="4"/>
  <c r="G955" i="4"/>
  <c r="G971" i="4"/>
  <c r="G994" i="4"/>
  <c r="G1007" i="4"/>
  <c r="G1031" i="4"/>
  <c r="G1055" i="4"/>
  <c r="G1076" i="4"/>
  <c r="G1091" i="4"/>
  <c r="G1121" i="4"/>
  <c r="G1137" i="4"/>
  <c r="G1169" i="4"/>
  <c r="G84" i="4"/>
  <c r="G1197" i="4"/>
  <c r="G1222" i="4"/>
  <c r="G116" i="4"/>
  <c r="G25" i="4"/>
  <c r="G1273" i="4"/>
  <c r="G1297" i="4"/>
  <c r="G1312" i="4"/>
  <c r="G45" i="4"/>
  <c r="G71" i="4"/>
  <c r="G21" i="4"/>
  <c r="G49" i="4"/>
  <c r="G1352" i="4"/>
  <c r="G14" i="4"/>
  <c r="G93"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ropbox\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Email]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<sst xmlns="http://schemas.openxmlformats.org/spreadsheetml/2006/main" count="19204" uniqueCount="3589">
  <si>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</si>
  <si>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</si>
  <si>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</si>
  <si>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</si>
  <si>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</si>
  <si>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</si>
  <si>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</si>
  <si>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</si>
  <si>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</si>
  <si>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</si>
  <si>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</si>
  <si>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</si>
  <si>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</si>
  <si>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</si>
  <si>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</si>
  <si>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</si>
  <si>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</si>
  <si>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</si>
  <si>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</si>
  <si>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</si>
  <si>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</si>
  <si>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</si>
  <si>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</si>
  <si>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</si>
  <si>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</si>
  <si>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</si>
  <si>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</si>
  <si>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</si>
  <si>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</si>
  <si>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</si>
  <si>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</si>
  <si>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</si>
  <si>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</si>
  <si>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</si>
  <si>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</si>
  <si>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</si>
  <si>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</si>
  <si>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</si>
  <si>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</si>
  <si>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</si>
  <si>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</si>
  <si>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</si>
  <si>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</si>
  <si>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</si>
  <si>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</si>
  <si>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</si>
  <si>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</si>
  <si>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</si>
  <si>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</si>
  <si>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</si>
  <si>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</si>
  <si>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</si>
  <si>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</si>
  <si>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</si>
  <si>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</si>
  <si>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</si>
  <si>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</si>
  <si>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</si>
  <si>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</si>
  <si>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</si>
  <si>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</si>
  <si>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</si>
  <si>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</si>
  <si>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</si>
  <si>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</si>
  <si>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</si>
  <si>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</si>
  <si>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</si>
  <si>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</si>
  <si>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</si>
  <si>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</si>
  <si>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</si>
  <si>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</si>
  <si>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</si>
  <si>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</si>
  <si>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</si>
  <si>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</si>
  <si>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</si>
  <si>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</si>
  <si>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</si>
  <si>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</si>
  <si>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</si>
  <si>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</si>
  <si>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</si>
  <si>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</si>
  <si>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</si>
  <si>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</si>
  <si>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</si>
  <si>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</si>
  <si>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</si>
  <si>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</si>
  <si>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</si>
  <si>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</si>
  <si>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</si>
  <si>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</si>
  <si>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</si>
  <si>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</si>
  <si>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</si>
  <si>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</si>
  <si>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</si>
  <si>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</si>
  <si>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</si>
  <si>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</si>
  <si>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</si>
  <si>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</si>
  <si>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</si>
  <si>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</si>
  <si>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</si>
  <si>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</si>
  <si>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</si>
  <si>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</si>
  <si>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</si>
  <si>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</si>
  <si>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</si>
  <si>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</si>
  <si>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</si>
  <si>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</si>
  <si>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</si>
  <si>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</si>
  <si>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</si>
  <si>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</si>
  <si>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</si>
  <si>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</si>
  <si>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</si>
  <si>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</si>
  <si>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</si>
  <si>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</si>
  <si>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</si>
  <si>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</si>
  <si>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</si>
  <si>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ECR - Reference Q-note 200555381, Item 1. Suggest replacing W.003PQS252004 with W.003PQS252005. Original screws were too short.</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</si>
  <si>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</si>
  <si>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</si>
  <si>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</si>
  <si>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</si>
  <si>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</si>
  <si>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</si>
  <si>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</si>
  <si>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</si>
  <si>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</si>
  <si>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</si>
  <si>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</si>
  <si>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</si>
  <si>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</si>
  <si>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</si>
  <si>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</si>
  <si>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</si>
  <si>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</si>
  <si>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</si>
  <si>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</si>
  <si>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</si>
  <si>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</si>
  <si>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</si>
  <si>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</si>
  <si>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</si>
  <si>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</si>
  <si>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</si>
  <si>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</si>
  <si>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</si>
  <si>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</si>
  <si>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</si>
  <si>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</si>
  <si>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</si>
  <si>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</si>
  <si>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Description:  UPDATE DRAWINGS 312660-00-01, 312087-00-01 AND 311046-00-01;</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</si>
  <si>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</si>
  <si>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</si>
  <si>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</si>
  <si>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</si>
  <si>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</si>
  <si>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</si>
  <si>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</si>
  <si>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</si>
  <si>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</si>
  <si>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</si>
  <si>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</si>
  <si>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</si>
  <si>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</si>
  <si>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</si>
  <si>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</si>
  <si>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ECR - HF1 Packer 101793361 does not have an anchor clamp on the BOM. Per Pranay Asthana, the anchor clamp should be on the BOM. Also, the tie wraps to hold the test keys in place during shipping are not on any packer BOMs.</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</si>
  <si>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</si>
  <si>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</si>
  <si>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</si>
  <si>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</si>
  <si>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</si>
  <si>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</si>
  <si>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</si>
  <si>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</si>
  <si>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</si>
  <si>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</si>
  <si>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</si>
  <si>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</si>
  <si>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</si>
  <si>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</si>
  <si>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</si>
  <si>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</si>
  <si>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</si>
  <si>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</si>
  <si>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</si>
  <si>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</si>
  <si>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</si>
  <si>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</si>
  <si>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</si>
  <si>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</si>
  <si>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</si>
  <si>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</si>
  <si>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</si>
  <si>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</si>
  <si>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</si>
  <si>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</si>
  <si>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</si>
  <si>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</si>
  <si>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</si>
  <si>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</si>
  <si>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</si>
  <si>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</si>
  <si>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</si>
  <si>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</si>
  <si>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</si>
  <si>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</si>
  <si>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</si>
  <si>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</si>
  <si>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</si>
  <si>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</si>
  <si>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</si>
  <si>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</si>
  <si>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</si>
  <si>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</si>
  <si>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</si>
  <si>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</si>
  <si>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</si>
  <si>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</si>
  <si>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</si>
  <si>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</si>
  <si>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</si>
  <si>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</si>
  <si>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</si>
  <si>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</si>
  <si>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</si>
  <si>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</si>
  <si>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</si>
  <si>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</si>
  <si>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</si>
  <si>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</si>
  <si>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</si>
  <si>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</si>
  <si>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</si>
  <si>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</si>
  <si>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</si>
  <si>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</si>
  <si>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</si>
  <si>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</si>
  <si>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</si>
  <si>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</si>
  <si>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</si>
  <si>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</si>
  <si>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</si>
  <si>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</si>
  <si>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</si>
  <si>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</si>
  <si>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</si>
  <si>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</si>
  <si>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ECR - HVC assembly document ES-A-442 instructs to use a drift (size 3.720) on page 14, step 3.3. Valve assembly 101821390 has a special I.D. that differs from that of a common valve. This valve has a 3.688 I.D. The 3.720 drift cannot be used in a 3.688 I.D. bore.</t>
  </si>
  <si>
    <t>Non-Intrusive Flow Meter MOC</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</si>
  <si>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</si>
  <si>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</si>
  <si>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</si>
  <si>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</si>
  <si>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</si>
  <si>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</si>
  <si>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</si>
  <si>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</si>
  <si>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</si>
  <si>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</si>
  <si>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</si>
  <si>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</si>
  <si>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</si>
  <si>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</si>
  <si>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</si>
  <si>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</si>
  <si>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</si>
  <si>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</si>
  <si>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</si>
  <si>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</si>
  <si>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</si>
  <si>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</si>
  <si>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</si>
  <si>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</si>
  <si>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</si>
  <si>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</si>
  <si>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</si>
  <si>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</si>
  <si>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</si>
  <si>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</si>
  <si>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</si>
  <si>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</si>
  <si>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</si>
  <si>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</si>
  <si>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</si>
  <si>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</si>
  <si>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</si>
  <si>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</si>
  <si>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</si>
  <si>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</si>
  <si>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</si>
  <si>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</si>
  <si>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</si>
  <si>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</si>
  <si>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</si>
  <si>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</si>
  <si>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</si>
  <si>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</si>
  <si>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</si>
  <si>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</si>
  <si>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</si>
  <si>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</si>
  <si>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</si>
  <si>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</si>
  <si>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</si>
  <si>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</si>
  <si>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</si>
  <si>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</si>
  <si>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</si>
  <si>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</si>
  <si>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</si>
  <si>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</si>
  <si>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</si>
  <si>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</si>
  <si>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</si>
  <si>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</si>
  <si>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</si>
  <si>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</si>
  <si>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</si>
  <si>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</si>
  <si>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</si>
  <si>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</si>
  <si>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</si>
  <si>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</si>
  <si>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</si>
  <si>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</si>
  <si>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</si>
  <si>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</si>
  <si>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</si>
  <si>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</si>
  <si>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</si>
  <si>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</si>
  <si>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</si>
  <si>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</si>
  <si>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</si>
  <si>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</si>
  <si>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</si>
  <si>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</si>
  <si>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</si>
  <si>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</si>
  <si>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</si>
  <si>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</si>
  <si>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</si>
  <si>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</si>
  <si>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</si>
  <si>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</si>
  <si>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</si>
  <si>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</si>
  <si>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</si>
  <si>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</si>
  <si>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</si>
  <si>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</si>
  <si>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</si>
  <si>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</si>
  <si>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</si>
  <si>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</si>
  <si>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</si>
  <si>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</si>
  <si>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</si>
  <si>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</si>
  <si>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</si>
  <si>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</si>
  <si>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</si>
  <si>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</si>
  <si>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</si>
  <si>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</si>
  <si>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</si>
  <si>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</si>
  <si>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</si>
  <si>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</si>
  <si>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</si>
  <si>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</si>
  <si>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</si>
  <si>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</si>
  <si>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</si>
  <si>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</si>
  <si>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</si>
  <si>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</si>
  <si>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</si>
  <si>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</si>
  <si>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</si>
  <si>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</si>
  <si>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</si>
  <si>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</si>
  <si>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</si>
  <si>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</si>
  <si>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</si>
  <si>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</si>
  <si>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</si>
  <si>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</si>
  <si>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</si>
  <si>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</si>
  <si>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</si>
  <si>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</si>
  <si>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CHANGE INTERNAL TEST PRESSURE VALUE IN FAT PROCEDURES AND DESIGN DATA SHEETS FOR 70XX MC1 PACKERS FROM 7500 PSI TO 5500 PSI (THE SS CONTROL LINE TUBES 313298-FC THAT SEE COLLAPSE PRESSURE DURING THE FAT ARE RATED ONLY TO 6000 PSI IN COLLAPSE AT AMBIENT)- RAVI VAYEDA</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</si>
  <si>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</si>
  <si>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</si>
  <si>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</si>
  <si>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</si>
  <si>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</si>
  <si>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</si>
  <si>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</si>
  <si>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</si>
  <si>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</si>
  <si>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</si>
  <si>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</si>
  <si>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</si>
  <si>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</si>
  <si>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</si>
  <si>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</si>
  <si>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</si>
  <si>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</si>
  <si>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</si>
  <si>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</si>
  <si>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</si>
  <si>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</si>
  <si>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</si>
  <si>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</si>
  <si>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</si>
  <si>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</si>
  <si>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</si>
  <si>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</si>
  <si>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</si>
  <si>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</si>
  <si>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</si>
  <si>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</si>
  <si>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</si>
  <si>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</si>
  <si>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</si>
  <si>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</si>
  <si>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</si>
  <si>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</si>
  <si>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</si>
  <si>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</si>
  <si>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</si>
  <si>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</si>
  <si>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</si>
  <si>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</si>
  <si>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</si>
  <si>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</si>
  <si>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</si>
  <si>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</si>
  <si>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</si>
  <si>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</si>
  <si>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</si>
  <si>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</si>
  <si>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</si>
  <si>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</si>
  <si>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</si>
  <si>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</si>
  <si>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</si>
  <si>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</si>
  <si>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</si>
  <si>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</si>
  <si>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</si>
  <si>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</si>
  <si>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</si>
  <si>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</si>
  <si>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</si>
  <si>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</si>
  <si>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</si>
  <si>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</si>
  <si>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</si>
  <si>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</si>
  <si>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</si>
  <si>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</si>
  <si>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</si>
  <si>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</si>
  <si>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</si>
  <si>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</si>
  <si>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</si>
  <si>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</si>
  <si>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</si>
  <si>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</si>
  <si>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</si>
  <si>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</si>
  <si>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</si>
  <si>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</si>
  <si>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</si>
  <si>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</si>
  <si>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</si>
  <si>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</si>
  <si>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</si>
  <si>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</si>
  <si>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</si>
  <si>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</si>
  <si>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</si>
  <si>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</si>
  <si>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</si>
  <si>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</si>
  <si>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</si>
  <si>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</si>
  <si>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</si>
  <si>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</si>
  <si>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</si>
  <si>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</si>
  <si>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</si>
  <si>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</si>
  <si>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</si>
  <si>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</si>
  <si>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</si>
  <si>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</si>
  <si>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</si>
  <si>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</si>
  <si>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</si>
  <si>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</si>
  <si>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</si>
  <si>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</si>
  <si>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</si>
  <si>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</si>
  <si>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</si>
  <si>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</si>
  <si>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</si>
  <si>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</si>
  <si>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</si>
  <si>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</si>
  <si>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</si>
  <si>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</si>
  <si>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</si>
  <si>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</si>
  <si>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</si>
  <si>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</si>
  <si>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</si>
  <si>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</si>
  <si>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</si>
  <si>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</si>
  <si>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</si>
  <si>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</si>
  <si>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</si>
  <si>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</si>
  <si>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</si>
  <si>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</si>
  <si>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</si>
  <si>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</si>
  <si>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</si>
  <si>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</si>
  <si>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</si>
  <si>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</si>
  <si>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</si>
  <si>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</si>
  <si>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</si>
  <si>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</si>
  <si>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</si>
  <si>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</si>
  <si>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</si>
  <si>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</si>
  <si>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</si>
  <si>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</si>
  <si>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</si>
  <si>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</si>
  <si>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</si>
  <si>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</si>
  <si>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</si>
  <si>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</si>
  <si>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</si>
  <si>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</si>
  <si>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</si>
  <si>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</si>
  <si>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</si>
  <si>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</si>
  <si>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</si>
  <si>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</si>
  <si>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</si>
  <si>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</si>
  <si>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</si>
  <si>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</si>
  <si>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</si>
  <si>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</si>
  <si>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</si>
  <si>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</si>
  <si>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</si>
  <si>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</si>
  <si>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</si>
  <si>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</si>
  <si>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</si>
  <si>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</si>
  <si>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</si>
  <si>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</si>
  <si>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</si>
  <si>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</si>
  <si>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</si>
  <si>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</si>
  <si>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</si>
  <si>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</si>
  <si>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</si>
  <si>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</si>
  <si>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</si>
  <si>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</si>
  <si>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</si>
  <si>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</si>
  <si>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</si>
  <si>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</si>
  <si>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</si>
  <si>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</si>
  <si>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</si>
  <si>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</si>
  <si>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</si>
  <si>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</si>
  <si>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</si>
  <si>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</si>
  <si>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</si>
  <si>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</si>
  <si>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</si>
  <si>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</si>
  <si>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</si>
  <si>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</si>
  <si>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</si>
  <si>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</si>
  <si>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</si>
  <si>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</si>
  <si>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</si>
  <si>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</si>
  <si>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</si>
  <si>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</si>
  <si>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</si>
  <si>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</si>
  <si>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</si>
  <si>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</si>
  <si>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</si>
  <si>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</si>
  <si>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</si>
  <si>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</si>
  <si>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</si>
  <si>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</si>
  <si>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</si>
  <si>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</si>
  <si>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</si>
  <si>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</si>
  <si>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</si>
  <si>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</si>
  <si>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</si>
  <si>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</si>
  <si>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</si>
  <si>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</si>
  <si>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</si>
  <si>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</si>
  <si>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</si>
  <si>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</si>
  <si>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</si>
  <si>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</si>
  <si>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</si>
  <si>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</si>
  <si>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</si>
  <si>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</si>
  <si>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</si>
  <si>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</si>
  <si>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UPDATE DRAWING W.302276-00-01 PER CWI STANDARDS. UPDATE ALL CORRESPONDING PARTS WITH W. PREFIX</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</si>
  <si>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</si>
  <si>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</si>
  <si>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</si>
  <si>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</si>
  <si>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</si>
  <si>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</si>
  <si>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</si>
  <si>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</si>
  <si>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</si>
  <si>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</si>
  <si>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</si>
  <si>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</si>
  <si>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</si>
  <si>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</si>
  <si>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</si>
  <si>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</si>
  <si>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</si>
  <si>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</si>
  <si>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</si>
  <si>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</si>
  <si>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</si>
  <si>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</si>
  <si>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</si>
  <si>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</si>
  <si>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</si>
  <si>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</si>
  <si>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UPDATE DRAWING W.302169-00-00 PER CWI STANDARDS. UPDATE ALL CORRESPONDING PARTS WITH W. PREFIX</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</si>
  <si>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</si>
  <si>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</si>
  <si>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</si>
  <si>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</si>
  <si>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</si>
  <si>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</si>
  <si>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</si>
  <si>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</si>
  <si>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</si>
  <si>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</si>
  <si>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</si>
  <si>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</si>
  <si>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</si>
  <si>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</si>
  <si>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</si>
  <si>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</si>
  <si>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</si>
  <si>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</si>
  <si>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UPDATE DRAWING W.302548-00-00 PER CWI STANDARDS. UPDATE ALL CORRESPONDING PARTS WITH W. PREFIX</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</si>
  <si>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</si>
  <si>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</si>
  <si>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</si>
  <si>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</si>
  <si>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</si>
  <si>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</si>
  <si>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</si>
  <si>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</si>
  <si>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</si>
  <si>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</si>
  <si>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</si>
  <si>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</si>
  <si>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</si>
  <si>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</si>
  <si>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</si>
  <si>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</si>
  <si>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</si>
  <si>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</si>
  <si>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</si>
  <si>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</si>
  <si>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</si>
  <si>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</si>
  <si>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</si>
  <si>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</si>
  <si>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</si>
  <si>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</si>
  <si>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</si>
  <si>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</si>
  <si>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eSSSV Development</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</si>
  <si>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</si>
  <si>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</si>
  <si>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</si>
  <si>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</si>
  <si>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</si>
  <si>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</si>
  <si>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</si>
  <si>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</si>
  <si>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</si>
  <si>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</si>
  <si>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</si>
  <si>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</si>
  <si>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</si>
  <si>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</si>
  <si>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</si>
  <si>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</si>
  <si>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</si>
  <si>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</si>
  <si>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</si>
  <si>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</si>
  <si>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</si>
  <si>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</si>
  <si>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</si>
  <si>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</si>
  <si>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</si>
  <si>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</si>
  <si>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</si>
  <si>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</si>
  <si>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</si>
  <si>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</si>
  <si>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</si>
  <si>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</si>
  <si>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</si>
  <si>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</si>
  <si>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</si>
  <si>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</si>
  <si>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</si>
  <si>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</si>
  <si>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</si>
  <si>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</si>
  <si>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</si>
  <si>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</si>
  <si>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</si>
  <si>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</si>
  <si>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</si>
  <si>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</si>
  <si>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</si>
  <si>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</si>
  <si>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</si>
  <si>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</si>
  <si>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</si>
  <si>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</si>
  <si>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</si>
  <si>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</si>
  <si>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</si>
  <si>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</si>
  <si>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</si>
  <si>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</si>
  <si>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</si>
  <si>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</si>
  <si>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</si>
  <si>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</si>
  <si>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</si>
  <si>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</si>
  <si>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ZEWO:  103456504
Network: HTWD601618 M001</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</si>
  <si>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</si>
  <si>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</si>
  <si>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</si>
  <si>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</si>
  <si>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</si>
  <si>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</si>
  <si>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</si>
  <si>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</si>
  <si>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</si>
  <si>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</si>
  <si>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</si>
  <si>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</si>
  <si>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</si>
  <si>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</si>
  <si>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</si>
  <si>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UPDATE DRAWING W.302264-00-00 PER CWI STANDARDS. UPDATE ALL CORRESPONDING PARTS WITH W. PREFIX</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</si>
  <si>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</si>
  <si>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</si>
  <si>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</si>
  <si>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</si>
  <si>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</si>
  <si>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</si>
  <si>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</si>
  <si>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</si>
  <si>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</si>
  <si>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</si>
  <si>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</si>
  <si>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</si>
  <si>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</si>
  <si>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</si>
  <si>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</si>
  <si>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</si>
  <si>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</si>
  <si>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</si>
  <si>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</si>
  <si>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</si>
  <si>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</si>
  <si>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</si>
  <si>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</si>
  <si>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</si>
  <si>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</si>
  <si>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</si>
  <si>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</si>
  <si>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</si>
  <si>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</si>
  <si>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</si>
  <si>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</si>
  <si>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</si>
  <si>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</si>
  <si>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</si>
  <si>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</si>
  <si>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</si>
  <si>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</si>
  <si>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</si>
  <si>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</si>
  <si>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</si>
  <si>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</si>
  <si>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</si>
  <si>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</si>
  <si>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</si>
  <si>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</si>
  <si>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</si>
  <si>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</si>
  <si>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</si>
  <si>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</si>
  <si>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</si>
  <si>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</si>
  <si>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</si>
  <si>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</si>
  <si>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</si>
  <si>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</si>
  <si>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</si>
  <si>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</si>
  <si>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</si>
  <si>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</si>
  <si>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</si>
  <si>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</si>
  <si>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</si>
  <si>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</si>
  <si>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</si>
  <si>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</si>
  <si>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</si>
  <si>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</si>
  <si>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</si>
  <si>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</si>
  <si>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</si>
  <si>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</si>
  <si>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</si>
  <si>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</si>
  <si>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</si>
  <si>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</si>
  <si>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</si>
  <si>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</si>
  <si>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</si>
  <si>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</si>
  <si>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</si>
  <si>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</si>
  <si>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</si>
  <si>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</si>
  <si>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</si>
  <si>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</si>
  <si>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</si>
  <si>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</si>
  <si>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</si>
  <si>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</si>
  <si>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HS-ICV,7.5K AND 10K, CHOKING AND ON/OFF VERSIONS
D700925_02</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</si>
  <si>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</si>
  <si>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</si>
  <si>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</si>
  <si>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</si>
  <si>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</si>
  <si>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</si>
  <si>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</si>
  <si>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</si>
  <si>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</si>
  <si>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</si>
  <si>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</si>
  <si>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</si>
  <si>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</si>
  <si>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</si>
  <si>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</si>
  <si>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</si>
  <si>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</si>
  <si>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</si>
  <si>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</si>
  <si>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</si>
  <si>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</si>
  <si>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</si>
  <si>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</si>
  <si>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</si>
  <si>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</si>
  <si>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</si>
  <si>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</si>
  <si>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</si>
  <si>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</si>
  <si>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</si>
  <si>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</si>
  <si>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</si>
  <si>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</si>
  <si>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</si>
  <si>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</si>
  <si>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</si>
  <si>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The assembly requires two (P/N 313566-00 SAP 594282) key stocks.  The BOM Drawing, 313285-02-01 Rev. 2 Item 42, only has a qty of one.  Reference parts; (Upper Body 316310-00-01 Section P-P)and (Lower Body 316309-00-01 Detail C).  There needs to be two keys to secure the two bodies together.</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</si>
  <si>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</si>
  <si>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</si>
  <si>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</si>
  <si>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</si>
  <si>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</si>
  <si>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</si>
  <si>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</si>
  <si>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</si>
  <si>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</si>
  <si>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</si>
  <si>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</si>
  <si>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</si>
  <si>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</si>
  <si>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</si>
  <si>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</si>
  <si>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</si>
  <si>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</si>
  <si>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</si>
  <si>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</si>
  <si>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</si>
  <si>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</si>
  <si>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</si>
  <si>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</si>
  <si>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</si>
  <si>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</si>
  <si>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</si>
  <si>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</si>
  <si>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</si>
  <si>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</si>
  <si>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</si>
  <si>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</si>
  <si>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</si>
  <si>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</si>
  <si>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</si>
  <si>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</si>
  <si>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</si>
  <si>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</si>
  <si>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</si>
  <si>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</si>
  <si>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</si>
  <si>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</si>
  <si>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</si>
  <si>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</si>
  <si>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</si>
  <si>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</si>
  <si>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</si>
  <si>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</si>
  <si>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</si>
  <si>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</si>
  <si>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</si>
  <si>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</si>
  <si>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</si>
  <si>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</si>
  <si>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</si>
  <si>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</si>
  <si>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</si>
  <si>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</si>
  <si>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</si>
  <si>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</si>
  <si>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</si>
  <si>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</si>
  <si>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</si>
  <si>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</si>
  <si>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</si>
  <si>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</si>
  <si>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</si>
  <si>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</si>
  <si>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</si>
  <si>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</si>
  <si>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</si>
  <si>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</si>
  <si>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</si>
  <si>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</si>
  <si>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</si>
  <si>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</si>
  <si>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</si>
  <si>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</si>
  <si>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</si>
  <si>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</si>
  <si>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</si>
  <si>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</si>
  <si>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</si>
  <si>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</si>
  <si>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</si>
  <si>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</si>
  <si>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</si>
  <si>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</si>
  <si>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</si>
  <si>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</si>
  <si>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</si>
  <si>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</si>
  <si>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</si>
  <si>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</si>
  <si>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</si>
  <si>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</si>
  <si>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</si>
  <si>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</si>
  <si>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</si>
  <si>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</si>
  <si>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</si>
  <si>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</si>
  <si>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</si>
  <si>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</si>
  <si>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</si>
  <si>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</si>
  <si>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</si>
  <si>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</si>
  <si>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</si>
  <si>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</si>
  <si>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</si>
  <si>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</si>
  <si>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</si>
  <si>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</si>
  <si>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</si>
  <si>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</si>
  <si>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</si>
  <si>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</si>
  <si>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</si>
  <si>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</si>
  <si>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</si>
  <si>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</si>
  <si>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</si>
  <si>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</si>
  <si>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</si>
  <si>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</si>
  <si>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</si>
  <si>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</si>
  <si>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</si>
  <si>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</si>
  <si>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</si>
  <si>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</si>
  <si>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</si>
  <si>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</si>
  <si>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</si>
  <si>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</si>
  <si>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</si>
  <si>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</si>
  <si>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</si>
  <si>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</si>
  <si>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</si>
  <si>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</si>
  <si>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</si>
  <si>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</si>
  <si>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</si>
  <si>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</si>
  <si>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</si>
  <si>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</si>
  <si>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</si>
  <si>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</si>
  <si>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</si>
  <si>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</si>
  <si>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</si>
  <si>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</si>
  <si>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</si>
  <si>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</si>
  <si>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</si>
  <si>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</si>
  <si>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</si>
  <si>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</si>
  <si>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</si>
  <si>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</si>
  <si>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</si>
  <si>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</si>
  <si>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</si>
  <si>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</si>
  <si>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</si>
  <si>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</si>
  <si>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</si>
  <si>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</si>
  <si>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</si>
  <si>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</si>
  <si>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</si>
  <si>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</si>
  <si>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</si>
  <si>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</si>
  <si>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</si>
  <si>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</si>
  <si>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627375</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</si>
  <si>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</si>
  <si>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</si>
  <si>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</si>
  <si>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</si>
  <si>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</si>
  <si>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</si>
  <si>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</si>
  <si>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</si>
  <si>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</si>
  <si>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</si>
  <si>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</si>
  <si>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</si>
  <si>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</si>
  <si>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</si>
  <si>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</si>
  <si>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</si>
  <si>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</si>
  <si>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</si>
  <si>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</si>
  <si>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</si>
  <si>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</si>
  <si>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619712</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</si>
  <si>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</si>
  <si>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</si>
  <si>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</si>
  <si>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</si>
  <si>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</si>
  <si>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</si>
  <si>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</si>
  <si>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</si>
  <si>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</si>
  <si>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</si>
  <si>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</si>
  <si>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</si>
  <si>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</si>
  <si>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</si>
  <si>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</si>
  <si>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</si>
  <si>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</si>
  <si>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</si>
  <si>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</si>
  <si>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</si>
  <si>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</si>
  <si>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</si>
  <si>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</si>
  <si>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</si>
  <si>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</si>
  <si>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</si>
  <si>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</si>
  <si>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</si>
  <si>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</si>
  <si>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</si>
  <si>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</si>
  <si>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</si>
  <si>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</si>
  <si>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</si>
  <si>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</si>
  <si>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</si>
  <si>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</si>
  <si>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</si>
  <si>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</si>
  <si>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</si>
  <si>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</si>
  <si>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</si>
  <si>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</si>
  <si>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</si>
  <si>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</si>
  <si>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</si>
  <si>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</si>
  <si>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</si>
  <si>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</si>
  <si>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</si>
  <si>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</si>
  <si>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</si>
  <si>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</si>
  <si>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</si>
  <si>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</si>
  <si>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</si>
  <si>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</si>
  <si>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</si>
  <si>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</si>
  <si>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</si>
  <si>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</si>
  <si>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</si>
  <si>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</si>
  <si>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</si>
  <si>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</si>
  <si>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</si>
  <si>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</si>
  <si>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</si>
  <si>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</si>
  <si>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</si>
  <si>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</si>
  <si>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</si>
  <si>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</si>
  <si>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</si>
  <si>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</si>
  <si>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</si>
  <si>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</si>
  <si>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</si>
  <si>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</si>
  <si>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</si>
  <si>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</si>
  <si>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</si>
  <si>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</si>
  <si>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</si>
  <si>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</si>
  <si>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</si>
  <si>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</si>
  <si>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</si>
  <si>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</si>
  <si>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</si>
  <si>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</si>
  <si>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</si>
  <si>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</si>
  <si>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</si>
  <si>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</si>
  <si>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</si>
  <si>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</si>
  <si>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</si>
  <si>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</si>
  <si>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</si>
  <si>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</si>
  <si>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</si>
  <si>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</si>
  <si>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</si>
  <si>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</si>
  <si>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</si>
  <si>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</si>
  <si>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</si>
  <si>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</si>
  <si>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</si>
  <si>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</si>
  <si>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</si>
  <si>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</si>
  <si>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</si>
  <si>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</si>
  <si>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</si>
  <si>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</si>
  <si>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</si>
  <si>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</si>
  <si>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</si>
  <si>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</si>
  <si>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</si>
  <si>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</si>
  <si>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</si>
  <si>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</si>
  <si>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</si>
  <si>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</si>
  <si>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</si>
  <si>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</si>
  <si>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</si>
  <si>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</si>
  <si>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</si>
  <si>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</si>
  <si>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</si>
  <si>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</si>
  <si>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</si>
  <si>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</si>
  <si>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</si>
  <si>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</si>
  <si>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</si>
  <si>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</si>
  <si>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</si>
  <si>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</si>
  <si>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</si>
  <si>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</si>
  <si>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</si>
  <si>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</si>
  <si>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</si>
  <si>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</si>
  <si>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</si>
  <si>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</si>
  <si>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</si>
  <si>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</si>
  <si>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</si>
  <si>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</si>
  <si>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</si>
  <si>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</si>
  <si>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</si>
  <si>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</si>
  <si>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</si>
  <si>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</si>
  <si>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</si>
  <si>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</si>
  <si>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</si>
  <si>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</si>
  <si>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</si>
  <si>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</si>
  <si>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</si>
  <si>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</si>
  <si>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</si>
  <si>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</si>
  <si>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</si>
  <si>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</si>
  <si>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</si>
  <si>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</si>
  <si>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</si>
  <si>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</si>
  <si>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</si>
  <si>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</si>
  <si>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</si>
  <si>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</si>
  <si>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</si>
  <si>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</si>
  <si>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</si>
  <si>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</si>
  <si>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</si>
  <si>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</si>
  <si>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</si>
  <si>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</si>
  <si>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</si>
  <si>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</si>
  <si>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</si>
  <si>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</si>
  <si>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</si>
  <si>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</si>
  <si>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</si>
  <si>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</si>
  <si>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</si>
  <si>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</si>
  <si>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</si>
  <si>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</si>
  <si>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</si>
  <si>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</si>
  <si>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</si>
  <si>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</si>
  <si>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</si>
  <si>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</si>
  <si>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</si>
  <si>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</si>
  <si>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</si>
  <si>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</si>
  <si>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</si>
  <si>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</si>
  <si>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</si>
  <si>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</si>
  <si>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</si>
  <si>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</si>
  <si>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</si>
  <si>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</si>
  <si>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</si>
  <si>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</si>
  <si>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</si>
  <si>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</si>
  <si>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</si>
  <si>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</si>
  <si>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</si>
  <si>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</si>
  <si>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</si>
  <si>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</si>
  <si>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</si>
  <si>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</si>
  <si>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</si>
  <si>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</si>
  <si>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</si>
  <si>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</si>
  <si>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</si>
  <si>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</si>
  <si>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</si>
  <si>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</si>
  <si>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</si>
  <si>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</si>
  <si>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</si>
  <si>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</si>
  <si>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</si>
  <si>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</si>
  <si>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</si>
  <si>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</si>
  <si>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</si>
  <si>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</si>
  <si>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</si>
  <si>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</si>
  <si>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</si>
  <si>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</si>
  <si>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</si>
  <si>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</si>
  <si>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</si>
  <si>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</si>
  <si>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</si>
  <si>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</si>
  <si>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</si>
  <si>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</si>
  <si>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</si>
  <si>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</si>
  <si>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</si>
  <si>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</si>
  <si>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</si>
  <si>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</si>
  <si>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</si>
  <si>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</si>
  <si>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</si>
  <si>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</si>
  <si>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</si>
  <si>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</si>
  <si>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</si>
  <si>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</si>
  <si>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</si>
  <si>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</si>
  <si>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</si>
  <si>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</si>
  <si>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679217</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</si>
  <si>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</si>
  <si>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</si>
  <si>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</si>
  <si>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</si>
  <si>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</si>
  <si>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</si>
  <si>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</si>
  <si>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</si>
  <si>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</si>
  <si>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</si>
  <si>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</si>
  <si>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</si>
  <si>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</si>
  <si>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</si>
  <si>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</si>
  <si>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</si>
  <si>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</si>
  <si>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</si>
  <si>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</si>
  <si>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</si>
  <si>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</si>
  <si>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</si>
  <si>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</si>
  <si>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</si>
  <si>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</si>
  <si>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</si>
  <si>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</si>
  <si>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</si>
  <si>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</si>
  <si>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</si>
  <si>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</si>
  <si>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</si>
  <si>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</si>
  <si>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</si>
  <si>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</si>
  <si>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</si>
  <si>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</si>
  <si>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</si>
  <si>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</si>
  <si>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</si>
  <si>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</si>
  <si>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</si>
  <si>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</si>
  <si>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682094</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</si>
  <si>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</si>
  <si>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</si>
  <si>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</si>
  <si>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</si>
  <si>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</si>
  <si>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</si>
  <si>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</si>
  <si>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</si>
  <si>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</si>
  <si>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</si>
  <si>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</si>
  <si>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</si>
  <si>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</si>
  <si>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</si>
  <si>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</si>
  <si>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</si>
  <si>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</si>
  <si>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</si>
  <si>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</si>
  <si>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</si>
  <si>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</si>
  <si>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</si>
  <si>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</si>
  <si>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</si>
  <si>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</si>
  <si>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</si>
  <si>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</si>
  <si>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</si>
  <si>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</si>
  <si>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</si>
  <si>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</si>
  <si>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</si>
  <si>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</si>
  <si>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</si>
  <si>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</si>
  <si>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</si>
  <si>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</si>
  <si>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</si>
  <si>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</si>
  <si>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</si>
  <si>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</si>
  <si>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</si>
  <si>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</si>
  <si>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</si>
  <si>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</si>
  <si>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</si>
  <si>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</si>
  <si>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</si>
  <si>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</si>
  <si>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</si>
  <si>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</si>
  <si>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</si>
  <si>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</si>
  <si>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</si>
  <si>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</si>
  <si>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</si>
  <si>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</si>
  <si>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</si>
  <si>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</si>
  <si>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</si>
  <si>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</si>
  <si>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</si>
  <si>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</si>
  <si>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</si>
  <si>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</si>
  <si>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</si>
  <si>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</si>
  <si>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</si>
  <si>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</si>
  <si>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</si>
  <si>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</si>
  <si>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</si>
  <si>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</si>
  <si>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</si>
  <si>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</si>
  <si>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</si>
  <si>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</si>
  <si>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</si>
  <si>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</si>
  <si>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</si>
  <si>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</si>
  <si>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</si>
  <si>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</si>
  <si>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</si>
  <si>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</si>
  <si>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</si>
  <si>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</si>
  <si>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</si>
  <si>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</si>
  <si>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</si>
  <si>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</si>
  <si>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</si>
  <si>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</si>
  <si>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</si>
  <si>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</si>
  <si>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</si>
  <si>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</si>
  <si>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</si>
  <si>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</si>
  <si>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</si>
  <si>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</si>
  <si>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</si>
  <si>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</si>
  <si>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</si>
  <si>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</si>
  <si>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</si>
  <si>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</si>
  <si>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</si>
  <si>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</si>
  <si>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</si>
  <si>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</si>
  <si>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</si>
  <si>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</si>
  <si>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</si>
  <si>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</si>
  <si>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</si>
  <si>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</si>
  <si>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</si>
  <si>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</si>
  <si>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</si>
  <si>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</si>
  <si>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</si>
  <si>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</si>
  <si>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</si>
  <si>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</si>
  <si>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</si>
  <si>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</si>
  <si>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</si>
  <si>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</si>
  <si>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</si>
  <si>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</si>
  <si>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</si>
  <si>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</si>
  <si>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</si>
  <si>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</si>
  <si>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</si>
  <si>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</si>
  <si>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</si>
  <si>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</si>
  <si>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</si>
  <si>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</si>
  <si>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</si>
  <si>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</si>
  <si>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</si>
  <si>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</si>
  <si>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</si>
  <si>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</si>
  <si>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</si>
  <si>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</si>
  <si>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</si>
  <si>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</si>
  <si>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</si>
  <si>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</si>
  <si>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</si>
  <si>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</si>
  <si>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</si>
  <si>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</si>
  <si>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</si>
  <si>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</si>
  <si>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</si>
  <si>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</si>
  <si>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</si>
  <si>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</si>
  <si>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</si>
  <si>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</si>
  <si>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</si>
  <si>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</si>
  <si>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</si>
  <si>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</si>
  <si>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</si>
  <si>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</si>
  <si>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</si>
  <si>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</si>
  <si>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</si>
  <si>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</si>
  <si>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</si>
  <si>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</si>
  <si>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</si>
  <si>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</si>
  <si>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</si>
  <si>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</si>
  <si>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</si>
  <si>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</si>
  <si>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</si>
  <si>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</si>
  <si>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</si>
  <si>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</si>
  <si>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</si>
  <si>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</si>
  <si>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</si>
  <si>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</si>
  <si>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</si>
  <si>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</si>
  <si>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</si>
  <si>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</si>
  <si>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</si>
  <si>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</si>
  <si>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</si>
  <si>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</si>
  <si>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</si>
  <si>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</si>
  <si>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</si>
  <si>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</si>
  <si>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</si>
  <si>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</si>
  <si>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</si>
  <si>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</si>
  <si>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</si>
  <si>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</si>
  <si>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</si>
  <si>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</si>
  <si>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</si>
  <si>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</si>
  <si>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</si>
  <si>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</si>
  <si>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</si>
  <si>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</si>
  <si>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</si>
  <si>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</si>
  <si>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</si>
  <si>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</si>
  <si>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</si>
  <si>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</si>
  <si>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</si>
  <si>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</si>
  <si>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</si>
  <si>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</si>
  <si>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</si>
  <si>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</si>
  <si>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</si>
  <si>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</si>
  <si>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</si>
  <si>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</si>
  <si>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</si>
  <si>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</si>
  <si>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</si>
  <si>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</si>
  <si>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</si>
  <si>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</si>
  <si>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</si>
  <si>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</si>
  <si>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</si>
  <si>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</si>
  <si>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</si>
  <si>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</si>
  <si>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</si>
  <si>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</si>
  <si>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</si>
  <si>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</si>
  <si>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</si>
  <si>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</si>
  <si>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</si>
  <si>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</si>
  <si>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</si>
  <si>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</si>
  <si>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</si>
  <si>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</si>
  <si>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</si>
  <si>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</si>
  <si>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</si>
  <si>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</si>
  <si>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</si>
  <si>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</si>
  <si>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</si>
  <si>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</si>
  <si>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</si>
  <si>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</si>
  <si>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</si>
  <si>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</si>
  <si>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</si>
  <si>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</si>
  <si>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</si>
  <si>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</si>
  <si>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</si>
  <si>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</si>
  <si>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</si>
  <si>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</si>
  <si>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</si>
  <si>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</si>
  <si>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</si>
  <si>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</si>
  <si>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</si>
  <si>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</si>
  <si>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</si>
  <si>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</si>
  <si>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</si>
  <si>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</si>
  <si>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</si>
  <si>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</si>
  <si>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</si>
  <si>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</si>
  <si>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</si>
  <si>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</si>
  <si>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</si>
  <si>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</si>
  <si>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</si>
  <si>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</si>
  <si>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</si>
  <si>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</si>
  <si>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</si>
  <si>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</si>
  <si>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</si>
  <si>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</si>
  <si>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</si>
  <si>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</si>
  <si>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</si>
  <si>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</si>
  <si>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</si>
  <si>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</si>
  <si>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</si>
  <si>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</si>
  <si>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667346</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</si>
  <si>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</si>
  <si>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</si>
  <si>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</si>
  <si>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</si>
  <si>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</si>
  <si>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</si>
  <si>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</si>
  <si>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</si>
  <si>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</si>
  <si>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</si>
  <si>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</si>
  <si>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</si>
  <si>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</si>
  <si>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</si>
  <si>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</si>
  <si>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</si>
  <si>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</si>
  <si>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</si>
  <si>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</si>
  <si>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</si>
  <si>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</si>
  <si>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</si>
  <si>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</si>
  <si>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</si>
  <si>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</si>
  <si>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</si>
  <si>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</si>
  <si>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</si>
  <si>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</si>
  <si>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</si>
  <si>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</si>
  <si>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</si>
  <si>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</si>
  <si>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</si>
  <si>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</si>
  <si>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</si>
  <si>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</si>
  <si>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</si>
  <si>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</si>
  <si>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</si>
  <si>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</si>
  <si>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</si>
  <si>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</si>
  <si>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</si>
  <si>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</si>
  <si>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</si>
  <si>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</si>
  <si>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</si>
  <si>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</si>
  <si>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</si>
  <si>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</si>
  <si>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</si>
  <si>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</si>
  <si>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</si>
  <si>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</si>
  <si>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</si>
  <si>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</si>
  <si>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</si>
  <si>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</si>
  <si>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</si>
  <si>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</si>
  <si>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</si>
  <si>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</si>
  <si>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</si>
  <si>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</si>
  <si>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</si>
  <si>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</si>
  <si>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</si>
  <si>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</si>
  <si>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</si>
  <si>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</si>
  <si>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</si>
  <si>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</si>
  <si>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</si>
  <si>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</si>
  <si>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</si>
  <si>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</si>
  <si>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</si>
  <si>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</si>
  <si>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496079</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</si>
  <si>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</si>
  <si>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</si>
  <si>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</si>
  <si>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</si>
  <si>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</si>
  <si>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</si>
  <si>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</si>
  <si>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</si>
  <si>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</si>
  <si>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</si>
  <si>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</si>
  <si>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</si>
  <si>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</si>
  <si>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</si>
  <si>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</si>
  <si>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</si>
  <si>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</si>
  <si>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</si>
  <si>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</si>
  <si>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</si>
  <si>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</si>
  <si>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</si>
  <si>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</si>
  <si>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</si>
  <si>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</si>
  <si>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</si>
  <si>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</si>
  <si>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</si>
  <si>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</si>
  <si>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</si>
  <si>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</si>
  <si>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</si>
  <si>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</si>
  <si>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</si>
  <si>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</si>
  <si>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</si>
  <si>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</si>
  <si>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</si>
  <si>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</si>
  <si>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</si>
  <si>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</si>
  <si>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</si>
  <si>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</si>
  <si>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</si>
  <si>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</si>
  <si>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</si>
  <si>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</si>
  <si>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</si>
  <si>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</si>
  <si>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</si>
  <si>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</si>
  <si>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</si>
  <si>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</si>
  <si>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</si>
  <si>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</si>
  <si>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</si>
  <si>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</si>
  <si>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</si>
  <si>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</si>
  <si>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</si>
  <si>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</si>
  <si>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</si>
  <si>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</si>
  <si>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</si>
  <si>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</si>
  <si>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</si>
  <si>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</si>
  <si>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</si>
  <si>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</si>
  <si>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</si>
  <si>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</si>
  <si>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</si>
  <si>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</si>
  <si>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</si>
  <si>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</si>
  <si>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</si>
  <si>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</si>
  <si>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</si>
  <si>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</si>
  <si>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</si>
  <si>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</si>
  <si>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</si>
  <si>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</si>
  <si>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</si>
  <si>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</si>
  <si>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</si>
  <si>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</si>
  <si>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</si>
  <si>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</si>
  <si>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</si>
  <si>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</si>
  <si>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</si>
  <si>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</si>
  <si>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</si>
  <si>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Current Sheet Filter Prefix</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</si>
  <si>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</si>
  <si>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</si>
  <si>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</si>
  <si>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</si>
  <si>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</si>
  <si>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</si>
  <si>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</si>
  <si>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</si>
  <si>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</si>
  <si>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</si>
  <si>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</si>
  <si>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</si>
  <si>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</si>
  <si>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</si>
  <si>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</si>
  <si>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</si>
  <si>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</si>
  <si>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</si>
  <si>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REQUEST TO REPLICATE ISSUES WITH TRENDING FUNCTIONALITY IN SWM, ENCOUNTERED BY BSP, AND PROVIDE SOLUTION.  PLEASE SEE
ATTACHED EMAIL CORRESPONDENCE FOR MORE DETAILS.
2011-06-27, Weekly Meeting:  RTA to be moved to WD5 lab office.  Needs to be a high priority.</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</si>
  <si>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</si>
  <si>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</si>
  <si>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</si>
  <si>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</si>
  <si>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</si>
  <si>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</si>
  <si>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</si>
  <si>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</si>
  <si>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</si>
  <si>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</si>
  <si>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</si>
  <si>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</si>
  <si>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</si>
  <si>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</si>
  <si>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</si>
  <si>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</si>
  <si>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</si>
  <si>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</si>
  <si>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</si>
  <si>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</si>
  <si>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</si>
  <si>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</si>
  <si>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</si>
  <si>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</si>
  <si>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</si>
  <si>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</si>
  <si>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</si>
  <si>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</si>
  <si>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</si>
  <si>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</si>
  <si>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</si>
  <si>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</si>
  <si>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</si>
  <si>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</si>
  <si>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</si>
  <si>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</si>
  <si>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</si>
  <si>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</si>
  <si>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</si>
  <si>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</si>
  <si>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</si>
  <si>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</si>
  <si>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</si>
  <si>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</si>
  <si>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Maersk Oil Qatar</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</si>
  <si>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</si>
  <si>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</si>
  <si>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</si>
  <si>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</si>
  <si>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</si>
  <si>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</si>
  <si>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</si>
  <si>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</si>
  <si>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</si>
  <si>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</si>
  <si>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</si>
  <si>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</si>
  <si>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</si>
  <si>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</si>
  <si>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</si>
  <si>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</si>
  <si>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</si>
  <si>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</si>
  <si>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</si>
  <si>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</si>
  <si>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</si>
  <si>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</si>
  <si>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698242</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</si>
  <si>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</si>
  <si>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</si>
  <si>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</si>
  <si>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</si>
  <si>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</si>
  <si>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</si>
  <si>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</si>
  <si>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</si>
  <si>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</si>
  <si>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</si>
  <si>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</si>
  <si>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</si>
  <si>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</si>
  <si>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</si>
  <si>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</si>
  <si>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</si>
  <si>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</si>
  <si>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</si>
  <si>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</si>
  <si>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</si>
  <si>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</si>
  <si>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</si>
  <si>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</si>
  <si>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</si>
  <si>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</si>
  <si>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</si>
  <si>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</si>
  <si>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</si>
  <si>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</si>
  <si>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</si>
  <si>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</si>
  <si>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</si>
  <si>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</si>
  <si>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</si>
  <si>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</si>
  <si>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</si>
  <si>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</si>
  <si>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</si>
  <si>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</si>
  <si>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</si>
  <si>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</si>
  <si>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</si>
  <si>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</si>
  <si>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</si>
  <si>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</si>
  <si>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</si>
  <si>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</si>
  <si>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</si>
  <si>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</si>
  <si>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703939</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</si>
  <si>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</si>
  <si>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</si>
  <si>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</si>
  <si>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</si>
  <si>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</si>
  <si>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</si>
  <si>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</si>
  <si>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</si>
  <si>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</si>
  <si>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</si>
  <si>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</si>
  <si>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</si>
  <si>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</si>
  <si>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</si>
  <si>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</si>
  <si>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</si>
  <si>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</si>
  <si>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</si>
  <si>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</si>
  <si>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</si>
  <si>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</si>
  <si>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</si>
  <si>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</si>
  <si>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</si>
  <si>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</si>
  <si>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</si>
  <si>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</si>
  <si>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</si>
  <si>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</si>
  <si>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</si>
  <si>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</si>
  <si>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</si>
  <si>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</si>
  <si>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</si>
  <si>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</si>
  <si>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</si>
  <si>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</si>
  <si>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</si>
  <si>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</si>
  <si>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</si>
  <si>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</si>
  <si>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</si>
  <si>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</si>
  <si>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</si>
  <si>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</si>
  <si>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</si>
  <si>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707207</t>
  </si>
  <si>
    <t>M/N-101847491, 101853798, 102002536, Drawing 311786-11-01 Rev.A
Please remove the 4.0 Min length dimension for the 3-1/2 VAM Top Pin Thread.</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</si>
  <si>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</si>
  <si>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</si>
  <si>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</si>
  <si>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</si>
  <si>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</si>
  <si>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</si>
  <si>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</si>
  <si>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</si>
  <si>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</si>
  <si>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</si>
  <si>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</si>
  <si>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</si>
  <si>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</si>
  <si>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</si>
  <si>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</si>
  <si>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CREATE AMS TEMPLATE FOR DI SOFTWARE</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</si>
  <si>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</si>
  <si>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</si>
  <si>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</si>
  <si>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</si>
  <si>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</si>
  <si>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</si>
  <si>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</si>
  <si>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</si>
  <si>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</si>
  <si>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</si>
  <si>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</si>
  <si>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</si>
  <si>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</si>
  <si>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</si>
  <si>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</si>
  <si>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</si>
  <si>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</si>
  <si>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</si>
  <si>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</si>
  <si>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</si>
  <si>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</si>
  <si>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</si>
  <si>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</si>
  <si>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</si>
  <si>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</si>
  <si>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ECR TO CREATE AS BUILT DRAWINGS FOR 71CO647 FOUR WELL MODULAR SAFETY SYSTEM FOR 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</si>
  <si>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</si>
  <si>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</si>
  <si>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</si>
  <si>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</si>
  <si>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</si>
  <si>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</si>
  <si>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</si>
  <si>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</si>
  <si>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</si>
  <si>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</si>
  <si>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</si>
  <si>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</si>
  <si>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</si>
  <si>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</si>
  <si>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</si>
  <si>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</si>
  <si>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</si>
  <si>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</si>
  <si>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</si>
  <si>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</si>
  <si>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</si>
  <si>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</si>
  <si>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</si>
  <si>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</si>
  <si>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</si>
  <si>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</si>
  <si>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</si>
  <si>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</si>
  <si>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</si>
  <si>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</si>
  <si>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</si>
  <si>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</si>
  <si>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</si>
  <si>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</si>
  <si>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</si>
  <si>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</si>
  <si>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</si>
  <si>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</si>
  <si>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</si>
  <si>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</si>
  <si>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</si>
  <si>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</si>
  <si>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</si>
  <si>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</si>
  <si>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</si>
  <si>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</si>
  <si>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</si>
  <si>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</si>
  <si>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</si>
  <si>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</si>
  <si>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</si>
  <si>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</si>
  <si>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</si>
  <si>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</si>
  <si>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</si>
  <si>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</si>
  <si>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</si>
  <si>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</si>
  <si>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</si>
  <si>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</si>
  <si>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</si>
  <si>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</si>
  <si>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</si>
  <si>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</si>
  <si>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</si>
  <si>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</si>
  <si>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</si>
  <si>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</si>
  <si>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</si>
  <si>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</si>
  <si>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</si>
  <si>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</si>
  <si>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</si>
  <si>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</si>
  <si>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</si>
  <si>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</si>
  <si>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</si>
  <si>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</si>
  <si>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</si>
  <si>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</si>
  <si>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</si>
  <si>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</si>
  <si>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</si>
  <si>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</si>
  <si>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</si>
  <si>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</si>
  <si>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</si>
  <si>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</si>
  <si>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</si>
  <si>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</si>
  <si>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</si>
  <si>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</si>
  <si>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</si>
  <si>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</si>
  <si>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</si>
  <si>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</si>
  <si>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</si>
  <si>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</si>
  <si>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</si>
  <si>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712307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</si>
  <si>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</si>
  <si>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</si>
  <si>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</si>
  <si>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</si>
  <si>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</si>
  <si>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</si>
  <si>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</si>
  <si>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</si>
  <si>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</si>
  <si>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</si>
  <si>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</si>
  <si>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</si>
  <si>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</si>
  <si>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</si>
  <si>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</si>
  <si>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</si>
  <si>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</si>
  <si>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</si>
  <si>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</si>
  <si>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</si>
  <si>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</si>
  <si>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</si>
  <si>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</si>
  <si>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</si>
  <si>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</si>
  <si>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</si>
  <si>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</si>
  <si>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</si>
  <si>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</si>
  <si>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</si>
  <si>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</si>
  <si>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</si>
  <si>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</si>
  <si>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</si>
  <si>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</si>
  <si>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</si>
  <si>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</si>
  <si>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</si>
  <si>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</si>
  <si>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</si>
  <si>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</si>
  <si>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</si>
  <si>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</si>
  <si>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</si>
  <si>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</si>
  <si>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</si>
  <si>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</si>
  <si>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</si>
  <si>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</si>
  <si>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</si>
  <si>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</si>
  <si>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</si>
  <si>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</si>
  <si>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</si>
  <si>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</si>
  <si>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</si>
  <si>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</si>
  <si>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</si>
  <si>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</si>
  <si>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</si>
  <si>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</si>
  <si>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</si>
  <si>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</si>
  <si>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</si>
  <si>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</si>
  <si>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</si>
  <si>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</si>
  <si>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</si>
  <si>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</si>
  <si>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</si>
  <si>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</si>
  <si>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</si>
  <si>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</si>
  <si>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</si>
  <si>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</si>
  <si>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</si>
  <si>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</si>
  <si>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</si>
  <si>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FMC Houston</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</si>
  <si>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</si>
  <si>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</si>
  <si>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</si>
  <si>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</si>
  <si>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</si>
  <si>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Assign to Lab Office 5  7/11/11 DM  Patch sent to field 9/22. Working on engineering report to issue to field and close out RTA. Additional problems per field RTA should be submitted. 11/14/11 DM</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</si>
  <si>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</si>
  <si>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</si>
  <si>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</si>
  <si>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</si>
  <si>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</si>
  <si>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</si>
  <si>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</si>
  <si>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</si>
  <si>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</si>
  <si>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722426</t>
  </si>
  <si>
    <t>UPDATE DRAWINGS 312950-00-01, 313728-00-01, 313148-00-01, 310283-00-01, 313050-00-01, 313044-00-01 TO ADD CRITICAL COMPONENT DESIGNATION TO PRINT</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</si>
  <si>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</si>
  <si>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</si>
  <si>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</si>
  <si>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</si>
  <si>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</si>
  <si>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</si>
  <si>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</si>
  <si>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OBSOLETE ES-SP-23 STANDARD OBJECT AND CREATE ES-SP-23 SPECIFICATION OBJECT.
------
11/2/2011 ST - SENT TO R. BAKHTIARY FOR APPROVAL</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</si>
  <si>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</si>
  <si>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</si>
  <si>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</si>
  <si>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</si>
  <si>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</si>
  <si>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</si>
  <si>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</si>
  <si>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</si>
  <si>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</si>
  <si>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</si>
  <si>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</si>
  <si>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</si>
  <si>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</si>
  <si>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MFGR SPEC - Create a manufacturers specification for Q-Note labels used in MFG Assy &amp; Test.</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</si>
  <si>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</si>
  <si>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</si>
  <si>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</si>
  <si>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</si>
  <si>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</si>
  <si>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</si>
  <si>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</si>
  <si>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</si>
  <si>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</si>
  <si>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</si>
  <si>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</si>
  <si>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</si>
  <si>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</si>
  <si>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</si>
  <si>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732963</t>
  </si>
  <si>
    <t>ECR- D00441840 REV C
A diameter or length for the 75 deg angle shown on 
detail E is missing.
-----------------------------------------------------------IN ENG. DESIGN-A. BERRET_10/31/2011---------------------END
IN DRAFTIONG: FOLDER RETURNED TO T. BORDMAN BOX FOR DISTRIBUTION_A. BERRET_11/28/2011</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</si>
  <si>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</si>
  <si>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</si>
  <si>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</si>
  <si>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</si>
  <si>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</si>
  <si>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</si>
  <si>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</si>
  <si>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</si>
  <si>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</si>
  <si>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</si>
  <si>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</si>
  <si>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</si>
  <si>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</si>
  <si>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</si>
  <si>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</si>
  <si>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</si>
  <si>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</si>
  <si>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</si>
  <si>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</si>
  <si>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</si>
  <si>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</si>
  <si>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</si>
  <si>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733921</t>
  </si>
  <si>
    <t>NSC Chornomornaftogaz</t>
  </si>
  <si>
    <t>728962</t>
  </si>
  <si>
    <t>ADTI-Stella</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</si>
  <si>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</si>
  <si>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</si>
  <si>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</si>
  <si>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</si>
  <si>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</si>
  <si>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</si>
  <si>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</si>
  <si>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</si>
  <si>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</si>
  <si>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</si>
  <si>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</si>
  <si>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</si>
  <si>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</si>
  <si>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</si>
  <si>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Tommie Burks</t>
  </si>
  <si>
    <t>ECR-On drg D00504158 the 2.920 bore dimension is to 3 decimal places so tolerance would be +/-.005.
Similar 2.7/8 Top Sub, drg D00394549 has the tolerance on the 2.920 bore as +/-.002.
Drg D00504158 2.920 bore is to be changed so tolerance would be +/-.002.
-----------------------------------------------------------
IN ENG. DESIGN-A. BERRET_10/31/2011---------------------END</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</si>
  <si>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</si>
  <si>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</si>
  <si>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</si>
  <si>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</si>
  <si>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</si>
  <si>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</si>
  <si>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</si>
  <si>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</si>
  <si>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</si>
  <si>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</si>
  <si>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</si>
  <si>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</si>
  <si>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731124</t>
  </si>
  <si>
    <t>PDX/XPIO software has a limitation on the real-time plots generated by the software.  The maximum pressure limit is 10k psi.  Increase the limit to allow for 25kpsi (30kpsi?) gauges.</t>
  </si>
  <si>
    <t>M/N-594096 Drawing 312542-00-01 Rev.7
Please modify NOTE 8, find number 0803; is B-001 Moly should be B-006 Bead Blast for the 3-1/2 10.2 NSCT Pin Thread.
-----------------------------------------------------------
IN ENGINEERING CHECKING_A. BERRET_10/03/2011------------END
FOLDER RETURNED TO P. JAMES FOR APPROVAL_A. BERRET_10/05/2011---------------------------------------END
-----------------------------------------------------------
FOLDER RETURNED TO P. JAMES_AFFECTED ITEMS LIST NEEDS TO BE FURTHER EDITED_A. BERRET_10/09/2011------------------END
-----------------------------------------------------------
IN ENG. DESIGN CHECK-A. BERRET_10/31/2011---------------END
-----------------------------------------------------------
FOLDER RETURNED TO P. JAMES FOR APPROVAL-A. BERRET_11/08/2011---------------------------------------END
-----------------------------------------------------------
RETURNED TO T. BORDMAN FOR MINOR PRINT CHANGES-A. BERRET_11/17/2011---------------------------------------END</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</si>
  <si>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</si>
  <si>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</si>
  <si>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</si>
  <si>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</si>
  <si>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</si>
  <si>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</si>
  <si>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</si>
  <si>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</si>
  <si>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727216</t>
  </si>
  <si>
    <t>UPLOAD 309001-06-01 DRAWING FROM DOMINO TO CWI. SETUP PART STRUCTURE.</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</si>
  <si>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</si>
  <si>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</si>
  <si>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</si>
  <si>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</si>
  <si>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</si>
  <si>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</si>
  <si>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</si>
  <si>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</si>
  <si>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</si>
  <si>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</si>
  <si>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</si>
  <si>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</si>
  <si>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</si>
  <si>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</si>
  <si>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</si>
  <si>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</si>
  <si>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</si>
  <si>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</si>
  <si>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</si>
  <si>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</si>
  <si>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</si>
  <si>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</si>
  <si>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</si>
  <si>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</si>
  <si>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</si>
  <si>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</si>
  <si>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</si>
  <si>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</si>
  <si>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</si>
  <si>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</si>
  <si>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</si>
  <si>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</si>
  <si>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</si>
  <si>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</si>
  <si>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</si>
  <si>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</si>
  <si>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</si>
  <si>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</si>
  <si>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</si>
  <si>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</si>
  <si>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</si>
  <si>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</si>
  <si>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</si>
  <si>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</si>
  <si>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</si>
  <si>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</si>
  <si>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</si>
  <si>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</si>
  <si>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</si>
  <si>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</si>
  <si>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</si>
  <si>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</si>
  <si>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</si>
  <si>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</si>
  <si>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</si>
  <si>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</si>
  <si>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</si>
  <si>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</si>
  <si>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</si>
  <si>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729042</t>
  </si>
  <si>
    <t>Same As: 216HA00728U1O00; VLV INTEGD,HS,ACCUPULSE,2-7/8,UNSHRDD,13
Except: K Fox threads, Do not need 6 line bypass, need a shroud  41/2 12.6 ppf KFox Shroud ,length to be less than bottom fitting kit
Tech Start Date is in the past
Project Name: Angsi E11 &amp; E12
Special Quality Plan Required?: Yes
Quality Plan Identifier: Witness Testing Done
Material: (7) 13 CR 80 MY 22HRC (ES-MA-58-7)
Mating Infomation:
Run Below item with RTA Number R00000729041</t>
  </si>
  <si>
    <t>734308</t>
  </si>
  <si>
    <t>ECR - Create and release a document that is a standard work for the preservation process for top level assemblies in the Spring facility. Paul Lively 11/18/2011</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</si>
  <si>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</si>
  <si>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</si>
  <si>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</si>
  <si>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</si>
  <si>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</si>
  <si>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</si>
  <si>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</si>
  <si>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</si>
  <si>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</si>
  <si>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</si>
  <si>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</si>
  <si>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</si>
  <si>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</si>
  <si>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</si>
  <si>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</si>
  <si>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</si>
  <si>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</si>
  <si>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ECR - Create documentation that defines Manufacturing Readiness and the details regarding the minimum necessities associated with BOMs, Drawings, Assy Procedures, and Test Procedures used to communicate product definition to MFG Assembly.</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</si>
  <si>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</si>
  <si>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</si>
  <si>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</si>
  <si>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</si>
  <si>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</si>
  <si>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</si>
  <si>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</si>
  <si>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</si>
  <si>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</si>
  <si>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</si>
  <si>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</si>
  <si>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</si>
  <si>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</si>
  <si>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</si>
  <si>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</si>
  <si>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</si>
  <si>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</si>
  <si>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</si>
  <si>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</si>
  <si>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</si>
  <si>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</si>
  <si>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</si>
  <si>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</si>
  <si>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732970</t>
  </si>
  <si>
    <t>Next Generation ICV development
See requirements document.</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</si>
  <si>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</si>
  <si>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</si>
  <si>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</si>
  <si>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</si>
  <si>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</si>
  <si>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</si>
  <si>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</si>
  <si>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736005</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</si>
  <si>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</si>
  <si>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</si>
  <si>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</si>
  <si>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</si>
  <si>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</si>
  <si>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</si>
  <si>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</si>
  <si>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</si>
  <si>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</si>
  <si>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Drawings 313482-00-01 Rev.2 and 316438-00-01 Rev.B
Please add 2X 15 degrees for the bevels at each end of the 3.268 length shown in SECTION B-B, both drawings.</t>
  </si>
  <si>
    <t>736449</t>
  </si>
  <si>
    <t>UPDATE SAP PART NUMBER 101828288 TO MATCH DRAWING REQUESTED BY J. MACDONALD. REQUESTED REFERENCE NUMBER BE CHANGED BY CAPE FROM 302254-04 TO W.302254-04; HOWEVER THERE IS ALREADY A REFERENCE NUMBER W.302254-04 (590982). WILL ONE OF THESE NEED TO BE OBSOLETED?</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</si>
  <si>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</si>
  <si>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</si>
  <si>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</si>
  <si>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</si>
  <si>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</si>
  <si>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</si>
  <si>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</si>
  <si>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</si>
  <si>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</si>
  <si>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</si>
  <si>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OBSOLETE AND SUPERCEDE -SG1 STATOIL 3-DIGIT IDENTIFIER- QA REQUEST DUE TO AGREEMENT ON SB2_SB3 GLOBAL QUALITY PLAN PER D. HICKMAN</t>
  </si>
  <si>
    <t>22:  splt=N/A</t>
  </si>
  <si>
    <t>729049</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</si>
  <si>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</si>
  <si>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</si>
  <si>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</si>
  <si>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</si>
  <si>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</si>
  <si>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</si>
  <si>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</si>
  <si>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</si>
  <si>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</si>
  <si>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734448</t>
  </si>
  <si>
    <t>734447</t>
  </si>
  <si>
    <t>2.875in HVC-ICV as per MN 101798455 but with Flow Trim MN 101798447 (311239-07. Threaded 2.875in 9.2ppf Vam Top Box x Vam Top Pin. L80 13% Cr,80 MY Equivalent. The customization requires Accu-Pulse Integration as well.</t>
  </si>
  <si>
    <t>728372</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</si>
  <si>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</si>
  <si>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</si>
  <si>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</si>
  <si>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</si>
  <si>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</si>
  <si>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</si>
  <si>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</si>
  <si>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</si>
  <si>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</si>
  <si>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</si>
  <si>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</si>
  <si>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732973</t>
  </si>
  <si>
    <t>736083</t>
  </si>
  <si>
    <t>728440</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</si>
  <si>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</si>
  <si>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</si>
  <si>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</si>
  <si>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</si>
  <si>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</si>
  <si>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</si>
  <si>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 position sensor simulator to the existing ramping gauge simulator software/hardware package.</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</si>
  <si>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</si>
  <si>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</si>
  <si>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</si>
  <si>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</si>
  <si>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</si>
  <si>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</si>
  <si>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</si>
  <si>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</si>
  <si>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</si>
  <si>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</si>
  <si>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</si>
  <si>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</si>
  <si>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</si>
  <si>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1:  SIT has been completed successfully at Berwick, LA - AGS 7/31/11 Documentation to be completed early next year.  11/14/11 DM</t>
  </si>
  <si>
    <t>729048</t>
  </si>
  <si>
    <t>Checking</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</si>
  <si>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</si>
  <si>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</si>
  <si>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</si>
  <si>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</si>
  <si>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</si>
  <si>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Create a standardised shroud kit with the following components:
1. shroud pup
2. landing nipple
3. shroud crossover
4. lock mandrel
5. equalizing valve
6. coupling
7. tubing pup joint
8. Wireline Entry Guide
This kit shall be in 25CR Metalurgy and rated to 10K</t>
  </si>
  <si>
    <t>Create a standardised shroud kit with the following components:
1. shroud pup
2. landing nipple
3. shroud crossover
4. lock mandrel
5. equalizing valve
6. coupling
7. tubing pup joint
8. Wireline Entry Guide.
This kit shall be in 4140 Metalurgy and rated to 10K</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</si>
  <si>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</si>
  <si>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</si>
  <si>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</si>
  <si>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</si>
  <si>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</si>
  <si>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</si>
  <si>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</si>
  <si>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</si>
  <si>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</si>
  <si>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</si>
  <si>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</si>
  <si>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</si>
  <si>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728343</t>
  </si>
  <si>
    <t>Sai Karthik Rajaraman</t>
  </si>
  <si>
    <t>727979</t>
  </si>
  <si>
    <t>725200</t>
  </si>
  <si>
    <t>ExxonMobil - ENL</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</si>
  <si>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</si>
  <si>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3: OPC interface document received from Aker, PLC logic change review meeting has been performed and project plan has been updated to include all steps required for project completion - AGS 7/31/11  Anticipate completion mid March 2012.  11/14/11 DM</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</si>
  <si>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</si>
  <si>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</si>
  <si>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</si>
  <si>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</si>
  <si>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728613</t>
  </si>
  <si>
    <t>Well Dynamics</t>
  </si>
  <si>
    <t>Slick joint tool used to screw on the Upper retaining ring to the slick joint</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</si>
  <si>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</si>
  <si>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</si>
  <si>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</si>
  <si>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</si>
  <si>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</si>
  <si>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</si>
  <si>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</si>
  <si>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</si>
  <si>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</si>
  <si>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</si>
  <si>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</si>
  <si>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</si>
  <si>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</si>
  <si>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</si>
  <si>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</si>
  <si>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</si>
  <si>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</si>
  <si>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728809</t>
  </si>
  <si>
    <t>28:</t>
  </si>
  <si>
    <t>20:  splt=N/A</t>
  </si>
  <si>
    <t>18:</t>
  </si>
  <si>
    <t>PMT</t>
  </si>
  <si>
    <t>To create a 3.5 HSB with DEFLECTOR with carbide insert (INC 718/4140) with a multipurpose fitting kit .</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</si>
  <si>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</si>
  <si>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</si>
  <si>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</si>
  <si>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</si>
  <si>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</si>
  <si>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</si>
  <si>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</si>
  <si>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</si>
  <si>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</si>
  <si>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</si>
  <si>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</si>
  <si>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</si>
  <si>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737549</t>
  </si>
  <si>
    <t>Shell Glider 5</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</si>
  <si>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</si>
  <si>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</si>
  <si>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</si>
  <si>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737968</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</si>
  <si>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</si>
  <si>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</si>
  <si>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737804</t>
  </si>
  <si>
    <t>CHANGE DRG 315685-02-01 TO HAVE THE MIN WALL THICKNESS ADDED AND RUN OUT TOL TO THE SAME AS ON DRGS 315685-00-01- AND -01-01.</t>
  </si>
  <si>
    <t>737859</t>
  </si>
  <si>
    <t>M/N-593899 Drawing 313151-00-01 Rev.D and M/N-593901 Drawing 313152-00-01 Rev.C
Please update the End and Center Element drawings to reflect the approved dimensional deviations for Custom Rubber Products. Please reference attached deviations..</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</si>
  <si>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t>
  </si>
  <si>
    <t>703289</t>
  </si>
  <si>
    <t>738008</t>
  </si>
  <si>
    <t>KOC</t>
  </si>
  <si>
    <t>634112</t>
  </si>
  <si>
    <t>744082</t>
  </si>
  <si>
    <t>ECR - PACKER ENVELOPE GENERATIONS FOR EXISTING HF1 PRODUCTS.  TASK WILL INCLUDE ALL REQUIRED DOCUMENTS PLUS THE PUBLISHED ENVELOPE IN A PDF FORMAT.  PART 8:
722HF1763901 - IGNORE DUE TO VAM ACE THREAD CALLOUT
722HF1763902 - ENVELOPE ALREADY CREATED USING RTA 721651
722HF1763903 
722HF1763904 - ENVELOPE ALREADY CREATED USING RTA 716501
722HF1764500 - ENVELOPE ALREADY CREATED USING RTA 732963
IGNORE ALL NEW VAM THREADS</t>
  </si>
  <si>
    <t>742633</t>
  </si>
  <si>
    <t>Ref. 7in TLC assy (235AC2107000)
Except:
- number of slots: 2 slots 90deg apart. Each w/4x.25 lines.
- threads to be 7in 29LB Vam Top Box x Pin
- material to be 25Cr
REQUEST WAS ALREADY COMPLETED FROM RTA 734944 (OEWUMI 20DEC11)</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</si>
  <si>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</si>
  <si>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</si>
  <si>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</si>
  <si>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740845</t>
  </si>
  <si>
    <t>DRAWING CHANGES REQUIRED FOR PISTON HOUSING FOR SIZE 7029 MC PRODUCTION PACKER.  CURRENT SPECIAL BUTTRESS THREAD AND BORE DIAMETER WILL PREVENT MATING PART, UPPER CONE, FROM SLIDING INSIDE OF PISTON HOUSING DURING ASSEMBLY.  DRAWINGS 314574-00-01 AND D00545456 NEED SPECIAL BUTTRESS THREAD CALLOUT CHANGED TO 5.374-8 TPI FROM 5.224-8 TPI; AND, BORE DIAMETER CHANGED TO 5.226 FROM 5.090/5.085.  PREVIOUS CHANGES MADE TO THESE THREADS AND BORES ON DRAWING REVISIONS TO 314574-00-01 AFTER REV. 5 (AND COPIED WHEN D00545456 WAS CREATED) WERE INCORRECT AND NEED TO BE UNDONE.  SEE ATTACHED DRAWING MARKUPS.</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</si>
  <si>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</si>
  <si>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</si>
  <si>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</si>
  <si>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</si>
  <si>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</si>
  <si>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</si>
  <si>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</si>
  <si>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</si>
  <si>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</si>
  <si>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</si>
  <si>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ECR-314429-00-01.  MISSING DIMENSIONS ON SHEET 2. MARKED UP DRG BY OMOTAYO ATTACHED. MASTER DRG TO BE REVISED.
FOLDER RETURNED TO T. BORDMAN FOR REVIEW AND DISTRIBUTION_A.BERRET_01/09/2012.</t>
  </si>
  <si>
    <t>744017</t>
  </si>
  <si>
    <t>REVISE 9290-6826 TO FIT MANDREL CONCENTRIC TO HOLE.</t>
  </si>
  <si>
    <t>746434</t>
  </si>
  <si>
    <t>ECR - Steam valve, MN 101833487, has assy and test procedure 316651-00-01 rev 1 in the structure. Per Darryl Jones, the correct procedure is 316651-00-01, attached. Please change the procedures.</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</si>
  <si>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</si>
  <si>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</si>
  <si>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Burullus/BG-Saphire S Centr</t>
  </si>
  <si>
    <t>M/N-588280, Drawing W.018885-00-00 Rev.2
The BOM shows coating AC-C-024-B Phosphate, please change the coating to B-011 QPQ to reflect what is called out on the drawing.
FOLDER RETURNED TO T. BORDMAN BOX FOR DISTRIBUTION-A.BERRET
12/22/2011</t>
  </si>
  <si>
    <t>742284</t>
  </si>
  <si>
    <t>Request to update footer of document ES-A-433 to the correct revision. Page 1 shows revision C and the following pages show revision B
UPDATE TO SPEC COMPLETED. FOLDER RETURNED TO P. JAMES FOR DISTRIBUTION AND APPROVAL_A.BERRET_01/09/2012</t>
  </si>
  <si>
    <t>741854</t>
  </si>
  <si>
    <t>ECR - Create a label for use in mfg to be adhered to the production folders and contain all info regarding applicable QNs associated with the production item. The lable is 1.5 inches x 3.x inches. Should be orange with black text. Refer to Task Auth T00000734980 already created.</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</si>
  <si>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</si>
  <si>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</si>
  <si>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</si>
  <si>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</si>
  <si>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</si>
  <si>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738950</t>
  </si>
  <si>
    <t>315270-00-01 has the bore and outside diameters missing for the 3.625-8 stub acme thread and 4.625-10 stub acme thread.</t>
  </si>
  <si>
    <t>741011</t>
  </si>
  <si>
    <t>PN 102113356  - Need pertinent documents created with PN 102113356 released to production by Friday. (12/19/11)   We have part coming in next week and can not goods receipt with out release of part number.</t>
  </si>
  <si>
    <t>746558</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</si>
  <si>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t>
  </si>
  <si>
    <t>742485</t>
  </si>
  <si>
    <t>MISCELLANEOUS E-MAIL REQUEST
KELLEY PEGODA 122011
REF: MN 597298</t>
  </si>
  <si>
    <t>738796</t>
  </si>
  <si>
    <t>CREATE BASIC NEXT GENERATION TRANSDUCER SIMULATOR FOR USE WITH THE ROC-X TESTING (THIS RTA TO BE SUPPLEMENTAL TO 532968)</t>
  </si>
  <si>
    <t>744677</t>
  </si>
  <si>
    <t>745037</t>
  </si>
  <si>
    <t>741522</t>
  </si>
  <si>
    <t>Murphy Malaysia</t>
  </si>
  <si>
    <t>To Create a 3.5 HSB with SHROUD kit with CARBIDE insert and a multi purpose fitting kit. Integration level number will be 226HA0F07353SO</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</si>
  <si>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</si>
  <si>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</si>
  <si>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</si>
  <si>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</si>
  <si>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</si>
  <si>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</si>
  <si>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</si>
  <si>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</si>
  <si>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744778</t>
  </si>
  <si>
    <t>Same As: 235AC2965501-SB2; CLP,TPR LOCK,9655,13CR,5 1/2-23.00 -SB2
Except: 1. Modify for 7 inch tubing to fit in 10 3/4 inch 65,7 lb/ft casing.
2. 2 wedges 4 x 1/4 + bump 8mm
3. 1 wedge 2 x 3/8 + bump 11mm
Tech Start Date is in the past
Project Name: Visund South V3
Special Quality Plan Required?: Yes
Quality Plan Identifier: SB2
Material: (9) 13 CR 105 MY 35 HRC (ES-MA-585)
Mating Infomation:</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</si>
  <si>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</si>
  <si>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746052</t>
  </si>
  <si>
    <t>744764</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</si>
  <si>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</si>
  <si>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</si>
  <si>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740156</t>
  </si>
  <si>
    <t>740889</t>
  </si>
  <si>
    <t>ECR - D00433365 REV D
Position for the 2 off .25 dia holes on section B-B is missing, the dimension is on REV B. (2 X .364  /-.06)</t>
  </si>
  <si>
    <t>745227</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</si>
  <si>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</si>
  <si>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</si>
  <si>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t>
  </si>
  <si>
    <t>740675</t>
  </si>
  <si>
    <t>Modify ACCUPULSE NON-ACTIVE MNFLD 5-1/2, 1 EXT BY-PASS, 1 SPLICE (DRW 313956-00-01) adding a splice line, this modification will be relevant to the 215HA0550012 5.5 in HVC; MN 589805
Customer: Burullus Egypt, Project: Saphire South Central</t>
  </si>
  <si>
    <t>745697</t>
  </si>
  <si>
    <t>745927</t>
  </si>
  <si>
    <t>Elec  Update component list on BOM for mn 597484- Downhole Cable Simulator
See attached email for details. Three sales orders in place, one already late.</t>
  </si>
  <si>
    <t>744986</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</si>
  <si>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</si>
  <si>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</si>
  <si>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743030</t>
  </si>
  <si>
    <t>Statoil / Aibel</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</si>
  <si>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</si>
  <si>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</si>
  <si>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</si>
  <si>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</si>
  <si>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</si>
  <si>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</si>
  <si>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</si>
  <si>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</si>
  <si>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4 1/2 inch Multi-Conductor Electro-Hydraulic Disconnect Development for 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</si>
  <si>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</si>
  <si>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</si>
  <si>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</si>
  <si>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</si>
  <si>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</si>
  <si>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</si>
  <si>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744081</t>
  </si>
  <si>
    <t>ECR - PACKER ENVELOPE GENERATIONS FOR EXISTING HF1 PRODUCTS.  TASK WILL INCLUDE ALL REQUIRED DOCUMENTS PLUS THE PUBLISHED ENVELOPE IN A PDF FORMAT.  PART 7:
722HF1703234
722HF1703235
722HF1866100 - VAM ACE THREADS; DO NOT CREATE ENVELOPE
722HF1866101 - VAM ACE THREADS; DO NOT CREATE ENVELOPE
722HF1866102 - VAM ACE THREADS; DO NOT CREATE ENVELOPE
IGNORE ALL NEW VAM THREADS</t>
  </si>
  <si>
    <t>744468</t>
  </si>
  <si>
    <t>CORRECT PAGE NUMBERING FOR ES-A-540.</t>
  </si>
  <si>
    <t>739132</t>
  </si>
  <si>
    <t>744765</t>
  </si>
  <si>
    <t>Same As: 235SF0967018-SB2; CLP,SPLC,9670,13CR,7-29.00 VAMTOP  -SB2
Except: 1. Six Slots Required
2. 4 hyd.lines x 1/4 0,049 WT Inc 825, 1 hyd.line x 3/8 Inc 825, 1 el.line x 1/4 0,035 WT Inc 825
3. SB2 Qulaity Plan Required.
Tech Start Date is in the past
Project Name: Visund South
Special Quality Plan Required?: Yes
Quality Plan Identifier: SB2
Material: (9) 13 CR 105 MY 35 HRC (ES-MA-585)
Mating Infomation:</t>
  </si>
  <si>
    <t>744460</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</si>
  <si>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t>
  </si>
  <si>
    <t>744936</t>
  </si>
  <si>
    <t>ECR TO CHANGE REFERENCE NUMBER ON ALL DOCUMENTATION FOR MC-1 PACKER 722MCS964004.  THIS PACKER SHOULD BE REFERENCE NUMBER 722MC19640XX (USE NEXT AVAILABLE NUMBER IN THAT SERIES).  THIS PACKER WAS ORIGINALLY INTENDED TO HAVE A DIFFERENT MECHANICAL DESIGN FROM STANDARD MC-1 PACKER, BUT WAS SWITCHED BACK TO STANDARD MC-1 DESIGN TOO LATE IN PROCESS TO CHANGE REFERENCE NUMBER.  PLEASE REVISE AND CHANGE REFERENCE NUMBER ON BOM FOR PACKER PART NUMBER 597452, PACKER ASSEMBLY DRAWING NUMBER 314910-04, AND PACKER DDS 722MCS964004.</t>
  </si>
  <si>
    <t>745891</t>
  </si>
  <si>
    <t>QUOTATION ONLY
Same As: 71SSS1; SFTY SYS STD RTA DESIGN REQ
Except: Design Control Panel for Worley Parsons RFQ Ref No. 405000 00116 IN 010 Rev 0. Bid due date is January 19, 2012.  I tried to attach all the specifications, but the RTA would not submit correctly.  Thus i will send documents separately via email.
Project Name: 
Special Quality Plan Required?: No
Material: 
Technical Support Deliverables:
Preliminary Design Specifications
Reference Assembly Drawing
2012-01-09, WM: Assign to Hakeem. Robert T. and Josh to assist.</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</si>
  <si>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</si>
  <si>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</si>
  <si>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</si>
  <si>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745740</t>
  </si>
  <si>
    <t>Same As: 722HF1965346; PKR,HF1,SZ 9653,TBG SET,KO,13CR,5,5 1/
Except: request a 5.5 HF1 with 7 feed thru.
concept work as been carried out by RTA 721795. 
attached is the packer customer in put sheet that requires all addition information. 
required all the technical support deliverables that are hightlight. 
Project Name: Greater Western Flank
Special Quality Plan Required?: No
Material: (7) 13 CR 80 MY 22HRC (ES-MA-58-7)
Technical Support Deliverables:
Preliminary Design Specifications
Reference Assembly Drawing
Reference BDMI
Reserve SAP Material Number
ZZ Drawing
Operating Envelope</t>
  </si>
  <si>
    <t>741842</t>
  </si>
  <si>
    <t>746022</t>
  </si>
  <si>
    <t>Murphy</t>
  </si>
  <si>
    <t>Part Number 101915960 needs a Technical Document similar to the Design Data Sheet on 101817745.</t>
  </si>
  <si>
    <t>Burullus/BG-Saphire S Central</t>
  </si>
  <si>
    <t>Generate new MN and drawing for a 4.750 ECCENTRIC SEAL STACK ASSEMBLY WITH MULTI-LINE FEEDTHRU (4) similar to MN 101996875 (296SF0472801) with a seal area length: 40in. Material: L80 13%Cr; 80 MY Equivalent, Threads: 2.875 in 9.2ppf Vam Top Box x Vam Top Pin
Thread weight to be 6.4ppf as there is no 2-7/8 9.2ppf threads.  (DPT 1/3/12)</t>
  </si>
  <si>
    <t>745321</t>
  </si>
  <si>
    <t>Unicell/Midwest Petroleum</t>
  </si>
  <si>
    <t>QUOTATION Only: Same As: 71SSS1; SFTY SYS STD RTA DESIGN REQ
Except: Design control panel similar to P/N 101871595 d.602992551A, but one enclosure to include 2 each P/N 101871595 d.602992551A, and be mounted on a stand.
Project Name: 
Special Quality Plan Required?: No
Material: 
Technical Support Deliverables:
Preliminary Design Specifications
Reference Assembly Drawing</t>
  </si>
  <si>
    <t>738879</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</si>
  <si>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</si>
  <si>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</si>
  <si>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</si>
  <si>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t>
  </si>
  <si>
    <t>745853</t>
  </si>
  <si>
    <t>Revise 9381-8056 and 9381-8058 to make a rib on the bottom of the fixture to make it stronger.</t>
  </si>
  <si>
    <t>741526</t>
  </si>
  <si>
    <t>ExxonMobil-Kizomba</t>
  </si>
  <si>
    <t>741019</t>
  </si>
  <si>
    <t>742151</t>
  </si>
  <si>
    <t>Kuwait Oil company</t>
  </si>
  <si>
    <t>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</si>
  <si>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743386</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</si>
  <si>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</si>
  <si>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</si>
  <si>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744785</t>
  </si>
  <si>
    <t>Same As: 235SF0967018-SB2; CLP,SPLC,9670,13CR,7-29.00 VAMTOP  -SB2
Except: 1. Modify for 7 inch 32 lb/ft tubing to fit in 10 3/4 inch 65,7 lbs/ft casing.
2. 8 slots required
3. 6 hyd.lines x 1/4 0,049 WT Inc 825, 1 hyd.line x 3/8 0,049 WT Inc 825, 1 el.line x 1/4 0,035 WT Inc 825.
4. The seat grove on the Anchor Sub to be 5,915 to 5,925.inch. Clamp design to fit this seat groove.
Tech Start Date is in the past
Project Name: Visund South V3
Special Quality Plan Required?: Yes
Quality Plan Identifier: SB2
Material: (9) 13 CR 105 MY 35 HRC (ES-MA-585)
Mating Infomation:</t>
  </si>
  <si>
    <t>742260</t>
  </si>
  <si>
    <t>Kuwait Oil Company</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</si>
  <si>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</si>
  <si>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741519</t>
  </si>
  <si>
    <t>To Create a 3.5 HSB with DEFLECTOR with CARBIDE insert with a multi purpose fitting kit. Integration level number will be 226HA0F07353DO</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</si>
  <si>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</si>
  <si>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</si>
  <si>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</si>
  <si>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</si>
  <si>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</si>
  <si>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ECR - PACKER ENVELOPE GENERATIONS FOR EXISTING HF1 PRODUCTS.  TASK WILL INCLUDE ALL REQUIRED DOCUMENTS PLUS THE PUBLISHED ENVELOPE IN A PDF FORMAT.  PART IV:
722HF1702940
722HF1702942
722HF1702943
722HF1703231
IGNORE ALL NEW VAM THREADS</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</si>
  <si>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</si>
  <si>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</si>
  <si>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</si>
  <si>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SENT BACK TO ENGINEER FOR CORRECTIONS. 120711 RCVD. FILE BACK FOR CORRECTION REVIEW.SOME CORRECTIONS NOT YET COMPLETED, SENDING BACK TO ENGINEER FOR FURTHER CORRECTIONS. (KEN) 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</si>
  <si>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</si>
  <si>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745441</t>
  </si>
  <si>
    <t>ECR-313479. Change drg to have a .13 radius (8 Plcs)in the corners of the 1.00 wide x 5 degree slots on sheet 2. Change Min Thread length from .95 to .8. This will allow thread  milling of the holes reducing breakage of taps Change other crimp clamp housing to the same. Ref changes already done on 316841-00-01</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</si>
  <si>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</si>
  <si>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</si>
  <si>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Control Sys - 6 Well
Same As: C05SHS06060200; SHS,6 WELL,PNEU,MNL CONT,WTR GLYCL,10K
Except: With reference to preliminary drawing 316328_04_01.
1 ea 6_slot SHS
6 ea 3_line WCM w/LCD display
1 ea 8_slot HEC
SWM software to be installed on company supplied server.
UACU+ to be connected to SWM, already delivered
3rd party connection to SWM, read/write access, need modbus map.
To be used with Transaqua HT2.
ATEX Zone 1 and NORSOK compliant
To be built be Proserv Norge AS
Require design drawings and support from Houston
Require an inhouse test in Houston with: actual server with installed configuration software and SWM software, Actual PLCs, WCM displays, UACU+ with gauge simulators and a MODBUS link to 3rd party.
Both the SHS and HEC shall be ready for 5 line WCMs even if the delivery is 3line WCMs.
Design pressure 10000PSI.
Suggested LCD display: BEKA BA488C
Fiber cable between SHS and SWM server
230 VAC 50hz for light fixture and PLCs
690 VAC 50 hz for motors.
Request FAT procedure and assistance for FAT in Norway.
Design basis drawings 3D and component list from Houston will be delivered to Proserv Norway for tweaking and building.
WD inc to deliver:
Rotator valves 6 ea
Programmed PLCs, 8 ea including 1 spare
Software for configuration and use SWA and SWM.
Tech Start Date is in the past
Project Name: 6-Slot SHS with 6 ea 3-line WCMs, 8-slot HEC,
Special Quality Plan Required?: Yes
Quality Plan Identifier: SB2
Material: (16) Customer Supplied - Supply detail in description
Mating Infomation:Work With item with Part Number 315883-00
2011-07-18, Weekly Meeting:  Kickoff meeting scheduled for 7/19.
10/17/2011 WM  Call with ProServ tomorrow, region in town for mtg.  ProServ design still incomplete.  DM
2011-11-07, WM:  Drawing updates have been agreed upon.  Josh is awaiting the final markups from the manufacturer.  Once received prints will be uploaded and released.  The order is in process, only documentation outstanding. MWS
2011/12/08, WM:Still waiting for additional drwg from ProServ.System already on order. 12/9/11 DM
2011-12-15 WM: Josh to take lead - Still awaiting drawings from ProServe. Manufacturing is apparently on schedule per Christoffer and ProServe. Meeting Tuesday mornings will be  attended by Josh, Alistair and others if required. Meeting on 27th may be cancelled if nothing happening.
2012-01-03 WM Still awiting response from proserve
2012-01-09, WM: Meeting with Proserve 1-10-2012, put on design hold if drawings are not supplied</t>
  </si>
  <si>
    <t>DH 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
2012-01-09, WM: Meeting with Region tomorrow morning 1-10-2012 to decide how to proceed. Parts may already exist and RTA may need to be cancelled.</t>
  </si>
  <si>
    <t>HS On-Off interval Control Valve, this is to be the new low cost design. To suit SmartPlex Clamp.
09/01/2011 - DESIGN HOLD BY: SCOTT HOADLEY.
12/12/2011 - Moved back to WIP by Kirby Schrader. Stacey Joiner will be completing the work on the integration.</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</si>
  <si>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</si>
  <si>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</si>
  <si>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</si>
  <si>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DH Mod ROC Mdrl: Chg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</si>
  <si>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</si>
  <si>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</si>
  <si>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</si>
  <si>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</si>
  <si>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</si>
  <si>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</si>
  <si>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
2011-12-15, WM: -  Dan to take lead - 20 well control system quote that is 70-80 per cent complete. Still awaiting official RFQ from customer. E-mail from Alan McLauchlan dated 12/14 indicated any day now. This may slip into first week of 2012 depending on when RFQ received and customer due date.
2012-01-03, WM: Had meeting with Alan M. Required bid date is 01-13-2012. Send out for bid on 01-06-2012 (complete design). New specs recieved today. Considering different DCV options to reduce cost.
2012-01-09, WM: Sent out for quote today. Need to release drawings into CWI.</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</si>
  <si>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</si>
  <si>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</si>
  <si>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</si>
  <si>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</si>
  <si>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Review attached Control Panel designs.  create new halliburton designed panels with same or equal inputs and outputs.  Bid Due date has not been advised at this time.
2012-01-03 Still awaiting response from field. Rta needs to be put on DH</t>
  </si>
  <si>
    <t>New ROC Mdrl: D.Redundant ROC175
4.5 12.6ppf, 13Cr 80K, JFE Bear Gauge Mandrel. 
To accomodate ROC-175, 1.125 OD, 0-16KPSIA GAUGE, Dual Redundant Gauge P/N 9381-6076 SAP 101868151
Max OD 7in 32lb
Casg Size 4 1/2 15.1
Metallurgy  13Cr 80Ksi
Connection  JFE Bear x JFE Bear
Min ID  5.969
2011-11-28 WM: Assign to James Class B 11/28/11 DM
----
12/05/2011 - J. SEALE COMPLETED DESIGN MATERIAL CHANGE WITH EDS, SENDING TO S. TEHVEN FOR CHECKING.
------
2011-12-13 ST - SENT BACK TO J. SEALE FOR CORRECTIONS
------
2011-12-13 ST - SENT TO R. BAKHTIARY FOR APPROVAL
------
2011-12-15 J STEINHOFF - CHECKING COMPLETE. DIFFERENT CASING SIZES ARE LISTED BETWEEN THE RTA PAGE AND THE MANDREL REQUIREMENTS DOC, PLEASE CONFIRM CORRECT SIZE WAS USED.
2012-01-03, WM:  Design is being reveiwed to determined feasibility.
----
1/6/2012 RB - Mandrel design must be altered (special clearance coupling?, decreased ID?, use dual 0.75 OD gauges?, etc.) to lower OD within drift. Rameen to contact Kelechi Ezennaya to determine what direction will be taken to proceed.
2012-01-09, WM: Submitter to be contacted per note above.</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</si>
  <si>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</si>
  <si>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742342</t>
  </si>
  <si>
    <t>741997</t>
  </si>
  <si>
    <t>Create a drawing and SAP MN for a HF-1 Packer as per existing MN 596991 but with 5 feedthrough</t>
  </si>
  <si>
    <t>740868</t>
  </si>
  <si>
    <t>Same As: 722MC1964701; PKR,MC1,9647,TBG SET,SHIFT REL,13CR,8
Except: change the thread into 4.5 12.6 ppf fox k and remain others the same need part number for this tomorrow.
Project Name: Changbei
Special Quality Plan Required?: No
Material: (7) 13 CR 80 MY 22HRC (ES-MA-58-7)
Technical Support Deliverables:
Reserve SAP Material Number</t>
  </si>
  <si>
    <t>SPLT=154</t>
  </si>
  <si>
    <t>740867</t>
  </si>
  <si>
    <t>Same As: 722MC1702601; PKR ASSY FOR SZ 7 26 - 29 MC HYDR SET RT
Except: change the thread into 3.5 9.6 ppf fox k and remain others all the same and need the part number for this pice tomorrow
Project Name: Changbei
Special Quality Plan Required?: No
Material: (7) 13 CR 80 MY 22HRC (ES-MA-58-7)
Technical Support Deliverables:
Reserve SAP Material Number</t>
  </si>
  <si>
    <t>740496</t>
  </si>
  <si>
    <t>Petroleum Development Oman</t>
  </si>
  <si>
    <t>Mod ROC Mdrl:Chg to annulus
Need part number created for 4.5INCH ROC-150 annullus ported mandrel
Please refere to attached Tubing ported mandrel drawing 9290-2588RevA. The only difference would be to have the mandrel annulus ported.
2011-11-21, WM:  Dana to assign to James, Class B and review AIS date.
2011-12-05, WM:  Dana to review AIS date.  Desing in progress.
------
2011-12-13 ST - SENT TO J. SEALE FOR CHECKING
------
2011-12-14 ST - SENT TO R. BAKHTIARY FOR APPROVAL</t>
  </si>
  <si>
    <t>746690</t>
  </si>
  <si>
    <t>ECR - Dual ROC gauge assy, MN 102108984, does not have any assy or test procedures attached in CWI. Production cannot proceed without this. Please attach.</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</si>
  <si>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</si>
  <si>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</si>
  <si>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
2011-12-12 WM: The interface cards will be placed on order and turnkeyed for delivery in January 2012.
ZEWO: 103284527
2011-12-19 WM:  The PCB assemblies are on order and expected in Jan 2012.  Testing will be scheduled as soon as delivery date is finalized.  2011-12-19 AB
2012-01-03 WM: The PCB assemblies have been received.  The testing will start on 2012-01-09.  The design for higher power version is ready for implementation.  LiveWire agreement has been completed.  A meeting is scheduled for the TDR implementation.
2012-01-10 WM: The cards are scheduled for debugging in this week with John Tolman.  LiveWire is working on delivering prototype assembly for testing with the IWIS card.  2012-01-10 AB</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</si>
  <si>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</si>
  <si>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</si>
  <si>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
2011-12-12 WM: PCB assembly has been released.  Gauge sub assembly is planned to be released this 2011-12-14.  Hunting Innova is processing quote for tested PCB assemblies.
2011-12-19 WM: ROC-P Gauge Sub Assembly has been built out in CWI.  Quotation on ROC-P is expected from Hunting Innova.  2011-12-19 AB
2012-01-03 WM: Hunting Innova is quoting on the PCB assembly.  Rev B of PCB assembly has been uploaded for review.  The development will be picked up after the PCB assemblies are released.
2012-01-10 WM: Hunting Innova will provide two PCB assemblies untested for engineering use.  PLM has been informed that Qty 5 PCB will be available for gauge sub assembly.  Hunting Innova will inform Procurement about delivery dates on the gauges.  2012-01-10 AB</t>
  </si>
  <si>
    <t>ELEC - Upgrade PDGIC firmware to be able to communicate with Analog Gauges for hooking up an analog gauge to a UACU on a platfrom already logging digital gauges on other wells. Client would like to have only one surface unit to log data from all the wells.
Serial Number of gauge: ROC - A - 01 - 513
2011-12-20 Aswin Balasubramanian: This RTA has been moved to WD3 lab office as the product is supported under WD3.
2011-12-21 Aswin Balasubramanian: The scope of RTA is being completely evaluated.  The RTA due date has been pushed to January 16, 2012 in order to perform verification testing.
2012-01-03 WM: The PCB layout has been completed and Qty 5 untested PCB assemblies are being procured for testing.  The relevant documentation has been revised and will be released in CWI.  The PCB assembly have been ordered for normal turnaround.  The RTA due date has been moved to 2012-02-16.
2012-01-10 WM: It was noted by vendor that some parts are obsolete.  These components have been replaced.  The PCB assemblies, untested, are on order.  All documentation including specifications and build files are complete.  The RTA will be closed after testing of PCBA.  2012-01-10 AB</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</si>
  <si>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</si>
  <si>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
2011-12-05 WM: Procurement terms and conditions are being negotiated with the vendor.  Detail drawings of mechanical assembly is in progress.
2011-12-12 WM: PO has been issued for third party hydrophone.  The circuit diagram will be updated with the tristate buffer for sharing a single pin with firing circuit and communication.
2011-12-19 WM: The schematic is in the final review stage.  The layout will be completed and boards will be placed on order. 2011-12-19 AB
2012-01-03 WM: The crystals for PCB assembly are on order.  Third party hydrophones are on order testing will commence later this week.  Engineering detailed drawings are being processed through Beacon.
2012-01-10 WM: The HTI (third party) hydrophones have been received and tested.  The results are being analyzed.  The response has been observed to be considerably better than Proto 01 hydrophones from Quartzdyne.  A memo will be circulated to the stakeholders this week.  The PCB assemblies will be ordered with one-two week turnaround.  2012-01-10 AB</t>
  </si>
  <si>
    <t>Submitted By</t>
  </si>
  <si>
    <t>Ian Gooch</t>
  </si>
  <si>
    <t>Jay Bissell</t>
  </si>
  <si>
    <t>Steven Gray</t>
  </si>
  <si>
    <t>Philip Allardyce</t>
  </si>
  <si>
    <t>David Mills</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</si>
  <si>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</si>
  <si>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</si>
  <si>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</si>
  <si>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</si>
  <si>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</si>
  <si>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</si>
  <si>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</si>
  <si>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</si>
  <si>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</si>
  <si>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</si>
  <si>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</si>
  <si>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</si>
  <si>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</si>
  <si>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</si>
  <si>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</si>
  <si>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</si>
  <si>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</si>
  <si>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</si>
  <si>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</si>
  <si>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</si>
  <si>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</si>
  <si>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</si>
  <si>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</si>
  <si>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</si>
  <si>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</si>
  <si>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</si>
  <si>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</si>
  <si>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</si>
  <si>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</si>
  <si>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</si>
  <si>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</si>
  <si>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</si>
  <si>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</si>
  <si>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</si>
  <si>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</si>
  <si>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</si>
  <si>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</si>
  <si>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</si>
  <si>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</si>
  <si>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</si>
  <si>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</si>
  <si>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</si>
  <si>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</si>
  <si>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</si>
  <si>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</si>
  <si>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</si>
  <si>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</si>
  <si>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</si>
  <si>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</si>
  <si>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</si>
  <si>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</si>
  <si>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</si>
  <si>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</si>
  <si>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</si>
  <si>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</si>
  <si>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</si>
  <si>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</si>
  <si>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</si>
  <si>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</si>
  <si>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</si>
  <si>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</si>
  <si>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</si>
  <si>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</si>
  <si>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</si>
  <si>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</si>
  <si>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</si>
  <si>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</si>
  <si>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</si>
  <si>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</si>
  <si>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</si>
  <si>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</si>
  <si>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</si>
  <si>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</si>
  <si>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</si>
  <si>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</si>
  <si>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</si>
  <si>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</si>
  <si>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</si>
  <si>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</si>
  <si>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</si>
  <si>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</si>
  <si>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</si>
  <si>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</si>
  <si>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</si>
  <si>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</si>
  <si>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</si>
  <si>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</si>
  <si>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</si>
  <si>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</si>
  <si>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</si>
  <si>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Kasey Boutte</t>
  </si>
  <si>
    <t>Abdallah A. Abdulhalim</t>
  </si>
  <si>
    <t>Rhalina Duguid</t>
  </si>
  <si>
    <t>Elward Gardner</t>
  </si>
  <si>
    <t>Blake Arabie</t>
  </si>
  <si>
    <t>Joe Requestor</t>
  </si>
  <si>
    <t>Fabio Cervini</t>
  </si>
  <si>
    <t>Simon White</t>
  </si>
  <si>
    <t>Paul Terry</t>
  </si>
  <si>
    <t>Brian Stolz</t>
  </si>
  <si>
    <t>Basheer Al-Felfel</t>
  </si>
  <si>
    <t>Jerry Hutsen</t>
  </si>
  <si>
    <t>Rob Pounds</t>
  </si>
  <si>
    <t>Campbell Mitchell</t>
  </si>
  <si>
    <t>Nassim Mesaoudi</t>
  </si>
  <si>
    <t>Cesar Ricardo Marin1</t>
  </si>
  <si>
    <t>Jiacheng Qian</t>
  </si>
  <si>
    <t>Bryan Norrie</t>
  </si>
  <si>
    <t>746935</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</si>
  <si>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</si>
  <si>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Set up 71CO P/N and SAP P/N for the following panel design no. 71ZZ2900
120611 PRE-RELEASE PART 102112093  DSH
2011-12-15 WM:  Hakeem to take lead ???????????????????????? Safety System quote. Awaiting response for pneumatic pump requirement. Jay sent question. May need to put on design hold. Jay sent reminder e-mail today.
2012-01-03 WM: Recieved response from Region, ok to proceed.
2012-01-09, WM: Jay to respond to e-mail with questions from region. Project on hold until region responds to questions.
2012-01-10, Robert, Josh, Hakeem, Jay and Ted had design review. Jay sent e-mail to region with clarifications/options. Robert to make some minor corrections, Hakeem to check. If no response by Friday morning from region, drawings to be released in CWI.</t>
  </si>
  <si>
    <t>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t>
  </si>
  <si>
    <t>Requestor Email</t>
  </si>
  <si>
    <t>Ian.gooch@halliburton.com</t>
  </si>
  <si>
    <t>Jay.bissell@halliburton.com</t>
  </si>
  <si>
    <t>Steven.Gray2@halliburton.com</t>
  </si>
  <si>
    <t>David.Mills@welldynamics.com</t>
  </si>
  <si>
    <t>kasey.boutte@halliburton.com</t>
  </si>
  <si>
    <t>ale.avila@halliburton.com</t>
  </si>
  <si>
    <t>Eric.Morrell@welldynamics.com</t>
  </si>
  <si>
    <t>Matthew.Scogin@welldynamics.com</t>
  </si>
  <si>
    <t>vicky.jackson@halliburton.com</t>
  </si>
  <si>
    <t>Scott.Hoadley@halliburton.com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</si>
  <si>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</si>
  <si>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</si>
  <si>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</si>
  <si>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</si>
  <si>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</si>
  <si>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</si>
  <si>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</si>
  <si>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</si>
  <si>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</si>
  <si>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</si>
  <si>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</si>
  <si>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</si>
  <si>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</si>
  <si>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</si>
  <si>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</si>
  <si>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</si>
  <si>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</si>
  <si>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</si>
  <si>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</si>
  <si>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</si>
  <si>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</si>
  <si>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</si>
  <si>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</si>
  <si>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</si>
  <si>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</si>
  <si>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</si>
  <si>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</si>
  <si>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</si>
  <si>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</si>
  <si>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</si>
  <si>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</si>
  <si>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</si>
  <si>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</si>
  <si>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</si>
  <si>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</si>
  <si>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</si>
  <si>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</si>
  <si>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</si>
  <si>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</si>
  <si>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</si>
  <si>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</si>
  <si>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</si>
  <si>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</si>
  <si>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</si>
  <si>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</si>
  <si>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</si>
  <si>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</si>
  <si>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</si>
  <si>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</si>
  <si>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</si>
  <si>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</si>
  <si>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</si>
  <si>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</si>
  <si>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</si>
  <si>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</si>
  <si>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</si>
  <si>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</si>
  <si>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</si>
  <si>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</si>
  <si>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</si>
  <si>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</si>
  <si>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</si>
  <si>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</si>
  <si>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</si>
  <si>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</si>
  <si>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</si>
  <si>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</si>
  <si>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</si>
  <si>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</si>
  <si>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</si>
  <si>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</si>
  <si>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</si>
  <si>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</si>
  <si>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</si>
  <si>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</si>
  <si>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</si>
  <si>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</si>
  <si>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</si>
  <si>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</si>
  <si>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</si>
  <si>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</si>
  <si>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</si>
  <si>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</si>
  <si>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</si>
  <si>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</si>
  <si>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</si>
  <si>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</si>
  <si>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</si>
  <si>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</si>
  <si>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</si>
  <si>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</si>
  <si>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</si>
  <si>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</si>
  <si>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</si>
  <si>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</si>
  <si>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</si>
  <si>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</si>
  <si>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</si>
  <si>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</si>
  <si>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</si>
  <si>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</si>
  <si>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</si>
  <si>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</si>
  <si>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</si>
  <si>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</si>
  <si>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</si>
  <si>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</si>
  <si>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</si>
  <si>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</si>
  <si>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</si>
  <si>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</si>
  <si>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</si>
  <si>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</si>
  <si>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</si>
  <si>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</si>
  <si>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</si>
  <si>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</si>
  <si>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</si>
  <si>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</si>
  <si>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</si>
  <si>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</si>
  <si>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</si>
  <si>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</si>
  <si>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</si>
  <si>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</si>
  <si>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</si>
  <si>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</si>
  <si>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</si>
  <si>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</si>
  <si>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</si>
  <si>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</si>
  <si>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</si>
  <si>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</si>
  <si>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</si>
  <si>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</si>
  <si>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</si>
  <si>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</si>
  <si>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</si>
  <si>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</si>
  <si>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</si>
  <si>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</si>
  <si>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</si>
  <si>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</si>
  <si>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</si>
  <si>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</si>
  <si>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</si>
  <si>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</si>
  <si>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</si>
  <si>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</si>
  <si>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</si>
  <si>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</si>
  <si>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</si>
  <si>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</si>
  <si>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</si>
  <si>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</si>
  <si>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</si>
  <si>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</si>
  <si>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</si>
  <si>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</si>
  <si>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</si>
  <si>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</si>
  <si>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</si>
  <si>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</si>
  <si>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</si>
  <si>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</si>
  <si>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</si>
  <si>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</si>
  <si>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Melissa.allen@halliburton.com</t>
  </si>
  <si>
    <t>Jameel.Rahman@welldynamics.com</t>
  </si>
  <si>
    <t>MAYRA.HADLEY@HALLIBURTON.COM</t>
  </si>
  <si>
    <t>Dyane.Henson@welldynamics.com</t>
  </si>
  <si>
    <t>Michel.LeBlanc@halliburton.com</t>
  </si>
  <si>
    <t>Gloria.Macias@halliburton.com</t>
  </si>
  <si>
    <t>craig.yeates@halliburton.com</t>
  </si>
  <si>
    <t>jim.macdonald@welldynamics.com</t>
  </si>
  <si>
    <t>Edwin.gonzalez@halliburton.com</t>
  </si>
  <si>
    <t>Dana.Moe@welldynamics.com</t>
  </si>
  <si>
    <t>savio.saldanha@welldynamics.com</t>
  </si>
  <si>
    <t>mike.regan@halliburton.com</t>
  </si>
  <si>
    <t>SCOTT.GARNER@HALLIBURTON.COM</t>
  </si>
  <si>
    <t>alistair.stuart@halliburton.com</t>
  </si>
  <si>
    <t>debra.hickman@welldynamics.com</t>
  </si>
  <si>
    <t>David.Teale@welldynamics.com</t>
  </si>
  <si>
    <t>HOLLY.MARBACK@HALLIBURTON.COM</t>
  </si>
  <si>
    <t>Bruce.Gavin@halliburton.com</t>
  </si>
  <si>
    <t>bruce.gavin@halliburton.com</t>
  </si>
  <si>
    <t>COLTON.PUCKETT@HALLIBURTON.COM</t>
  </si>
  <si>
    <t>Tommy.lofthus@halliburton.com</t>
  </si>
  <si>
    <t>PAUL.JAMES@WELLDYNAMICS.COM</t>
  </si>
  <si>
    <t>DEBRA.HICKMAN@WELLDYNAMICS.COM</t>
  </si>
  <si>
    <t>Pranay.Asthana@welldynamics.com</t>
  </si>
  <si>
    <t>Bruce.Gavin@Halliburton.com</t>
  </si>
  <si>
    <t>janice.callaway@welldynamics.com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</si>
  <si>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</si>
  <si>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</si>
  <si>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</si>
  <si>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</si>
  <si>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</si>
  <si>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</si>
  <si>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</si>
  <si>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</si>
  <si>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</si>
  <si>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</si>
  <si>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</si>
  <si>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</si>
  <si>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JANICE.CALLAWAY@WELLDYNAMICS.COM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</si>
  <si>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</si>
  <si>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</si>
  <si>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</si>
  <si>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</si>
  <si>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</si>
  <si>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</si>
  <si>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</si>
  <si>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</si>
  <si>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</si>
  <si>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</si>
  <si>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</si>
  <si>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</si>
  <si>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</si>
  <si>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</si>
  <si>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</si>
  <si>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Campbell.Mitchell@halliburton.com</t>
  </si>
  <si>
    <t>Kieth.wee@hallilburton.com</t>
  </si>
  <si>
    <t>Waqar.ahmed@halliburton.com</t>
  </si>
  <si>
    <t>Cole.Grandjean@halliburton.com</t>
  </si>
  <si>
    <t>Doug.finley@halliburton.com</t>
  </si>
  <si>
    <t>Kelechi.ezennaya@halliburton.com</t>
  </si>
  <si>
    <t>Joshua.steinhoff@halliburton.com</t>
  </si>
  <si>
    <t>Theodore Soules</t>
  </si>
  <si>
    <t>Khoa Pham</t>
  </si>
  <si>
    <t>Manager/Lead</t>
  </si>
  <si>
    <t>pmSub</t>
  </si>
  <si>
    <t>Pmgroups</t>
  </si>
  <si>
    <t>PMgrpDelim</t>
  </si>
  <si>
    <t>FCgroups</t>
  </si>
  <si>
    <t>FCgrpDelim</t>
  </si>
  <si>
    <t>DIgroups</t>
  </si>
  <si>
    <t>DIgrpDelim</t>
  </si>
  <si>
    <t>Sgroups</t>
  </si>
  <si>
    <t>SgrpDelim</t>
  </si>
  <si>
    <t>746997</t>
  </si>
  <si>
    <t>Table Control</t>
  </si>
  <si>
    <t>746998</t>
  </si>
  <si>
    <t>746999</t>
  </si>
  <si>
    <r>
      <rPr>
        <sz val="10"/>
        <color theme="1"/>
        <rFont val="Arial"/>
        <family val="2"/>
      </rPr>
      <t xml:space="preserve">Wildcards * and ? May be used
</t>
    </r>
    <r>
      <rPr>
        <sz val="11"/>
        <color theme="1"/>
        <rFont val="Arial"/>
        <family val="2"/>
      </rPr>
      <t xml:space="preserve">
Type to filter by names:</t>
    </r>
  </si>
  <si>
    <t>747301</t>
  </si>
  <si>
    <t>ECR - PACKER ENVELOPE GENERATIONS FOR EXISTING HF1 PRODUCTS.  TASK WILL INCLUDE ALL REQUIRED DOCUMENTS PLUS THE PUBLISHED ENVELOPE IN A PDF FORMAT.  PART II:
722HF1702611
722HF1703204
722HF1703232
722HF1703233
722HF1764500 - PERFORMANCE ENVELOPE CREATED RTA 627102
IGNORE ALL NEW VAM THREADS</t>
  </si>
  <si>
    <t>Release of the 9290-5104 Customization RTA Process Flow Chart
The purpose of this flow chart is to document to process of the RTA Liaison process as it relates to customizations RTAs within Intelligent Completions.
TSG NOTES 011112 RECD FOR PROCESSING; TASK DEMOTED TO REMOVE FILES ATTACHED TO TASK; M.SCOGIN OUT OF TOWN UNTIL 012212; RTA RE-ASSIGNED BACK TO M. SCOGIN (GMC) END</t>
  </si>
  <si>
    <t>Statoil Stjerne M-13</t>
  </si>
  <si>
    <t>747051</t>
  </si>
  <si>
    <t>Same as: 235AC2703500-SB2; CLP,TPR LOCK,SZ 7035,13CR,3 1/2-9.2 -SB2
Except for: Sub material to be Inconel 718; Clamp material to be 13Cr</t>
  </si>
  <si>
    <t>747015</t>
  </si>
  <si>
    <t>Stian Larsen</t>
  </si>
  <si>
    <t>Stian.Larsen@halliburton.com</t>
  </si>
  <si>
    <t>DH  CREATE NEW PART NUMBER FOR (1 SPOOL 6600M) TEC, 1/4 X .049, ALLOY 825, P-06 FILLER FEP INSULATION, 16 GA SOLID COPPER CONDUCTOR, CP-1, 0.41
Quality plan KZ1</t>
  </si>
  <si>
    <t>SPLT=112</t>
  </si>
  <si>
    <t>747040</t>
  </si>
  <si>
    <t>747039</t>
  </si>
  <si>
    <t>Same as: 105XO0453508-SB2; CRSVR,13CR,4 1/2-12.60 VAMTOP - SB2
Except fot: Material to be Inconel 718</t>
  </si>
  <si>
    <t>747020</t>
  </si>
  <si>
    <t>New Part: CRSVR, 5 1/2 23 VAM TOP HC Box x 4 1/2 12.6 VAM TOP Pin, 13CR - SB2</t>
  </si>
  <si>
    <t>747016</t>
  </si>
  <si>
    <t>New Part: CRSVR, 3 1/2 9.2 VAM TOP Box x 2 7/8 6.4 VAM TOP Pin, Inconel 718</t>
  </si>
  <si>
    <t>747115</t>
  </si>
  <si>
    <t>7: SPLT=98</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</si>
  <si>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</si>
  <si>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</si>
  <si>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11: SPLT=N/A Waiting for requirements document from field.  Dana to follow up.  11/28/11 DM  Jay requested requirements info from field. Field acknowledged receipt and info should come in by 12/12. Told field that quote will be ready 2 wks from recpt of info.  12/5/11 DM  Still no response from field.  Placing on design hold.  12/9/11 DM</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</si>
  <si>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</si>
  <si>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SPLT=140 Emailed submitter for clarification.  Email attached.  1/4/12 DM</t>
  </si>
  <si>
    <t>Statoil Visund S V3</t>
  </si>
  <si>
    <t>Full Screen Option</t>
  </si>
  <si>
    <t>747414</t>
  </si>
  <si>
    <t>Same As: 226HA00735S1O00SB2; VLV INTEGD,HS-B,ACCUPULSE, - SB2
Except: 1. Modify to include Position Sensor.
2. Customize Flow Trim for D0058430002. See attachment.
Tech Start Date is in the past
Project Name: Stjerne M13
Special Quality Plan Required?: Yes
Quality Plan Identifier: SB2
Material: (9) 13 CR 105 MY 35 HRC (ES-MA-585)
Mating Infomation:</t>
  </si>
  <si>
    <t>747422</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</si>
  <si>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</si>
  <si>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747404</t>
  </si>
  <si>
    <t>Same As: 722HF1106504; PKR,HF1,1065,TBG SET,KO PLUG,25CR
Except: 
1. Material to be 13Cr
2. Quality plan to be SB2</t>
  </si>
  <si>
    <t>747000</t>
  </si>
  <si>
    <t>(TEC (Tubing Encapsulated Conductor,( Tube; 1/4 in. x 0.049 in. wall, Alloy 825 material), Encapsulated: Santoprene with 80MILS,  0.410 in. OD round- White in color, stamp length in meters on Santoprene, P-06 Filler, FEP, T-05 Fluropolymer Dielectric insulation, 16 gauge solid copper conductor, CP-1, Supplied on Torroidal metal spool, 60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R-0000732754</t>
  </si>
  <si>
    <t>elward.gardner@halliburton.com</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</si>
  <si>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</si>
  <si>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</si>
  <si>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</si>
  <si>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</si>
  <si>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</si>
  <si>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TASK TO RELEASE NEW PARTS (HF1 PACKERS)</t>
  </si>
  <si>
    <t>747933</t>
  </si>
  <si>
    <t>Jim.MacDonald@halliburton.com</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</si>
  <si>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2012-01-03 WM: The fabrication information has been submited to XFAB.  The hybrids with Proto 01 ASIC will be populated for temperature testing.  The transducers for testing will be ordered.
2012-01-10 WM: The transmit baud rate bug is being fixed by Quartzdyne.  The fabrication information will be resubmitted to XFAB in two weeks.  The first batch of hybrids using Proto 01 ASIC is on schedule for January delivery.  2012-01-10 AB</t>
  </si>
  <si>
    <t>747529</t>
  </si>
  <si>
    <t>Shell  Perdido GA6</t>
  </si>
  <si>
    <t>The documentation for 101945582 needs to be updated with a PDF version of the drawing, specification sheet, and error free design. Product has already need delivered. No design changes are needed.
FOLDER WITH O. EWUMI FOR CHECKING_A. BERRET_01/12/2012</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</si>
  <si>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</si>
  <si>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</si>
  <si>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747741</t>
  </si>
  <si>
    <t>Same As: 317072-05-SB2; SUB,CRSVR,13CR,7-29.00 VAMTOP - SB2
Except: 1. Modify threads to following: 7 inch 29 lbs/ft VT HC box x 5 inch 15 lbs/ft VT pin.
2. Change material to 25 Chrome.
Project Name: Stjerne M-11
Special Quality Plan Required?: Yes
Quality Plan Identifier: SB2
Material: (12) 25 CR  AF918 85 MY (ES-MA-66-49)
Mating Infomation:</t>
  </si>
  <si>
    <t>747732</t>
  </si>
  <si>
    <t>Same As: 722HF1763904-SB2; PKR ASSY,7639 TY HF1,WITH KNOCK -SB2
Except: 
1. Flow wetted parts to be made of Inconel 718
2. Rest of parts made of 25Cr, to be made of 13Cr</t>
  </si>
  <si>
    <t>747722</t>
  </si>
  <si>
    <t>Same As: 215PA0550003-SB2; VLV, INTEGD HVI 5-1/2 ACCUPULSE -SB2
Except: 
1. Flow Trim to be 311537-31
2. By-pass for 4 x 1/4in lines</t>
  </si>
  <si>
    <t>747720</t>
  </si>
  <si>
    <t>Same As: 216HA00728U1O00; VLV INTEGD,HS,ACCUPULSE,2-7/8,UNSHRDD,13Cr
Except: 
1. Shrouded valve
2. Position Sensor
3. All flow wetted parts to be made of Inc.718. 
Rest of equipment to be made of 13Cr
4. Flowtrim to be D00390754
5. Concentric
6. Quality plan to be SB2</t>
  </si>
  <si>
    <t>747719</t>
  </si>
  <si>
    <t>Same As: 216HAP1035U3O00SB2; VLV INTEGD HS ACCUPULSE,3-1/2 -SB2
Except: 
All flow wetted parts to be made of Inc.718.
Rest ?? 13Cr</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</si>
  <si>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
2011-12-19 WM: A kick off meeting was held.  A conceptual design memo was circulated.  Gate 1 and Gate 2 have been signed by TAM.  Awaiting signature from PLM for RTA to be placed in WIP.  2011-12-19 AB
Network:  HTWM602023 M001
ZEWO:     103837706
2012-01-10 WM: The wiring diagram is in progress.  Drafting resource will become available next Monday.  The part BOM will be built.  2012-01-10 AB
2012-01-12 Aswin Balasubramanian: A revised project plan with updated timelines and material cost has been added.</t>
  </si>
  <si>
    <t>New ROC Mdrl: SGL ROC150
Same As: 9293-6711; MDRL ASSY,2 3/8-4.60,SNGL ROC,1.125 OD,F
Except: 2.375 ROC Mandrel, single ROC150, Tenaris Blue Box x Pin, 13Cr material
Project Name: Bowen Deep
Special Quality Plan Required?: No
Material: (7) 13 CR 80 MY 22HRC (ES-MA-58-7)
Mating Infomation:
------
2011-12-13 ST - SENT EMAIL ASKING FOR NEW REQ DOC AND FOR MORE INFO
2012-01-03, WM:  Assign to Sam, class B.
2012-01-09, WM: Dana to correct TRDD
------
2012-01-09 ST - SENT TO J. SEALE FOR CHECKING
2012-01-12 J. SEALE CHECKING COMPLETE, SOME CHANGES ARE NEED SENT BACK TO S. TEHVEN
------
2012-01-12 ST - SENT TO R. BAKHTIARY FOR APPROVAL</t>
  </si>
  <si>
    <t>Statoil Oseberg S F8</t>
  </si>
  <si>
    <t>Change top connection to 4.5 inch 12.6 lbs/ft Vam Top
Change material to Super 13% Chrome
Change min. yield to 110ksi
Quality Plan: SB2</t>
  </si>
  <si>
    <t>Change Top connection to 5.5 inch 26 pound Vam Top HC
Quality Plan: SB2</t>
  </si>
  <si>
    <t>747550</t>
  </si>
  <si>
    <t>Shell Perdido</t>
  </si>
  <si>
    <t>Statoil Stjerne M13</t>
  </si>
  <si>
    <t>40: SPLT=168</t>
  </si>
  <si>
    <t>Statoil Stjerne M11</t>
  </si>
  <si>
    <t>42: SPLT=140</t>
  </si>
  <si>
    <t>41: SPLT=140</t>
  </si>
  <si>
    <t>747944</t>
  </si>
  <si>
    <t>REVISE 9290-2698, 9290-2729, 9290-2839 TO CHANGE STUB ACME THREAD TO GENERAL PURPOSE ACME THREAD (WHERE APPLICABLE) AND TO CORRECT THE MINOR DIAMETER TOLERANCES.</t>
  </si>
  <si>
    <t>46: SPLT=N/A On design hold waiting for designs by Carrollton FC. RTA 707224-718 Landing Nipple, 707227-718 Lock Mandrel, 707231-718 Equalizing Valve/Prong.  8/22/11 DM Pushed out AIS date and TRDD per P James.  9/20/11 DM</t>
  </si>
  <si>
    <t>ECR-317042-00-01. CHANGE WIDTH OF SLIP TO 2 X .858 AS PER ATTACHED MARKED UP DRG. 
ALSO REVIEW OTHER SLIPS TO CONFIRM THAT WIDTH DISCREPANCY DOES NOT EXIST. (OEWUMI 04JAN12)
FOLDER RETURNED TO T. BORDMAN FOR DISTRIBUTION_A. BERRET_01/13/2012</t>
  </si>
  <si>
    <t>Statoil  Visund S V4</t>
  </si>
  <si>
    <t>Statoil Visund S V4</t>
  </si>
  <si>
    <t>748001</t>
  </si>
  <si>
    <t>UPDATE REFERENCE NUMBER TO READ SAP PART NUMBER FOR 595765 AND 595767 AND ALSO OBSOLETE PN 595765 AND 595767 BECAUSE THE UNIT OF MEASURE WAS EA. A NEW PART NUMBER WAS CREATED FOR 595765 REF 316417-GU AND 595767 REF 316417-GU-ST0 TO CHANGE THE UOM TO MST.</t>
  </si>
  <si>
    <t>37: 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t>
  </si>
  <si>
    <t>36: SPLT=168  Emailed submitter and requested a requirements document.  10/27/11 DM  Recd and attached requirements document.  11/2/11 DM  Placing on design hold until field supplies metallurgy confirmation per S Saldanha.  12/9/11 DM</t>
  </si>
  <si>
    <t>ECR - 3.5 direct HS integration, MN 102085302
The item numbers in the BOM in CWI do not match the item numbers on the drawing, 316916-04-01.
IN ENGINEERING DESIGN_A.BERRET_01/09/2012.
FOLDER RETURNED TO O. EWUMI FOR CHECKING_A. BERRET_01/13/2012.</t>
  </si>
  <si>
    <t>30: SPLT=168  Changed AIS date per PMT.  Need to finish design asap for field design reviews.  1/13/12 DM</t>
  </si>
  <si>
    <t>Waiting on customer to approve quality plan.  1/13/12 DM</t>
  </si>
  <si>
    <t>38: SPLT=140  Attached updated requirements document reflecting thread changes to Tenaris Blue.  11/17/11 DM  Placing on design hold until field supplies metallurgy confirmation per S Saldanha.  12/9/11 DM</t>
  </si>
  <si>
    <t>Shell Changbei</t>
  </si>
  <si>
    <t>ELEC</t>
  </si>
  <si>
    <t>1/14/2012 Permanent Monitoring RTA Priorities List</t>
  </si>
  <si>
    <t>748233</t>
  </si>
  <si>
    <t>Need 7inch Anchor sub w/Crimp Clamp ref: 235CR0107004-SB2   / 102109428 with the following changes:
1) Change base material to 13Cr 80KSI</t>
  </si>
  <si>
    <t>627101</t>
  </si>
  <si>
    <t>748209</t>
  </si>
  <si>
    <t>Same as: 309347-33-SB2; CRSVR,SPLC SUB,SZ 7035,13CR,3 1/2 -SB2
Except fot: Material to be Inconel 718</t>
  </si>
  <si>
    <t>748377</t>
  </si>
  <si>
    <t>6 foot pup joint with Vam Top box (coupling) on one end and T3SB pin on the other.</t>
  </si>
  <si>
    <t>Emailed submitter for requirements doc and code/quality clarification.  1/16/12 DM</t>
  </si>
  <si>
    <t>21: 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</si>
  <si>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t>
  </si>
  <si>
    <t>39: SPLT=168  Called submitter re: attached email from S Saldanha. Left message.  1/16/12 DM</t>
  </si>
  <si>
    <t>Statoil Oseberg F8</t>
  </si>
  <si>
    <t>20: SPLT=84 Assigned to Mark G, Change class to C, changed request design complete date to 2/21/2012- 1/3/2012 RB</t>
  </si>
  <si>
    <t>3: SPLT=N/A  Design in process.  1/16/12 DM</t>
  </si>
  <si>
    <t>748374</t>
  </si>
  <si>
    <t>6 foot pup joint with Vam Top box (coupling) on one side and T3SB box on the other</t>
  </si>
  <si>
    <t xml:space="preserve">Emailed submitter for requirements document and code/quality.  1/16/12 DM </t>
  </si>
  <si>
    <t>748366</t>
  </si>
  <si>
    <t>UPDATE SAP PART NUMBER 594585 AND ITS ASSOCIATED DRAWING (ENG CONTROL) REQUESTED BY K. MOE (SEE ATTACHED EMAIL)</t>
  </si>
  <si>
    <t>katie.moe@welldynamics.com</t>
  </si>
  <si>
    <t>QUOTATION ONLY Same As: 71SSS1; SFTY SYS STD RTA DESIGN REQ
Except: Please design control panel as per attached documents submitted by customer.  Please note SIL2 certification required. Please obtain cost and delivery from our vendors.
No due date noted on inquiry
Project Name: 
Special Quality Plan Required?: No
Material: 
Technical Support Deliverables:
Preliminary Design Specifications
Reference Assembly Drawing
2012-01-03 WM: Jay to ask for an extension until 01/27/2012. Assign to Robert Thornburg
2012-01-09 WM: Robert T. and Hakeem proceeding with design. Extension not yet recieved. Try to complete before 27th.</t>
  </si>
  <si>
    <t>10: SPLT=N/A  Extension not verified, proceeding and releasing asap.   Robert T to provide ZZ  for Hakeem 1/17 AM.  Assign to Hakeem.  1/16/12 DM</t>
  </si>
  <si>
    <t>14:  Still waiting on response from field.  1/16/12 DM</t>
  </si>
  <si>
    <t>QUOTATION ONLY  Same As: 71SSS1; SFTY SYS STD RTA DESIGN REQ
Except: Review attached KOC specification and confirm our 71ZZ3037 and 71ZZ3038
meet these requirements.  If you confirm they do, then we need to confirm with our vendors current cost and delivery.  Bid due date is Jan. 10, 2012.
Project Name: 
Special Quality Plan Required?: No
Material: 
Technical Support Deliverables:
Preliminary Design Specifications
Reference Assembly Drawing
2012-01-03 WM: Put into WIP. drawings sent out for quote. Josh to review cabinet design.
2012-01-09, WM: Sent prices. Sent out for quote. Josh to review cabinet design and release.</t>
  </si>
  <si>
    <t>8: SPLT=N/A  Design review completed.  PLM reviewing changes to provide updated costing.  1/16/12 DM</t>
  </si>
  <si>
    <t>QUOTATION ONLY  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</si>
  <si>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5: SPLT=N/A  Switch to Development- Feasibility Review.  1/16/12 DM</t>
  </si>
  <si>
    <t>748258</t>
  </si>
  <si>
    <t>ECR-D00515022. Missing dimension on sheet 2 grid ref G3 for position and width of radial slot. Taken dimension from solidworks drg as 2.16 and .77 wide.</t>
  </si>
  <si>
    <t>25: SPLT=98 Changed to code 2 see attached email from submitter.  12/8/11 DM</t>
  </si>
  <si>
    <t>4: SPLT=84 @@</t>
  </si>
  <si>
    <t>8: SPLT=112 @@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t>
  </si>
  <si>
    <t>23: 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t>
  </si>
  <si>
    <t>1: SPLT=33 @@   9/25/11 WM reviewing BOM; awaiting updated drawings from ProServe to incorporate into our drawings Wkly mtg 10/4. Parts on order and build started. New changes to design recd 9/30.  10/3/11 DM   2011-07-05, Matthew Scogin:  Leadtime is not standard due to new manufacturer.  Splt reflects this. T Soules to set up mtg w/ProServ Norway 7/19/11 DM Field to order direct from ProServ.  8/11/11 DM Mtg w/mfg 8/17. D Moe to confirm AIS date can be pushed to 1/20/2012.  8/15/11 DM     Ted &amp; Josh sending initial design details to manufacturer by  8/2.  7/25/11 DM  Mtg w/mfg next week.  8/29/11 DM  Robert going to Norway to meet w/ProServ and Statoil.  9/6/11 DM Robert in Norway this week mtg with Proserv and Statoil.  9/12/11 DM Recd GA drwgs from Norway. Design to be completed in next week or two.  9/19/11 DM Pushed AIS date per R Smith.  9/21/11 DM  DM Pushed AIS date per R Smith.  9/21/11 DM  Waiting for updated drwgs from ProServ.  Meeting w/them 10/11.  10/10/11 DM ProServ drawings have been reviewed and changes need to be made.  MeetingPlace mtg scheduled tomorrow. Dana to ck with Christoffer to confirm PO is in place for this order. 10/24/11 DM  Working on TrendingWorX Logger issues, modbus maps to be updated, shipping PLCs to Norway.  11/14/11 DM  DI waiting for final drwgs from ProServ.  11/14/11 DM Recd incomplete drwgs from ProServ.  Meeting with Josh 12/6 to work out additional drwg requirements.  12/5/11 DM  Still waiting for additional drwg from ProServ. System already on order. 12/9/11 DM  Recd drwgs from ProServ but still need clarifications. Mtg with them tomorrow.  1/16/12 DM</t>
  </si>
  <si>
    <t>12: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  Ted to follow up on customer response with Jay Bissell.  12/9/11 DM  Ted to schedule meeting to clarify requirements.  1/16/12 DM</t>
  </si>
  <si>
    <t>26: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</si>
  <si>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7: 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</si>
  <si>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18: SPLT=112 @@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t>
  </si>
  <si>
    <t>19: 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</si>
  <si>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</si>
  <si>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4: SPLT=N/A    Dan/Josh to be ready for vendor quote by 12/31.  11/28/11 DM  Documentation to be completed and forwarded to Ted for approval.  1/16/12 DM</t>
  </si>
  <si>
    <t>6: SPLT=196 @@ Dan working on design and will contact SIRA for ATEX certification once design is complete.  11/28/11 DM  Waiting for Lorimer quote with ATEX certification.  12/9/11 DM  Ted sending info to alternate ATEX approved supplier.  1/16/12 DM</t>
  </si>
  <si>
    <t>27: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</si>
  <si>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10: SPLT=112 Emailed field for AIS date.  11/2/11 DM  Need drawing for customer review and mn for PO. Completion date is 6/2012.  11/23/2011 DM  Assign to James Class B 11/28/11 DM</t>
  </si>
  <si>
    <t>SPLT=126</t>
  </si>
  <si>
    <t>Same As: 9290-6829-SB2; GGE MDRL ASSY,3 1/2-9.20 VAMTOP-SB2
Except: 
Mandrel to be made of Inconel 718, 120 KSI
------
2012-01-12 ST - SENT TO J. SEALE FOR CHECKING
------
2012-01-16 ST - SENT TO R. BAKHTIARY FOR APPROVAL</t>
  </si>
  <si>
    <t>13: SPLT=126</t>
  </si>
  <si>
    <t>Same As: 9290-6830-SB2; GGE MDRL ASSY,3 1/2-9.20 VAMTOP-SB2
Except: 
Mandrel to be made of Inconel 718, 120 KSI
------
2012-01-12 ST - SENT TO J. SEALE FOR CHECKING
------
2012-01-16 ST - SENT TO R. BAKHTIARY FOR APPROVAL</t>
  </si>
  <si>
    <t>14: SPLT=126</t>
  </si>
  <si>
    <t>15: SPLT=126</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</si>
  <si>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t>
  </si>
  <si>
    <t>3.5IN 9.2ppf Inconel 718 VAM Top Gauge Mandrel ROC 175 20Ksi Fully Redundant Gauge / Mandrel Assembly with Termination included. Shell Thread Class B. Shell SE1 Quality Plan. Require EDS, EFD, and CERT Documentation.
------
2012-01-16 ST - SENT TO J. SEALE FOR CHECKING</t>
  </si>
  <si>
    <t>748484</t>
  </si>
  <si>
    <t>Same As: 71SSS1; SFTY SYS STD RTA DESIGN REQ
Except: Please design control panel as per 
link Pliego Proceso No.  YP/C/PR/761011 WELL HEAD CONTROL PANEL FOR CLUSTERS N2  N3 as per email attachments Due Date is January 16, 2012
Project Name: 
Special Quality Plan Required?: No
Material: 
Technical Support Deliverables:
Preliminary Design Specifications
Reference Assembly Drawing</t>
  </si>
  <si>
    <t>748591</t>
  </si>
  <si>
    <t>Same as: 235SF0967018-SB2;  CLP,SPLC,9670,13CR,7-29.00 VAMTOP -SB2
Except: Change Material to 25Cr</t>
  </si>
  <si>
    <t>748592</t>
  </si>
  <si>
    <t>ELEC - UPDATE SAP NUMBER 614829 AT REQUEST OF K. PEGODA (SEE EMAILS ATTACHED). PIN PART NUMBER SA3350/1 NEEDS TO BE ADDED TO THE BOM (SEE EMAIL 2 ATTACHED)</t>
  </si>
  <si>
    <t>ECR D00388600 REV C SAP 101838619 COULD THE BOM BE UPDATED TO REFLECT XYLAN COATING REQUIREMENT?
IN ENGINEERING DESIGN_A.BERRET_01/17/2012</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</si>
  <si>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t>
  </si>
  <si>
    <t>22: SPLT= N/A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</si>
  <si>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748767</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</si>
  <si>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t>
  </si>
  <si>
    <t>Same As: 216HA00735U1O05; VLV INTEGD,HSC,ACCUPULSE,3-1/2,UNSHRDD,1
Except: 9.2 ppf K Fox Threads 
DUE TO DESIGN LIMITATION, POSITION 10 LOCATION ON TRIM IS SMALLER THAN ORIGINAL REQUEST AND HAS BEEN VERBALLY CONFIRMED WITH MIKE SKI. (OEWUMI 17JAN12)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</si>
  <si>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3.5IN 9.2PPF S13CR95Ksi Foroni Only Material Class B VAM Top Threads with ROC 175 20Ksi Fully Redundant Gauge / Mandrel Assembly including Termination. SE1 Quality Plan. Requirements for EDS, EFD and CERT Documentation.
------
2012-01-17 ST - SENT TO J. SEALE FOR CHECKING</t>
  </si>
  <si>
    <t>748705</t>
  </si>
  <si>
    <t>Shell Australia</t>
  </si>
  <si>
    <t>748788</t>
  </si>
  <si>
    <t>Larry Crocker</t>
  </si>
  <si>
    <t>CBM project: Drawing update/migration from Domino to CWI per attached legend.
TSG NOTES 10-27-11 TO TSG FOR REVIEW AND RELEASE SO PARTS CAN BE BACKFILLED J. CALLAWAY
IN ENGINEERING DESIGN_A.BERRET_01/17/2011---------------END</t>
  </si>
  <si>
    <t>New ROC Mdrl: Sgl D.Redundant ROC175
Please create 4 1/2 in, 17ppf, 13CR110 mandrel  for dual redundant ROC 175 25k gauge. Mandrel will be the same as 102037383 except it will have the ROC 175 redundant gauges mounted on them.  Please use CT2 quality plan.
2012-01-03, WM:  Assign to James, class B
----
1/6/2012 RB - Mandrel will use same specs as ref mandrel 9290-2737, but will be a single ROC-175 (Gauge assy 9381-6162)
-------
01-13-2012, J. SEALE - COMPLETED DESIGN, DRAFTING AND CWI (CREATED T00000747324 TO REVISE SW PARTS MATL CONFIG. AND T00000747927 TO UPLOAD CURRENT SW MODEL TO CWI DRAWING) SENDING TO S. TEHVEN FOR CHECKING
------
01-17-2012, ST - SENT BACK TO J. SEALE FOR CORRECTION
------
01-17-2012, J. SEALE FINISHED CORRECTION SENDING TO R. BAKHTIARY FOR APPROVAL
2012-01-17 ST - SENT BACK TO J. SEALE FOR CORRECTIONS</t>
  </si>
  <si>
    <t>749120</t>
  </si>
  <si>
    <t>1Well 4ICV SHS, 110/220V, HW443, Fully Automated, NEMA4X, IP56, with separate XPIO.</t>
  </si>
  <si>
    <t>SPLT=N/A</t>
  </si>
  <si>
    <t>6: SPLT=140 @@ Emailed submitter for AIS date, customer, and project.  11/23/11DM  Recd required info from submitter. Email attached. 12/8/11 DM</t>
  </si>
  <si>
    <t>UPDATE COATING SPECS PER M. HADLEY FOR MN 593674, 594803, 594250, 591785, 595303, 593958, 594014, 594043, 591733, 594110 (SEE EMAIL ATTACHED).
TSG NOTES 01-18-2012 TO TSG FOR PROCESSING J. CALLAWAY 01-18-2012 WAS/IS TO QUALITY FOR REVIEW/APPROVAL JCC END</t>
  </si>
  <si>
    <t>48: SPLT=154 Well cancelled.  Design far enough along it will be completed for future needs. 4/18/11 DM</t>
  </si>
  <si>
    <t>4: SPLT=168 @@ To drftg 8/12.  8/11/11 DM Inital drwg complete. Design review mtg 8/23.  8/23/11 DM Emailed field regarding customer PO and AIS date. Changing to code 6 until customer PO is received.  8/25/11 DM Emailed field regarding customer PO and AIS date. Changing to code 6 until customer PO is received.  8/25/11 DM  Design hold until Research Engineering completes and releases Smartplex HS Manifold and Protective Cover Assembly. Changed AIS date to 5/18 and changed to Code 1 per PMT mtg.  1/13/12 DM</t>
  </si>
  <si>
    <t>47: SPLT=N/A On design hold waiting for designs by Carrollton FC. RTA 707224-718 Landing Nipple, 707227-718 Lock Mandrel, 707231-718 Equalizing Valve/Prong.  8/22/11 DM Pushed out AIS date and TRDD per P James.  9/20/11 DM</t>
  </si>
  <si>
    <t>44: SPLT=N/A On design hold waiting for designs by Carrollton FC. RTA 707224-718 Landing Nipple, 707227-718 Lock Mandrel, 707231-718 Equalizing Valve/Prong.  8/22/11 DM Pushed out AIS date and TRDD per P James.  9/20/11 DM Revised AIS and TRDD per P James.  10/5/11 DM</t>
  </si>
  <si>
    <t>45: SPLT=N/A  On design hold waiting for designs by Carrollton FC. RTA 707224-718 Landing Nipple, 707227-718 Lock Mandrel, 707231-718 Equalizing Valve/Prong.  8/22/11 DM Pushed out AIS date and TRDD per P James.  9/20/11 DM Revised AIS and TRDD per P James.  10/5/11 DM</t>
  </si>
  <si>
    <t>17: @@ SPLT=168 Changed AIS date to reflect SLT from production release per PMT mtg.  1/13/12 DM</t>
  </si>
  <si>
    <t>18: SPLT=168 @@ Pushed AIS and TRDD per P James.  9/20/11 DM  Changed AIS date per PMT mtg.  1/13/12 DM</t>
  </si>
  <si>
    <t>49: SPLT=N/A</t>
  </si>
  <si>
    <t>29: SPLT=210  No customer PO until end of year. May need to VSF long lead items once this is received. Design waiting for development of 4.5 multi-function ftg kit which is underway. Email attached.  10/13/11 DM  Changed AIS date per PMT mtg.  1/13/12 DM</t>
  </si>
  <si>
    <t>12: SPLT=168 @@ No special quality plan required per attached email from submitter.  11/18/11 DM  AIS date confirmed with submitter per attached email.  11/18/11 DM Mike Ski working on flow trim data...see attached email.  12/1/11 DM Changed TRDD to 12/22 per PMT direction.  12/8/11 DM  Emailed submitter to verify requirement for position sensor.  12/13/11 DM  Moved AIS date for 1/10/12 DM</t>
  </si>
  <si>
    <t>11: SPLT=168 @@  No special quality requirements per attached email from submitter.  11/18/11 DM Changed TRDD to 12/22 per PMT direction.  12/8/11 DM Changed AIS date per S Saldanha 1/10/12 DM</t>
  </si>
  <si>
    <t>8: SPLT=168 @@ Emailed submitter for AIS date, requirements document, customer name, and project name.  11/30/11 DM  Recd required info from submitter. Email attached. 12/8/11 DM</t>
  </si>
  <si>
    <t>9: SPLT=168 @@</t>
  </si>
  <si>
    <t>10: SPLT=154 Emailed field with existing part number to verify new design is still required.  Waiting for response. Email attached.  1/4/12 DM  Customer wants to go to tender so placing RTA on hold per attached email from submitter.  1/10/12 DM</t>
  </si>
  <si>
    <t>Same As: 9290-6834-SB2; GGE MDRL ASSY,5 1/2-26.00  - SB2
Except: Same as 102116945 with the following modifications:
1. Change threads to 5,5 inch 23 lb/ft VAM TOP HC pin and box.
2. Change material to 13cr.
3. Include SB2 Quality Plan.
Tech Start Date is in the past
Project Name: Stjerne M-13
Special Quality Plan Required?: Yes
Quality Plan Identifier: SB2
Material: (9) 13 CR 105 MY 35 HRC (ES-MA-585)
Mating Infomation:
1/17/2012: MG - Job complete forwarded to james for checking</t>
  </si>
  <si>
    <t>42: SPLT=140 Cancelling per attached email from submitter.  1/18/12 DM</t>
  </si>
  <si>
    <t>43: SPLT=140</t>
  </si>
  <si>
    <t>5: SPLT=168 @@ Emailed submitter for AIS date and requirements document.  11/28/11 DM  Recd required info from submitter. Email attached. 12/8/11 DM</t>
  </si>
  <si>
    <t>Urgent Request for Shell Prelude tender to be supplied to Australia for submittal. If this design does not fit then a RTA will be submitted for dual gauge assembly to be submitted with proposal. Design circle only.
For the Shell Australia Prelude tender we require a design circle for a single dual fully redundant gauge to verify if this option will work rather than a standard dual gauge assembly option.
Jim / Matt have given this high priority due to the client.
------
2012-01-18 ST - SENT TO R. BAKHTIARY FOR APPROVAL</t>
  </si>
  <si>
    <t>4.1:  Extension requested, see attached email.  1/18/12 DM</t>
  </si>
  <si>
    <t>749259</t>
  </si>
  <si>
    <t>Irina.indriyani@halliburton.com</t>
  </si>
  <si>
    <t>SET UP SAP P/N FOR SIGMA P/N 20AHM101 ALONG WITH SAP P/N FOR O RING KIT FOR SAME AND SET UP SAP P/N FOR SIGMA P/N 20AHM245 ALONG WITH SAP P/N FOR O RING KIT FOR SAME.
2012-01-03 WM: To Ted to approve.
2012-01-09, WM: Demoted. Need to add files to CWI.
2012-01-11, Sent to TSG
TSG NOTES 11112 RCVD FILE FOR PROCESSING. 11112 SENT BACK TO ENGINEER FOR CORRECTIONS. 11212 RCVD. BACK FOR CHANGE REVIEW. 11312 SENT BACK TO ENGINEER FOR FURTHER CORRECTIONS. 11612 RCVD. FILE BACK FOR FINAL REVIEW OF CHANGES. 11612 SENT BACK TO ENGINEER FOR FURTHER CORRECTIONS.(KEN) END</t>
  </si>
  <si>
    <t>CREATE BP1 FMJ VARIANT
120811 RTA SENT TO QUALITY FOR REVIEW AND APPROVAL
120811 RTA PENDING REVIEW AND APPROVAL BY CUSTOMER OF UPDATED QUALITY PLAN THIS RTA IS ON HOLD UNTIL IT HAS BEEN APPROVED BY THE CUSTOMER DSH</t>
  </si>
  <si>
    <t>ECR - 3.5 HS valve, MN 102085304, has FAT procedure ES-T-715 in the structure. This valve is a -ST0 variant which requires a DIACS barrier test. Please change the test procedure to  ES-T-712, DIACS barrier test for HS valves.
IN ENGINEERING DESIGN_A.BERRET_01/09/2012.
TSG NOTES 11812 RCVD. FILE FOR PROCESSING. TO BE CANCELLED REF. TASK 745606. (KEN) END</t>
  </si>
  <si>
    <t>ECR - 5.5 HVC valve, MN 102112484, has FAT procedure ES-T-715 in the structure. This valve is a -ST0 variant which requires a DIACS barrier test. Please change the test procedure to  ES-T-712, DIACS barrier test for HVC valves.
IN ENGINEERING_A.BERRET_01/09/2012
TSG NOTES 11812 RCVD. FILE FOR PROCESSING. TO BE CANCELLED REF. TASK 745606. (KEN) END</t>
  </si>
  <si>
    <t>9: Hakeem to contact TSG for pre-release of mn for customer PO.  Design to be completed in standard lead time.  12/5/11 DM Design completed except for pump, which may change.  Once decision is made design can be completed within a couple of days.  Jay discussing pneumatic pump costs for possible change with customer. 12/9/11 DM  Design review completed.   Changes being made per design review and will be sent to Ted for approval. Change referenced number to 71CO661.  1/12/12 DM  Emailed D Henson to revise referenced number.  1/18/12 DM</t>
  </si>
  <si>
    <t>Need to modify junction boxes to alleviate space issues as well as conform to customer requests.
TSG NOTES 11112 RCVD FILE FOR REVIEW. 11312 SENT BACK TO ENGINEER FOR CORRECTIONS. (KEN) END</t>
  </si>
  <si>
    <t>Samuel Nwankwo</t>
  </si>
  <si>
    <t xml:space="preserve">24: SPLT=112 1/3/2012 RB - Assigned to sam, changed class to B Changed AIS date per attached email from submitter.  1/18/12 DM Email from submitter indicating PO is in place and demand will be placed once released. Customer would prefer 5/10 but I did not promise this date to field. See attached email. 1/18/12 DM </t>
  </si>
  <si>
    <t>Statoil  Visund V4</t>
  </si>
  <si>
    <t>New ROC Mdrl:Dual ROC150
Issue Drawing and SAP MN for a Dual ROC-150 Gauge Mandrel with dual block and single cable termination, 7 in 29 ppf Tenaris Blue Box x Pin; Material: 13%Cr 80Ksi MY.
2012-01-09, WM: Assign to Sam, class B
------
2012-01-12 ST - SENT TO J. SEALE FOR CHECKING. WAITING ON EMAIL RESPONSE FROM ALESSANDRO TORCHIANA FOR CONCENTRICITY.
2012-01-17 J. SEALE - CHECKING COMPLETE, UPLOAD MODELS SENDING BACK S. TEHVEN
------
2012-01-19 ST - SENT TO R. BAKHTIARY FOR APPROVAL</t>
  </si>
  <si>
    <t>9: SPLT=112 @@ Submitted 2 wks inside leadtime. Emailed submitter for accurate AIS date.  1/18/12 DM Submitter confirmed AIS date-email attached.   1/19/12 DM</t>
  </si>
  <si>
    <t>1: SPLT=140 @@  Changed AIS date per CS input in PMT mtg. 1/19/12 DM</t>
  </si>
  <si>
    <t>16: SPLT=N/A  No bid due date from the region.  1/4/12 DM  Design beginning.  1/16/12 DM  Emailed Tony for due date.  1/18/12 DM Field indicates that the customer wants the quote now. See attached email.  1/19/12 DM</t>
  </si>
  <si>
    <t>CoPi Indonesia</t>
  </si>
  <si>
    <t>749366</t>
  </si>
  <si>
    <t>Shell Prelude</t>
  </si>
  <si>
    <t>Urgent Request for Shell Prelude Tender
Please create 102108984 with SE-1 quality plan
DUAL GAUGE ASSY,ROC-175,0.75 OD,0-16K PSIA,25C-177C</t>
  </si>
  <si>
    <t>pm</t>
  </si>
  <si>
    <t>UPDATE COATING SPEC PER M. HADLEY FOR M/N 594441, 592200, 595093, 592234, 101836639, 593968, 594160, 594035, 591717, 594064, 591742, 594125, 592297, 592109, 594692 (SEE EMAIL ATTACHED). 
TSG NOTES 595093 IS CORRECT AS IS 1-5-2012 TO ENGINEERING FOR REVIEW 01-06-2012 JCC</t>
  </si>
  <si>
    <t>New ROC-D Mdrl: Dual ROC-D
Need 4-1/2in, 15.1ppf, S-13Cr110, ROC-D Gauge Mandrel with Vam DRS Pin x Pin connection, bypass slot at 1.25W x .82D. Dual ROC Gauge side by side, both redundant ported to tubular. Need to work with 3rd party TEC-598418.
Must release unthreaded variant.
Customer:  Shell
Project:   Habanero
Quality:   SE1
------
2011-12-13 ST - SENT EMAIL TO CUSTOMER REQUESTING INFO OR REQ DOC.
2012-01-03, WM: Assign to Sam, class B. Tech rev due date to be 1/20/2012. Requirements docs requested and to be followed up on by Sam.
----
1/6/2012 RB - Requirements: Dual ROC-D, 1.25W x .82D Bypass
2012-01-09, WM: Assign to Sam, class B. Dana looking into whether or not gauge type has been changed and if gauges are available
---
01/10/2012 RB - Uploaded email sent to Kasey on 1/6/2012 requesting mandrel req. doc
------
2012-01-18 ST - SENT TO J. SEALE FOR CHECKING</t>
  </si>
  <si>
    <t>New ROC Mdrl: Dual ROC175
Need 4-1/2in, 15.1ppf, S-13Cr100, ROC-175 Gauge Mandrel with Vam DRS Pin x Pin connection, bypass slot at 1.25W x .82D. Dual ROC-175 Gauges side by side, both redundant ported to tubular. Needs to work with 3rd part TEC-598418.
Must release unthreaded variant.
Customer:  Shell
Project:   Habanero
Quality:   SE1
2012-01-03, WM: Assign to Sam, class B. Tech rev due date to be 1/20/2012. Requirements docs to be requested and to be followed up on by Sam.
---
01/10/2012 RB - Uploaded email sent to Kasey on 1/6/2012 requesting mandrel req. doc
------
2012-01-18 ST - TRANSFERED TO M. GUY FOR DESIGN</t>
  </si>
  <si>
    <t>749730</t>
  </si>
  <si>
    <t>MAKE CORRECTIONS TO BOMS WHICH CONTAIN INCORRECT QUANTITIES, WHICH SHOULD BE IN METERS, FOR P/N 101805944, 101805975.</t>
  </si>
  <si>
    <t>ted.soules@welldynamics.com</t>
  </si>
  <si>
    <t>749793</t>
  </si>
  <si>
    <t>New CI Mdrl: SGL 1/2 CV
Need 4-1/2in, 15.1ppf, S-13Cr110, Chemical Injection Mandrel with Vam DRS Pin x Pin connection , 2 bypass slots at 1.25W x .82D. Check Valve to be 1/2in single ported to tubing, 50psi cracking pressure. Need to work with 3rd party 1/2in, .083wt, A825 control line. To include blocks and protectors. Needs to follow SE-1 quality plan.
Customer:  Shell
Project:   Glider 5
Quality:   SE1
2011-11-28 WM: Assign to Sam Class B
----
12/05/2011 J. SEALE - COMPLETED DESIGN, SENDING TO S. TEHVEN FOR CHECKING
12/9/2011 MG - Checked. Design circle too big for 6.375 casing. Needs re-design.
2012-01-09, WM: Design has been redrawn and needs to be verified against requirements. Rameen to contact Seth if necessary to verify design.
Must release unthreaded variant.
-----
1/18/2012 RB - Returned to James for design changes after reviewing
1/19/2012 J. SEALE - DESIGN CHANGE COMPLETED, SENDING TO S. TEHVEN FOR CHECKING</t>
  </si>
  <si>
    <t>3: SPLT=126 @@ 1/3/2012 RB - Assigned to James, changed class to C, changed request design complete date to 2/7/2012  Emailed submitter regarding AIS date and to inform him that standard lead times apply which will be 5/25.  1/19/12 DM Changed AIS date per attached email from submitter.  1/19/12 DM</t>
  </si>
  <si>
    <t>Same As: 235SF0965563-SB2; SUB,SPLC,9655,13CR,1/4 FMJ,5 1/2 -SB2
Except: 1. Six Slots Required.
2. 4 hyd.lines x 1/4 0,049 WT Inc 825, 1 hyd.line x 3/8 0,049 WT Inc 825, 1 el.line x 1/4 0,035 WT Inc 825
3. SB2 Quality Plan Needed.
Tech Start Date is in the past
Project Name: Visund South V3
Special Quality Plan Required?: Yes
Quality Plan Identifier: SB2
Material: (11) Super 13 CR 110 MY 32 HRC (ES-MA-134-_)
Mating Infomation:
TSG NOTES 01-19-2012 TO TSG FOR PROCESSING J. CALLAWAY 01-19-2012 TO QUALITY FOR MARKUP JCC MARKUP TO TSG 01-19-2012 JCC END</t>
  </si>
  <si>
    <t>Shell Habanero</t>
  </si>
  <si>
    <t>2: SPLT=140 @@ Changed AIS date per CS input in PMT mtg. 1/19/12 DM</t>
  </si>
  <si>
    <t>19: SPLT=168 @@ Emailed submitter regarding 9/1/12 delivery date per PMT. Waiting for confirmation from field to change AIS date.  1/19/12 DM</t>
  </si>
  <si>
    <t>21: SPLT=168 @@  Emailed submitter regarding 9/1/12 delivery date per PMT. Waiting for confirmation from field to change AIS date.  1/19/12 DM</t>
  </si>
  <si>
    <t>26: SPLT=140  Emailed submitter regarding 9/1/12 delivery date per PMT. Waiting for confirmation from field to change AIS date.  1/19/12 DM</t>
  </si>
  <si>
    <t>3: SPLT=140 @@ Emailed submitter for req doc.  1/16/12 DM  Attached requirements document.  1/17/12 DM  Emailed submitter regarding AIS date for this well. Other submitter RTAs had 3/1 AIS date.  1/17/12 DM  Changed AIS date per CS input in PMT mtg. 1/19/12 DM</t>
  </si>
  <si>
    <t>27: SPLT=140  Emailed submitter regarding 9/1/12 delivery date per PMT. Waiting for confirmation from field to change AIS date.  1/19/12 DM</t>
  </si>
  <si>
    <t>28: SPLT=140  Emailed submitter regarding 9/1/12 delivery date per PMT. Waiting for confirmation from field to change AIS date.  1/19/12 DM</t>
  </si>
  <si>
    <t>SPLT=N/A  Changed material from 718 to 925 per attached email from submitter.  1/19/12</t>
  </si>
  <si>
    <t>24: SPLT=140  Emailed submitter regarding 9/1/12 delivery date per PMT. Waiting for confirmation from field to change AIS date.  1/19/12 DM</t>
  </si>
  <si>
    <t>22: SPLT=168 @@  Emailed submitter regarding 9/1/12 delivery date per PMT. Waiting for confirmation from field to change AIS date.  1/19/12 DM</t>
  </si>
  <si>
    <t>23: SPLT=168 @@  Emailed submitter regarding 9/1/12 delivery date per PMT. Waiting for confirmation from field to change AIS date.  1/19/12 DM</t>
  </si>
  <si>
    <t>25: SPLT=140  Emailed submitter regarding 9/1/12 delivery date per PMT. Waiting for confirmation from field to change AIS date.  1/19/12 DM</t>
  </si>
  <si>
    <t>20: SPLT=168 @@  Emailed submitter regarding 9/1/12 delivery date per PMT. Waiting for confirmation from field to change AIS date.  1/19/12 DM</t>
  </si>
  <si>
    <t>1: SPLT=126 Emailed submitter for AIS date.  11/1/11 DM  Adding AIS date per attached email from submitter.  11/2/11 DM  Assign to Sam Class B  11/28/11 DM  Spoke with Tom Taylor-pushing AIS date to end of April.  1/9/12 DM  To TSG by 1/20.  1/17/12 DM  Contacted Rameen and changed description to release unthreaded variant per PMT mtg.  1/19/12 DM  Changed AIS date per Shell rig schedule and conversation with T Taylor.  1/19/12 DM</t>
  </si>
  <si>
    <t>6: SPLT=126 Called submitter to follow up on requirements document request.  1/16/12 DM  Attached requirements document recd from submitter.  1/16/12 DM Per phone conversation with submitter single cable terms w/dual gauge assy required.  1/17/12 DM  Contacted Rameen and changed description to release unthreaded variant per PMT mtg.  1/19/12 DM  Changed AIS date per Shell rig schedule and confirmation by T Taylor.  1/19/12 DM</t>
  </si>
  <si>
    <t>5: SPLT=126 Waiting for response from field re: using ROC-175 on both this and 728465 and confirmation of AIS date.  1/4/12 DM  ROC D will be used per T Taylor. Attached requirements document.  1/16/12 DM  Contacted Rameen and changed description to release unthreaded variant per PMT mtg.  1/19/12 DM  Changed AIS date per Shell rig schedule and confirmation by T Taylor.  1/19/12 DM</t>
  </si>
  <si>
    <t>2:  SPLT=112 Assign to James, Class B and review AIS date.  11/21 DM  Review AIS date, submitted inside LT.  12/5/11 DM  Changed AIS date to reflect standard lead after production release per PMT mtg.  1/13/12 DM Emailed submitter re: casing size on req doc.  1/18/12 DM    Attaching confirmation of casing size from submitter.  1/18/12 DM  Emailed submitter to confirm AIS date.  1/18/12 DM  Submitter has no well date yet. Inquired as to whether a 6/1 AIS date would work for him.  1/18/12 DM  Revised AIS date per submitter IM conversation. 1/18/12 DM</t>
  </si>
  <si>
    <t>749945</t>
  </si>
  <si>
    <t>Require modifications to Splice Assy to be placed above and below MFT Packer 12MFT95408-VBGO. This configuration must fit into 9 5/8¿¿ 53,5 casing. All lines required to be on one side of clamp. see reference 1021115119
Current assembly of Packer 12MFT95408-VBGO and Splice Assy 235SF0965563-SB2 creates total assembly OD larger than max packer OD. Splice Assy needs to be modified to make total assembly OD less than max packer OD. see reference 1021115119</t>
  </si>
  <si>
    <t>Christopher.Tawse@Halliburton.com</t>
  </si>
  <si>
    <t>ECR(HOT): M/N 102115128 VLV INTEGD,HS-B,ACCUPULSE, -SB2 REQUIRES END PLUG TESTING FOR THE AP2 ACCUPULSE.PROCEDURE ES-A-448 REV. F DOES NOT HAVE TEST INSTRUCTIONS SIMILAR TO PROCEDURE ES-A-450 REV.C.PLEASE INCLUDE TEST INSTRUCTIONS FOR END PLUG TESTING.</t>
  </si>
  <si>
    <t>749836</t>
  </si>
  <si>
    <t>Gauge Mandrel Assembly required for Murphy Serenai. Gauge mandrel required is similar to 101954607 except thread change required to JFE Fox BxP</t>
  </si>
  <si>
    <t>15: SPLT=140 @@  Emailed submitter regarding 5/12/12 delivery date per PMT. Waiting for confirmation from field to change AIS date.  1/19/12 DM Confirmation from field to push AIS date-email attached. 1/20/12 DM</t>
  </si>
  <si>
    <t>13: SPLT=140 @@  Emailed submitter regarding 5/12/12 delivery date per PMT. Waiting for confirmation from field to change AIS date.  1/19/12 DM  Confirmation from field on pushing AIS date-email attached. 1/20/12 DM</t>
  </si>
  <si>
    <t>14: SPLT=140 @@  Emailed submitter regarding 5/12/12 delivery date per PMT. Waiting for confirmation from field to change AIS date.  1/19/12 DM Confirmation from field to push AIS date-email attached. 1/20/12 DM</t>
  </si>
  <si>
    <t>16: SPLT=140 @@  Emailed submitter regarding 5/12/12 delivery date per PMT. Waiting for confirmation from field to change AIS date.  1/19/12 DM  Confirmation from field to push AIS date-email attached. 1/20/12 DM</t>
  </si>
  <si>
    <t>Statoil Visund V4</t>
  </si>
  <si>
    <t>16: SPLT=126  Changed AIS date per Shell rig schedule and confirmation of G Breerwood. Confirmation email attched.  1/19/12 DM</t>
  </si>
  <si>
    <t>Shell Europa A8</t>
  </si>
  <si>
    <t>12: SPLT=126 Emailed submitter to verify AIS date, Code, and requirements document.  1/11/12 DM Changed material per attached email from submitter.  1/13/12 DM  Changed AIS date per Shell rig schedule and confirmation of G Breerwood. Confirmation email attached.  1/19/12 DM</t>
  </si>
  <si>
    <t xml:space="preserve">11: SPLT=126 Changed AIS date per Shell rig schedule and confirmation of G Breerwood.  Confirmation email attached. 1/19/12 DM  </t>
  </si>
  <si>
    <t>URGENT FOR TENDER FOR SHELL AUSTRALIA PRELUDE TENDER
Modify 9290-6822
Remove Bypass slots
Change material to 718
Require the following also to be included:
1.  Operating envelope of the mandrel that defines the max/min workig pressure and temerature ratings superimposed on an envelope of actual test data to illustrate margins between the same. 
2. MTBF data
3.  Burst rating of the mandrel to be 1.5 times that of completion tubing
4. create design circle asap
CHANGE IN MATERIAL TO 925.  1/19/12 DM
------
2012-01-18 ST - SENT TO M. GUY FOR CHECKING
------
2012-01-20 ST - CHANGED MATERIAL TO NICKEL ALLOY 925 110K PER PHIL ALLARDYCE - SENT TO R. BAKHTIARY FOR APPROVAL</t>
  </si>
  <si>
    <t>1/4 x .049 Inc. 825 Seamless coil tubing spooled on a 24 x 12 x 18 wooden reel complete with Inc. 600 -400-1-2 fittings 
MID SOUTH 14065INC825SESN6WT32X1000
TSG NOTES 12012 RCVD. FILE FOR PROCESSING. (KEN) END</t>
  </si>
</sst>
</file>

<file path=xl/styles.xml><?xml version="1.0" encoding="utf-8"?>
<styleSheet xmlns="http://schemas.openxmlformats.org/spreadsheetml/2006/main" xmlns:mc="http://schemas.openxmlformats.org/markup-compatibility/2006" xmlns:x14ac="http://schemas.microsoft.com/office/spreadsheetml/2009/9/ac" mc:Ignorable="x14ac">
  <fonts count="39">
    <font>
      <sz val="11"/>
      <color theme="1"/>
      <name val="Arial"/>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1.5"/>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b/>
      <sz val="11.5"/>
      <color theme="1"/>
      <name val="Arial"/>
      <family val="2"/>
    </font>
    <font>
      <sz val="11"/>
      <name val="Arial"/>
      <family val="2"/>
    </font>
    <font>
      <sz val="12"/>
      <color theme="1"/>
      <name val="Century Gothic"/>
      <family val="2"/>
    </font>
    <font>
      <sz val="14"/>
      <color theme="1"/>
      <name val="Century Gothic"/>
      <family val="2"/>
    </font>
    <font>
      <sz val="11"/>
      <color theme="0"/>
      <name val="Century Gothic"/>
      <family val="2"/>
    </font>
    <font>
      <sz val="10"/>
      <color theme="0"/>
      <name val="Century Gothic"/>
      <family val="2"/>
    </font>
    <font>
      <sz val="11"/>
      <color theme="1"/>
      <name val="Century Gothic"/>
      <family val="2"/>
    </font>
    <font>
      <b/>
      <sz val="26"/>
      <color theme="1" tint="0.34998626667073579"/>
      <name val="Arial"/>
      <family val="2"/>
    </font>
    <font>
      <sz val="11"/>
      <color theme="1" tint="0.34998626667073579"/>
      <name val="Arial"/>
      <family val="2"/>
    </font>
    <font>
      <sz val="11"/>
      <color theme="1"/>
      <name val="Century Gothic"/>
      <family val="2"/>
    </font>
    <font>
      <sz val="12"/>
      <color theme="0"/>
      <name val="Century Gothic"/>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ury Gothic"/>
      <family val="2"/>
    </font>
    <font>
      <sz val="11"/>
      <color theme="1"/>
      <name val="Centry"/>
    </font>
    <font>
      <sz val="10"/>
      <color theme="1"/>
      <name val="Arial"/>
      <family val="2"/>
    </font>
    <font>
      <sz val="11"/>
      <color theme="1"/>
      <name val="Century Gothic"/>
      <family val="2"/>
    </font>
    <font>
      <sz val="11.5"/>
      <color theme="0"/>
      <name val="Century Gothic"/>
      <family val="2"/>
    </font>
    <font>
      <sz val="11.5"/>
      <color theme="1"/>
      <name val="Century Gothic"/>
      <family val="2"/>
    </font>
    <font>
      <sz val="11.5"/>
      <color theme="1"/>
      <name val="Century Gothic"/>
      <family val="2"/>
    </font>
  </fonts>
  <fills count="11">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rgb="FF5B9CD7"/>
        <bgColor indexed="64"/>
      </patternFill>
    </fill>
    <fill>
      <patternFill patternType="solid">
        <fgColor theme="0" tint="-0.14999847407452621"/>
        <bgColor indexed="64"/>
      </patternFill>
    </fill>
    <fill>
      <patternFill patternType="solid">
        <fgColor rgb="FFE8E8E8"/>
        <bgColor indexed="64"/>
      </patternFill>
    </fill>
  </fills>
  <borders count="49">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thin">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
      <left style="thin">
        <color theme="0"/>
      </left>
      <right style="thin">
        <color theme="0"/>
      </right>
      <top/>
      <bottom/>
      <diagonal/>
    </border>
    <border>
      <left style="thin">
        <color theme="0"/>
      </left>
      <right style="thick">
        <color theme="0"/>
      </right>
      <top/>
      <bottom/>
      <diagonal/>
    </border>
    <border>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style="thin">
        <color indexed="64"/>
      </right>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tint="-0.499984740745262"/>
      </right>
      <top/>
      <bottom style="thin">
        <color theme="0"/>
      </bottom>
      <diagonal/>
    </border>
    <border>
      <left/>
      <right style="thin">
        <color theme="0" tint="-0.499984740745262"/>
      </right>
      <top style="thin">
        <color theme="0"/>
      </top>
      <bottom style="thin">
        <color theme="0"/>
      </bottom>
      <diagonal/>
    </border>
    <border>
      <left/>
      <right style="thin">
        <color theme="0" tint="-0.499984740745262"/>
      </right>
      <top style="thin">
        <color theme="0"/>
      </top>
      <bottom/>
      <diagonal/>
    </border>
    <border>
      <left/>
      <right style="thin">
        <color theme="0" tint="-0.499984740745262"/>
      </right>
      <top/>
      <bottom/>
      <diagonal/>
    </border>
  </borders>
  <cellStyleXfs count="1">
    <xf numFmtId="0" fontId="0" fillId="0" borderId="0"/>
  </cellStyleXfs>
  <cellXfs count="180">
    <xf numFmtId="0" fontId="0" fillId="0" borderId="0" xfId="0"/>
    <xf numFmtId="0" fontId="0" fillId="4" borderId="0" xfId="0" applyFill="1"/>
    <xf numFmtId="0" fontId="0" fillId="0" borderId="0" xfId="0" applyBorder="1" applyAlignment="1">
      <alignment horizontal="center" vertical="center" wrapText="1"/>
    </xf>
    <xf numFmtId="0" fontId="3"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1" fillId="4" borderId="0" xfId="0" applyFont="1" applyFill="1" applyAlignment="1">
      <alignment horizontal="center" vertical="center" wrapText="1"/>
    </xf>
    <xf numFmtId="0" fontId="3"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7" fillId="0" borderId="22" xfId="0" applyFont="1" applyBorder="1" applyAlignment="1">
      <alignment horizontal="center" vertical="center" wrapText="1"/>
    </xf>
    <xf numFmtId="0" fontId="7" fillId="0" borderId="22" xfId="0" applyFont="1" applyFill="1" applyBorder="1" applyAlignment="1">
      <alignment horizontal="center" vertical="center" wrapText="1"/>
    </xf>
    <xf numFmtId="0" fontId="7" fillId="0" borderId="22" xfId="0" applyFont="1" applyBorder="1" applyAlignment="1">
      <alignment horizontal="center" vertical="center"/>
    </xf>
    <xf numFmtId="0" fontId="9" fillId="5" borderId="11"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12"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8" fillId="3" borderId="14" xfId="0" applyFont="1" applyFill="1" applyBorder="1" applyAlignment="1">
      <alignment horizontal="right" vertical="center"/>
    </xf>
    <xf numFmtId="0" fontId="8" fillId="3" borderId="15" xfId="0" applyFont="1" applyFill="1" applyBorder="1" applyAlignment="1">
      <alignment horizontal="right" vertical="center"/>
    </xf>
    <xf numFmtId="0" fontId="8"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9" fillId="5" borderId="12" xfId="0" applyNumberFormat="1" applyFont="1" applyFill="1" applyBorder="1" applyAlignment="1">
      <alignment horizontal="center" vertical="center"/>
    </xf>
    <xf numFmtId="1" fontId="9" fillId="5" borderId="13" xfId="0" applyNumberFormat="1" applyFont="1" applyFill="1" applyBorder="1" applyAlignment="1">
      <alignment horizontal="center" vertical="center"/>
    </xf>
    <xf numFmtId="0" fontId="9" fillId="5" borderId="26" xfId="0" applyFont="1" applyFill="1" applyBorder="1" applyAlignment="1">
      <alignment horizontal="center" vertical="center"/>
    </xf>
    <xf numFmtId="0" fontId="9" fillId="5" borderId="27" xfId="0" applyFont="1" applyFill="1" applyBorder="1" applyAlignment="1">
      <alignment horizontal="center" vertical="center"/>
    </xf>
    <xf numFmtId="0" fontId="9" fillId="5" borderId="28"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4"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17" fillId="7" borderId="0" xfId="0" applyFont="1" applyFill="1" applyProtection="1"/>
    <xf numFmtId="14" fontId="17" fillId="7" borderId="0" xfId="0" applyNumberFormat="1" applyFont="1" applyFill="1" applyProtection="1"/>
    <xf numFmtId="0" fontId="0" fillId="7" borderId="0" xfId="0" applyFill="1" applyProtection="1"/>
    <xf numFmtId="14" fontId="0" fillId="7" borderId="0" xfId="0" applyNumberFormat="1" applyFill="1" applyProtection="1"/>
    <xf numFmtId="14" fontId="0" fillId="7" borderId="0" xfId="0" applyNumberFormat="1" applyFill="1" applyBorder="1" applyProtection="1"/>
    <xf numFmtId="0" fontId="17" fillId="7" borderId="34" xfId="0" applyFont="1" applyFill="1" applyBorder="1" applyProtection="1"/>
    <xf numFmtId="0" fontId="0" fillId="7" borderId="34" xfId="0" applyFill="1" applyBorder="1" applyProtection="1"/>
    <xf numFmtId="0" fontId="0" fillId="7" borderId="33" xfId="0" applyFill="1" applyBorder="1" applyProtection="1"/>
    <xf numFmtId="0" fontId="10" fillId="7" borderId="0" xfId="0" applyFont="1" applyFill="1" applyBorder="1" applyAlignment="1" applyProtection="1">
      <alignment horizontal="center" vertical="center"/>
      <protection locked="0"/>
    </xf>
    <xf numFmtId="0" fontId="0" fillId="7" borderId="0" xfId="0" applyFont="1" applyFill="1" applyProtection="1">
      <protection locked="0"/>
    </xf>
    <xf numFmtId="0" fontId="0" fillId="7" borderId="0" xfId="0" applyFont="1" applyFill="1" applyAlignment="1" applyProtection="1">
      <alignment vertical="center"/>
      <protection locked="0"/>
    </xf>
    <xf numFmtId="0" fontId="0" fillId="7" borderId="0" xfId="0" applyFont="1" applyFill="1" applyAlignment="1" applyProtection="1">
      <alignment horizontal="center" vertical="center"/>
      <protection locked="0"/>
    </xf>
    <xf numFmtId="14" fontId="0" fillId="7" borderId="0" xfId="0" applyNumberFormat="1" applyFont="1" applyFill="1" applyProtection="1">
      <protection locked="0"/>
    </xf>
    <xf numFmtId="0" fontId="0" fillId="7" borderId="0" xfId="0" applyFont="1" applyFill="1"/>
    <xf numFmtId="0" fontId="1" fillId="7" borderId="0" xfId="0" applyFont="1" applyFill="1" applyProtection="1">
      <protection locked="0"/>
    </xf>
    <xf numFmtId="0" fontId="19" fillId="9" borderId="32" xfId="0" applyFont="1" applyFill="1" applyBorder="1" applyAlignment="1" applyProtection="1">
      <alignment horizontal="center" vertical="center"/>
    </xf>
    <xf numFmtId="0" fontId="13" fillId="7" borderId="0" xfId="0" applyFont="1" applyFill="1"/>
    <xf numFmtId="0" fontId="0" fillId="0" borderId="0" xfId="0" applyBorder="1" applyAlignment="1">
      <alignment horizontal="left" vertical="top" wrapText="1"/>
    </xf>
    <xf numFmtId="0" fontId="24" fillId="7" borderId="0" xfId="0" applyFont="1" applyFill="1"/>
    <xf numFmtId="0" fontId="20" fillId="8" borderId="39" xfId="0" applyFont="1" applyFill="1" applyBorder="1" applyAlignment="1">
      <alignment horizontal="center" vertical="center" wrapText="1"/>
    </xf>
    <xf numFmtId="0" fontId="21" fillId="8" borderId="39" xfId="0" applyFont="1" applyFill="1" applyBorder="1" applyAlignment="1">
      <alignment horizontal="center" vertical="center" wrapText="1"/>
    </xf>
    <xf numFmtId="0" fontId="20" fillId="8" borderId="36" xfId="0" applyFont="1" applyFill="1" applyBorder="1" applyAlignment="1">
      <alignment horizontal="center" vertical="top" wrapText="1"/>
    </xf>
    <xf numFmtId="0" fontId="20" fillId="8" borderId="39" xfId="0" applyFont="1" applyFill="1" applyBorder="1" applyAlignment="1" applyProtection="1">
      <alignment horizontal="center" vertical="center" wrapText="1"/>
    </xf>
    <xf numFmtId="0" fontId="20" fillId="8" borderId="40" xfId="0" applyFont="1" applyFill="1" applyBorder="1" applyAlignment="1">
      <alignment horizontal="center" vertical="center" wrapText="1"/>
    </xf>
    <xf numFmtId="0" fontId="26" fillId="8" borderId="41" xfId="0" applyFont="1" applyFill="1" applyBorder="1" applyAlignment="1">
      <alignment horizontal="center" vertical="center" wrapText="1"/>
    </xf>
    <xf numFmtId="0" fontId="20" fillId="8" borderId="38" xfId="0" applyFont="1" applyFill="1" applyBorder="1" applyAlignment="1">
      <alignment horizontal="center" vertical="top" wrapText="1"/>
    </xf>
    <xf numFmtId="0" fontId="20" fillId="8" borderId="37" xfId="0" applyFont="1" applyFill="1" applyBorder="1" applyAlignment="1">
      <alignment horizontal="center" vertical="top" wrapText="1"/>
    </xf>
    <xf numFmtId="0" fontId="22" fillId="0" borderId="43" xfId="0" applyFont="1" applyFill="1" applyBorder="1" applyAlignment="1" applyProtection="1">
      <alignment horizontal="center" vertical="top" wrapText="1"/>
      <protection locked="0"/>
    </xf>
    <xf numFmtId="0" fontId="22" fillId="0" borderId="43" xfId="0" applyFont="1" applyFill="1" applyBorder="1" applyAlignment="1" applyProtection="1">
      <alignment horizontal="left" vertical="top" wrapText="1"/>
      <protection locked="0"/>
    </xf>
    <xf numFmtId="14" fontId="22" fillId="0" borderId="43" xfId="0" applyNumberFormat="1" applyFont="1" applyFill="1" applyBorder="1" applyAlignment="1" applyProtection="1">
      <alignment horizontal="center" vertical="top" wrapText="1"/>
      <protection locked="0"/>
    </xf>
    <xf numFmtId="0" fontId="22" fillId="0" borderId="43" xfId="0" applyNumberFormat="1" applyFont="1" applyFill="1" applyBorder="1" applyAlignment="1" applyProtection="1">
      <alignment horizontal="center" vertical="top" wrapText="1"/>
    </xf>
    <xf numFmtId="1" fontId="22" fillId="0" borderId="43" xfId="0" applyNumberFormat="1" applyFont="1" applyFill="1" applyBorder="1" applyAlignment="1" applyProtection="1">
      <alignment horizontal="center" vertical="top" wrapText="1"/>
    </xf>
    <xf numFmtId="14" fontId="22" fillId="0" borderId="43" xfId="0" applyNumberFormat="1" applyFont="1" applyFill="1" applyBorder="1" applyAlignment="1" applyProtection="1">
      <alignment horizontal="center" vertical="top" wrapText="1"/>
    </xf>
    <xf numFmtId="0" fontId="22" fillId="0" borderId="42" xfId="0" applyFont="1" applyFill="1" applyBorder="1" applyAlignment="1" applyProtection="1">
      <alignment horizontal="center" vertical="top" wrapText="1"/>
      <protection locked="0"/>
    </xf>
    <xf numFmtId="49" fontId="22" fillId="0" borderId="42" xfId="0" applyNumberFormat="1" applyFont="1" applyFill="1" applyBorder="1" applyAlignment="1" applyProtection="1">
      <alignment horizontal="center" vertical="top" wrapText="1"/>
      <protection locked="0"/>
    </xf>
    <xf numFmtId="49" fontId="22" fillId="0" borderId="43" xfId="0" applyNumberFormat="1" applyFont="1" applyFill="1" applyBorder="1" applyAlignment="1" applyProtection="1">
      <alignment horizontal="center" vertical="top" wrapText="1"/>
      <protection locked="0"/>
    </xf>
    <xf numFmtId="1" fontId="22" fillId="0" borderId="43" xfId="0" applyNumberFormat="1" applyFont="1" applyFill="1" applyBorder="1" applyAlignment="1" applyProtection="1">
      <alignment horizontal="center" vertical="top" wrapText="1"/>
      <protection locked="0"/>
    </xf>
    <xf numFmtId="49" fontId="22" fillId="0" borderId="43" xfId="0" quotePrefix="1" applyNumberFormat="1" applyFont="1" applyFill="1" applyBorder="1" applyAlignment="1" applyProtection="1">
      <alignment horizontal="center" vertical="top" wrapText="1"/>
      <protection locked="0"/>
    </xf>
    <xf numFmtId="0" fontId="22" fillId="0" borderId="43" xfId="0" applyFont="1" applyBorder="1" applyAlignment="1">
      <alignment horizontal="center" vertical="top" wrapText="1"/>
    </xf>
    <xf numFmtId="0" fontId="22" fillId="0" borderId="43" xfId="0" applyFont="1" applyBorder="1" applyAlignment="1">
      <alignment horizontal="left" vertical="top" wrapText="1"/>
    </xf>
    <xf numFmtId="14" fontId="22" fillId="0" borderId="43" xfId="0" applyNumberFormat="1" applyFont="1" applyBorder="1" applyAlignment="1">
      <alignment horizontal="center" vertical="top" wrapText="1"/>
    </xf>
    <xf numFmtId="1" fontId="22" fillId="0" borderId="43" xfId="0" applyNumberFormat="1" applyFont="1" applyBorder="1" applyAlignment="1">
      <alignment horizontal="center" vertical="top" wrapText="1"/>
    </xf>
    <xf numFmtId="14" fontId="22" fillId="0" borderId="43" xfId="0" applyNumberFormat="1" applyFont="1" applyBorder="1" applyAlignment="1" applyProtection="1">
      <alignment horizontal="center" vertical="top" wrapText="1"/>
    </xf>
    <xf numFmtId="49" fontId="22" fillId="0" borderId="43" xfId="0" applyNumberFormat="1" applyFont="1" applyBorder="1" applyAlignment="1">
      <alignment horizontal="center" vertical="top" wrapText="1"/>
    </xf>
    <xf numFmtId="0" fontId="22" fillId="10" borderId="45" xfId="0" applyFont="1" applyFill="1" applyBorder="1" applyAlignment="1" applyProtection="1">
      <alignment horizontal="center" vertical="top" wrapText="1"/>
      <protection locked="0"/>
    </xf>
    <xf numFmtId="0" fontId="22" fillId="10" borderId="46" xfId="0" applyFont="1" applyFill="1" applyBorder="1" applyAlignment="1" applyProtection="1">
      <alignment horizontal="center" vertical="top" wrapText="1"/>
      <protection locked="0"/>
    </xf>
    <xf numFmtId="0" fontId="22" fillId="10" borderId="47" xfId="0" applyFont="1" applyFill="1" applyBorder="1" applyAlignment="1" applyProtection="1">
      <alignment horizontal="center" vertical="top" wrapText="1"/>
      <protection locked="0"/>
    </xf>
    <xf numFmtId="0" fontId="25" fillId="10" borderId="46" xfId="0" applyFont="1" applyFill="1" applyBorder="1" applyAlignment="1" applyProtection="1">
      <alignment horizontal="center" vertical="top" wrapText="1"/>
      <protection locked="0"/>
    </xf>
    <xf numFmtId="0" fontId="25" fillId="0" borderId="43" xfId="0" applyFont="1" applyBorder="1" applyAlignment="1">
      <alignment horizontal="center" vertical="top" wrapText="1"/>
    </xf>
    <xf numFmtId="14" fontId="25" fillId="0" borderId="43" xfId="0" applyNumberFormat="1" applyFont="1" applyBorder="1" applyAlignment="1">
      <alignment horizontal="center" vertical="top" wrapText="1"/>
    </xf>
    <xf numFmtId="1" fontId="25" fillId="0" borderId="43" xfId="0" applyNumberFormat="1" applyFont="1" applyBorder="1" applyAlignment="1">
      <alignment horizontal="center" vertical="top" wrapText="1"/>
    </xf>
    <xf numFmtId="14" fontId="25" fillId="0" borderId="43" xfId="0" applyNumberFormat="1" applyFont="1" applyBorder="1" applyAlignment="1" applyProtection="1">
      <alignment horizontal="center" vertical="top" wrapText="1"/>
    </xf>
    <xf numFmtId="49" fontId="25" fillId="0" borderId="43" xfId="0" applyNumberFormat="1" applyFont="1" applyBorder="1" applyAlignment="1">
      <alignment horizontal="center" vertical="top" wrapText="1"/>
    </xf>
    <xf numFmtId="0" fontId="23" fillId="7" borderId="0" xfId="0" applyFont="1" applyFill="1" applyAlignment="1">
      <alignment vertical="center"/>
    </xf>
    <xf numFmtId="0" fontId="23" fillId="7" borderId="0" xfId="0" applyFont="1" applyFill="1" applyAlignment="1">
      <alignment horizontal="center" vertical="center"/>
    </xf>
    <xf numFmtId="0" fontId="27" fillId="7" borderId="0" xfId="0" applyFont="1" applyFill="1"/>
    <xf numFmtId="0" fontId="28" fillId="7" borderId="0" xfId="0" applyFont="1" applyFill="1"/>
    <xf numFmtId="0" fontId="29" fillId="7" borderId="0" xfId="0" applyFont="1" applyFill="1"/>
    <xf numFmtId="0" fontId="30" fillId="7" borderId="0" xfId="0" applyFont="1" applyFill="1"/>
    <xf numFmtId="0" fontId="27" fillId="7" borderId="0" xfId="0" applyFont="1" applyFill="1" applyAlignment="1">
      <alignment horizontal="left" vertical="center"/>
    </xf>
    <xf numFmtId="0" fontId="28" fillId="7" borderId="0" xfId="0" applyFont="1" applyFill="1" applyAlignment="1">
      <alignment horizontal="left" vertical="center"/>
    </xf>
    <xf numFmtId="0" fontId="31" fillId="7" borderId="0" xfId="0" applyFont="1" applyFill="1"/>
    <xf numFmtId="0" fontId="0" fillId="7" borderId="0" xfId="0" applyFill="1"/>
    <xf numFmtId="0" fontId="22" fillId="0" borderId="44" xfId="0" applyFont="1" applyFill="1" applyBorder="1" applyAlignment="1" applyProtection="1">
      <alignment horizontal="center" vertical="top" wrapText="1"/>
      <protection locked="0"/>
    </xf>
    <xf numFmtId="0" fontId="22" fillId="0" borderId="44" xfId="0" applyFont="1" applyFill="1" applyBorder="1" applyAlignment="1" applyProtection="1">
      <alignment horizontal="left" vertical="top" wrapText="1"/>
      <protection locked="0"/>
    </xf>
    <xf numFmtId="14" fontId="22" fillId="0" borderId="44" xfId="0" applyNumberFormat="1" applyFont="1" applyFill="1" applyBorder="1" applyAlignment="1" applyProtection="1">
      <alignment horizontal="center" vertical="top" wrapText="1"/>
      <protection locked="0"/>
    </xf>
    <xf numFmtId="0" fontId="22" fillId="0" borderId="44" xfId="0" applyNumberFormat="1" applyFont="1" applyFill="1" applyBorder="1" applyAlignment="1" applyProtection="1">
      <alignment horizontal="center" vertical="top" wrapText="1"/>
    </xf>
    <xf numFmtId="1" fontId="22" fillId="0" borderId="44" xfId="0" applyNumberFormat="1" applyFont="1" applyFill="1" applyBorder="1" applyAlignment="1" applyProtection="1">
      <alignment horizontal="center" vertical="top" wrapText="1"/>
    </xf>
    <xf numFmtId="14" fontId="22" fillId="0" borderId="44" xfId="0" applyNumberFormat="1" applyFont="1" applyFill="1" applyBorder="1" applyAlignment="1" applyProtection="1">
      <alignment horizontal="center" vertical="top" wrapText="1"/>
    </xf>
    <xf numFmtId="49" fontId="22" fillId="0" borderId="44" xfId="0" applyNumberFormat="1" applyFont="1" applyFill="1" applyBorder="1" applyAlignment="1" applyProtection="1">
      <alignment horizontal="center" vertical="top" wrapText="1"/>
      <protection locked="0"/>
    </xf>
    <xf numFmtId="0" fontId="33" fillId="7" borderId="0" xfId="0" applyFont="1" applyFill="1"/>
    <xf numFmtId="0" fontId="22" fillId="7" borderId="0" xfId="0" applyFont="1" applyFill="1"/>
    <xf numFmtId="0" fontId="32" fillId="10" borderId="48" xfId="0" applyFont="1" applyFill="1" applyBorder="1" applyAlignment="1" applyProtection="1">
      <alignment horizontal="center" vertical="top" wrapText="1"/>
      <protection locked="0"/>
    </xf>
    <xf numFmtId="0" fontId="32" fillId="0" borderId="43" xfId="0" applyFont="1" applyFill="1" applyBorder="1" applyAlignment="1" applyProtection="1">
      <alignment horizontal="center" vertical="top" wrapText="1"/>
      <protection locked="0"/>
    </xf>
    <xf numFmtId="0" fontId="32" fillId="0" borderId="43" xfId="0" applyFont="1" applyFill="1" applyBorder="1" applyAlignment="1" applyProtection="1">
      <alignment horizontal="left" vertical="top" wrapText="1"/>
      <protection locked="0"/>
    </xf>
    <xf numFmtId="14" fontId="32" fillId="0" borderId="43" xfId="0" applyNumberFormat="1" applyFont="1" applyFill="1" applyBorder="1" applyAlignment="1" applyProtection="1">
      <alignment horizontal="center" vertical="top" wrapText="1"/>
      <protection locked="0"/>
    </xf>
    <xf numFmtId="0" fontId="32" fillId="0" borderId="43" xfId="0" applyNumberFormat="1" applyFont="1" applyFill="1" applyBorder="1" applyAlignment="1" applyProtection="1">
      <alignment horizontal="center" vertical="top" wrapText="1"/>
    </xf>
    <xf numFmtId="1" fontId="32" fillId="0" borderId="43" xfId="0" applyNumberFormat="1" applyFont="1" applyFill="1" applyBorder="1" applyAlignment="1" applyProtection="1">
      <alignment horizontal="center" vertical="top" wrapText="1"/>
    </xf>
    <xf numFmtId="14" fontId="32" fillId="0" borderId="43" xfId="0" applyNumberFormat="1" applyFont="1" applyFill="1" applyBorder="1" applyAlignment="1" applyProtection="1">
      <alignment horizontal="center" vertical="top" wrapText="1"/>
    </xf>
    <xf numFmtId="49" fontId="32" fillId="0" borderId="43" xfId="0" applyNumberFormat="1" applyFont="1" applyFill="1" applyBorder="1" applyAlignment="1" applyProtection="1">
      <alignment horizontal="center" vertical="top" wrapText="1"/>
      <protection locked="0"/>
    </xf>
    <xf numFmtId="0" fontId="32" fillId="0" borderId="0" xfId="0" applyFont="1" applyFill="1" applyBorder="1" applyAlignment="1" applyProtection="1">
      <alignment horizontal="center" vertical="top" wrapText="1"/>
      <protection locked="0"/>
    </xf>
    <xf numFmtId="0" fontId="32" fillId="10" borderId="46" xfId="0" applyFont="1" applyFill="1" applyBorder="1" applyAlignment="1" applyProtection="1">
      <alignment horizontal="center" vertical="top" wrapText="1"/>
      <protection locked="0"/>
    </xf>
    <xf numFmtId="0" fontId="17" fillId="9" borderId="33" xfId="0" applyFont="1" applyFill="1" applyBorder="1" applyProtection="1"/>
    <xf numFmtId="0" fontId="0" fillId="7" borderId="0" xfId="0" applyFill="1" applyAlignment="1" applyProtection="1">
      <alignment vertical="center"/>
    </xf>
    <xf numFmtId="0" fontId="0" fillId="7" borderId="0" xfId="0" applyFill="1" applyAlignment="1" applyProtection="1">
      <alignment horizontal="center" vertical="center" wrapText="1"/>
    </xf>
    <xf numFmtId="0" fontId="22" fillId="10" borderId="48" xfId="0" applyFont="1" applyFill="1" applyBorder="1" applyAlignment="1" applyProtection="1">
      <alignment horizontal="center" vertical="top" wrapText="1"/>
      <protection locked="0"/>
    </xf>
    <xf numFmtId="0" fontId="22" fillId="0" borderId="0" xfId="0" applyFont="1" applyFill="1" applyBorder="1" applyAlignment="1" applyProtection="1">
      <alignment horizontal="center" vertical="top" wrapText="1"/>
      <protection locked="0"/>
    </xf>
    <xf numFmtId="0" fontId="35" fillId="0" borderId="43" xfId="0" applyFont="1" applyFill="1" applyBorder="1" applyAlignment="1" applyProtection="1">
      <alignment horizontal="center" vertical="top" wrapText="1"/>
      <protection locked="0"/>
    </xf>
    <xf numFmtId="0" fontId="35" fillId="0" borderId="43" xfId="0" applyFont="1" applyFill="1" applyBorder="1" applyAlignment="1" applyProtection="1">
      <alignment horizontal="left" vertical="top" wrapText="1"/>
      <protection locked="0"/>
    </xf>
    <xf numFmtId="14" fontId="35" fillId="0" borderId="43" xfId="0" applyNumberFormat="1" applyFont="1" applyFill="1" applyBorder="1" applyAlignment="1" applyProtection="1">
      <alignment horizontal="center" vertical="top" wrapText="1"/>
      <protection locked="0"/>
    </xf>
    <xf numFmtId="0" fontId="35" fillId="0" borderId="43" xfId="0" applyNumberFormat="1" applyFont="1" applyFill="1" applyBorder="1" applyAlignment="1" applyProtection="1">
      <alignment horizontal="center" vertical="top" wrapText="1"/>
    </xf>
    <xf numFmtId="1" fontId="35" fillId="0" borderId="43" xfId="0" applyNumberFormat="1" applyFont="1" applyFill="1" applyBorder="1" applyAlignment="1" applyProtection="1">
      <alignment horizontal="center" vertical="top" wrapText="1"/>
    </xf>
    <xf numFmtId="14" fontId="35" fillId="0" borderId="43" xfId="0" applyNumberFormat="1" applyFont="1" applyFill="1" applyBorder="1" applyAlignment="1" applyProtection="1">
      <alignment horizontal="center" vertical="top" wrapText="1"/>
    </xf>
    <xf numFmtId="49" fontId="35" fillId="0" borderId="43" xfId="0" applyNumberFormat="1" applyFont="1" applyFill="1" applyBorder="1" applyAlignment="1" applyProtection="1">
      <alignment horizontal="center" vertical="top" wrapText="1"/>
      <protection locked="0"/>
    </xf>
    <xf numFmtId="0" fontId="35" fillId="10" borderId="46" xfId="0" applyFont="1" applyFill="1" applyBorder="1" applyAlignment="1" applyProtection="1">
      <alignment horizontal="center" vertical="top" wrapText="1"/>
      <protection locked="0"/>
    </xf>
    <xf numFmtId="0" fontId="36" fillId="8" borderId="36" xfId="0" applyFont="1" applyFill="1" applyBorder="1" applyAlignment="1">
      <alignment horizontal="center" vertical="center" wrapText="1"/>
    </xf>
    <xf numFmtId="0" fontId="37" fillId="10" borderId="42" xfId="0" applyNumberFormat="1" applyFont="1" applyFill="1" applyBorder="1" applyAlignment="1" applyProtection="1">
      <alignment horizontal="center" vertical="top" wrapText="1"/>
    </xf>
    <xf numFmtId="0" fontId="37" fillId="10" borderId="43" xfId="0" applyNumberFormat="1" applyFont="1" applyFill="1" applyBorder="1" applyAlignment="1" applyProtection="1">
      <alignment horizontal="center" vertical="top" wrapText="1"/>
    </xf>
    <xf numFmtId="0" fontId="37" fillId="10" borderId="43" xfId="0" applyFont="1" applyFill="1" applyBorder="1" applyAlignment="1">
      <alignment horizontal="center" vertical="top" wrapText="1"/>
    </xf>
    <xf numFmtId="0" fontId="37" fillId="10" borderId="44" xfId="0" applyNumberFormat="1" applyFont="1" applyFill="1" applyBorder="1" applyAlignment="1" applyProtection="1">
      <alignment horizontal="center" vertical="top" wrapText="1"/>
    </xf>
    <xf numFmtId="0" fontId="37" fillId="10" borderId="0" xfId="0" applyNumberFormat="1" applyFont="1" applyFill="1" applyBorder="1" applyAlignment="1" applyProtection="1">
      <alignment horizontal="center" vertical="top" wrapText="1"/>
    </xf>
    <xf numFmtId="0" fontId="38" fillId="10" borderId="43" xfId="0" applyNumberFormat="1" applyFont="1" applyFill="1" applyBorder="1" applyAlignment="1" applyProtection="1">
      <alignment horizontal="center" vertical="top" wrapText="1"/>
    </xf>
    <xf numFmtId="1" fontId="22" fillId="0" borderId="44" xfId="0" applyNumberFormat="1" applyFont="1" applyFill="1" applyBorder="1" applyAlignment="1" applyProtection="1">
      <alignment horizontal="center" vertical="top" wrapText="1"/>
      <protection locked="0"/>
    </xf>
    <xf numFmtId="49" fontId="27" fillId="7" borderId="0" xfId="0" applyNumberFormat="1" applyFont="1" applyFill="1" applyAlignment="1">
      <alignment horizontal="left" vertical="center"/>
    </xf>
    <xf numFmtId="0" fontId="15" fillId="7" borderId="0" xfId="0" applyFont="1" applyFill="1" applyAlignment="1">
      <alignment horizontal="center" vertical="center"/>
    </xf>
    <xf numFmtId="0" fontId="23" fillId="7" borderId="0" xfId="0" applyFont="1" applyFill="1" applyAlignment="1">
      <alignment horizontal="center" vertical="center"/>
    </xf>
    <xf numFmtId="0" fontId="16" fillId="7" borderId="0" xfId="0" applyFont="1" applyFill="1" applyBorder="1" applyAlignment="1" applyProtection="1">
      <alignment horizontal="left" vertical="center"/>
      <protection locked="0"/>
    </xf>
    <xf numFmtId="0" fontId="16" fillId="7" borderId="0" xfId="0" applyFont="1" applyFill="1" applyBorder="1" applyAlignment="1" applyProtection="1">
      <alignment horizontal="center" vertical="center"/>
      <protection locked="0"/>
    </xf>
    <xf numFmtId="0" fontId="18" fillId="9" borderId="7" xfId="0" applyFont="1" applyFill="1" applyBorder="1" applyAlignment="1" applyProtection="1">
      <alignment horizontal="center" vertical="center"/>
    </xf>
    <xf numFmtId="0" fontId="18" fillId="9" borderId="31" xfId="0" applyFont="1" applyFill="1" applyBorder="1" applyAlignment="1" applyProtection="1">
      <alignment horizontal="center" vertical="center"/>
    </xf>
    <xf numFmtId="0" fontId="0" fillId="7" borderId="33" xfId="0" applyFont="1" applyFill="1" applyBorder="1" applyAlignment="1" applyProtection="1">
      <alignment horizontal="center"/>
    </xf>
    <xf numFmtId="0" fontId="0" fillId="7" borderId="34" xfId="0" applyFont="1" applyFill="1" applyBorder="1" applyAlignment="1" applyProtection="1">
      <alignment horizontal="center"/>
    </xf>
    <xf numFmtId="0" fontId="0" fillId="7" borderId="21" xfId="0" applyFont="1" applyFill="1" applyBorder="1" applyAlignment="1" applyProtection="1">
      <alignment horizontal="center"/>
    </xf>
    <xf numFmtId="0" fontId="0" fillId="7" borderId="35" xfId="0" applyFont="1" applyFill="1" applyBorder="1" applyAlignment="1" applyProtection="1">
      <alignment horizontal="center"/>
    </xf>
    <xf numFmtId="0" fontId="0" fillId="7" borderId="0" xfId="0" applyFont="1" applyFill="1" applyBorder="1" applyAlignment="1" applyProtection="1">
      <alignment horizontal="center"/>
    </xf>
    <xf numFmtId="0" fontId="0" fillId="7" borderId="30" xfId="0" applyFont="1" applyFill="1" applyBorder="1" applyAlignment="1" applyProtection="1">
      <alignment horizontal="center"/>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1" fillId="5" borderId="18"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1" fillId="2" borderId="29" xfId="0" applyFont="1" applyFill="1" applyBorder="1" applyAlignment="1">
      <alignment horizontal="center" vertical="center" wrapText="1"/>
    </xf>
    <xf numFmtId="0" fontId="1" fillId="5" borderId="17" xfId="0" applyFont="1" applyFill="1" applyBorder="1" applyAlignment="1">
      <alignment horizontal="center" vertical="center" wrapText="1"/>
    </xf>
    <xf numFmtId="0" fontId="2" fillId="2" borderId="19"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20" xfId="0" applyFont="1" applyFill="1" applyBorder="1" applyAlignment="1">
      <alignment horizontal="center" vertical="center" wrapText="1"/>
    </xf>
    <xf numFmtId="0" fontId="2" fillId="2" borderId="25" xfId="0" applyFont="1" applyFill="1" applyBorder="1" applyAlignment="1">
      <alignment horizontal="center" vertical="center" wrapText="1"/>
    </xf>
    <xf numFmtId="0" fontId="2" fillId="2" borderId="24"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12" fillId="0" borderId="0" xfId="0" applyFont="1" applyAlignment="1">
      <alignment horizontal="center" vertical="center" wrapText="1"/>
    </xf>
  </cellXfs>
  <cellStyles count="1">
    <cellStyle name="Normal" xfId="0" builtinId="0"/>
  </cellStyles>
  <dxfs count="104">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numFmt numFmtId="30" formatCode="@"/>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numFmt numFmtId="1" formatCode="0"/>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1" hidden="0"/>
    </dxf>
    <dxf>
      <font>
        <strike val="0"/>
        <outline val="0"/>
        <shadow val="0"/>
        <u val="none"/>
        <vertAlign val="baseline"/>
        <name val="Century Gothic"/>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sz val="11"/>
        <color theme="1"/>
        <name val="Century Gothic"/>
        <scheme val="none"/>
      </font>
      <fill>
        <patternFill patternType="none">
          <fgColor indexed="64"/>
          <bgColor indexed="65"/>
        </patternFill>
      </fill>
      <alignment horizontal="left"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style="thin">
          <color theme="0" tint="-0.499984740745262"/>
        </right>
        <top/>
        <bottom/>
        <vertical/>
        <horizontal/>
      </border>
      <protection locked="0" hidden="0"/>
    </dxf>
    <dxf>
      <font>
        <b val="0"/>
        <strike val="0"/>
        <outline val="0"/>
        <shadow val="0"/>
        <u val="none"/>
        <vertAlign val="baseline"/>
        <sz val="11.5"/>
        <color theme="1"/>
        <name val="Century Gothic"/>
        <scheme val="none"/>
      </font>
      <numFmt numFmtId="0" formatCode="General"/>
      <fill>
        <patternFill patternType="solid">
          <fgColor indexed="64"/>
          <bgColor rgb="FFE8E8E8"/>
        </patternFill>
      </fill>
      <alignment horizontal="center" vertical="top" textRotation="0" wrapText="1" indent="0" justifyLastLine="0" shrinkToFit="0" readingOrder="0"/>
      <protection locked="1" hidden="0"/>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dxf>
    <dxf>
      <border>
        <bottom style="thin">
          <color theme="0"/>
        </bottom>
      </border>
    </dxf>
    <dxf>
      <font>
        <strike val="0"/>
        <outline val="0"/>
        <shadow val="0"/>
        <u val="none"/>
        <vertAlign val="baseline"/>
        <sz val="11"/>
        <color theme="0"/>
        <name val="Century Gothic"/>
        <scheme val="none"/>
      </font>
      <alignment horizontal="center" vertical="top" textRotation="0" wrapText="1" indent="0" justifyLastLine="0" shrinkToFit="0" readingOrder="0"/>
      <border diagonalUp="0" diagonalDown="0" outline="0">
        <left style="thin">
          <color theme="0"/>
        </left>
        <right style="thin">
          <color theme="0"/>
        </right>
        <top/>
        <bottom/>
      </border>
    </dxf>
    <dxf>
      <font>
        <color theme="0"/>
      </font>
      <fill>
        <patternFill>
          <bgColor rgb="FFD26865"/>
        </patternFill>
      </fill>
    </dxf>
    <dxf>
      <font>
        <color theme="0"/>
      </font>
      <fill>
        <patternFill>
          <bgColor rgb="FFD26865"/>
        </patternFill>
      </fill>
    </dxf>
    <dxf>
      <fill>
        <patternFill>
          <bgColor rgb="FFFFFFAF"/>
        </patternFill>
      </fill>
    </dxf>
    <dxf>
      <fill>
        <patternFill>
          <bgColor rgb="FFCAE8AA"/>
        </patternFill>
      </fill>
    </dxf>
    <dxf>
      <font>
        <b val="0"/>
        <i val="0"/>
        <color rgb="FFD04340"/>
      </font>
    </dxf>
    <dxf>
      <font>
        <b val="0"/>
        <i/>
        <color theme="0" tint="-0.499984740745262"/>
      </font>
    </dxf>
    <dxf>
      <font>
        <color theme="0"/>
      </font>
      <fill>
        <patternFill>
          <bgColor rgb="FFD26865"/>
        </patternFill>
      </fill>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bgColor rgb="FFE4E4E4"/>
        </patternFill>
      </fill>
    </dxf>
    <dxf>
      <font>
        <b/>
        <color theme="1"/>
      </font>
      <border>
        <top style="thin">
          <color theme="1"/>
        </top>
      </border>
    </dxf>
    <dxf>
      <border diagonalUp="0" diagonalDown="0">
        <left/>
        <right/>
        <top/>
        <bottom/>
        <vertical/>
        <horizontal/>
      </border>
    </dxf>
    <dxf>
      <fill>
        <patternFill>
          <bgColor theme="0"/>
        </patternFill>
      </fill>
      <border diagonalUp="0" diagonalDown="0">
        <left/>
        <right/>
        <top/>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103"/>
      <tableStyleElement type="headerRow" dxfId="102"/>
      <tableStyleElement type="totalRow" dxfId="101"/>
      <tableStyleElement type="firstColumn" dxfId="100"/>
      <tableStyleElement type="lastColumn" dxfId="99"/>
      <tableStyleElement type="firstRowStripe" dxfId="98"/>
      <tableStyleElement type="firstColumnStripe" dxfId="97"/>
    </tableStyle>
    <tableStyle name="TableStyleLight1 2" pivot="0" count="4">
      <tableStyleElement type="wholeTable" dxfId="96"/>
      <tableStyleElement type="headerRow" dxfId="95"/>
      <tableStyleElement type="totalRow" dxfId="94"/>
      <tableStyleElement type="firstRowStripe" dxfId="93"/>
    </tableStyle>
    <tableStyle name="TableStyleMedium16 2" pivot="0" count="7">
      <tableStyleElement type="wholeTable" dxfId="92"/>
      <tableStyleElement type="headerRow" dxfId="91"/>
      <tableStyleElement type="totalRow" dxfId="90"/>
      <tableStyleElement type="firstColumn" dxfId="89"/>
      <tableStyleElement type="lastColumn" dxfId="88"/>
      <tableStyleElement type="firstRowStripe" dxfId="87"/>
      <tableStyleElement type="firstColumnStripe" dxfId="86"/>
    </tableStyle>
    <tableStyle name="TableStyleMedium22 2" pivot="0" count="7">
      <tableStyleElement type="wholeTable" dxfId="85"/>
      <tableStyleElement type="headerRow" dxfId="84"/>
      <tableStyleElement type="totalRow" dxfId="83"/>
      <tableStyleElement type="firstColumn" dxfId="82"/>
      <tableStyleElement type="lastColumn" dxfId="81"/>
      <tableStyleElement type="firstRowStripe" dxfId="80"/>
      <tableStyleElement type="firstColumnStripe" dxfId="79"/>
    </tableStyle>
    <tableStyle name="TableStyleMedium23 2" pivot="0" count="8">
      <tableStyleElement type="wholeTable" dxfId="78"/>
      <tableStyleElement type="headerRow" dxfId="77"/>
      <tableStyleElement type="totalRow" dxfId="76"/>
      <tableStyleElement type="firstColumn" dxfId="75"/>
      <tableStyleElement type="lastColumn" dxfId="74"/>
      <tableStyleElement type="firstRowStripe" dxfId="73"/>
      <tableStyleElement type="firstColumnStripe" dxfId="72"/>
      <tableStyleElement type="secondColumnStripe" dxfId="71"/>
    </tableStyle>
  </tableStyles>
  <colors>
    <mruColors>
      <color rgb="FFCAE8AA"/>
      <color rgb="FFB8E08C"/>
      <color rgb="FFCCFFCC"/>
      <color rgb="FFAFFF8F"/>
      <color rgb="FFB0FEB9"/>
      <color rgb="FFD26865"/>
      <color rgb="FFFFFFAF"/>
      <color rgb="FFFFFF9B"/>
      <color rgb="FFFD67F2"/>
      <color rgb="FFE4736A"/>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4C599241-6926-101B-9992-00000B65C6F9}"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4C599241-6926-101B-9992-00000B65C6F9}"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4C599241-6926-101B-9992-00000B65C6F9}"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7.emf"/><Relationship Id="rId3" Type="http://schemas.openxmlformats.org/officeDocument/2006/relationships/image" Target="../media/image16.emf"/><Relationship Id="rId7" Type="http://schemas.openxmlformats.org/officeDocument/2006/relationships/image" Target="../media/image13.emf"/><Relationship Id="rId12" Type="http://schemas.openxmlformats.org/officeDocument/2006/relationships/image" Target="../media/image8.emf"/><Relationship Id="rId2" Type="http://schemas.openxmlformats.org/officeDocument/2006/relationships/image" Target="../media/image15.emf"/><Relationship Id="rId16" Type="http://schemas.openxmlformats.org/officeDocument/2006/relationships/image" Target="../media/image4.emf"/><Relationship Id="rId1" Type="http://schemas.openxmlformats.org/officeDocument/2006/relationships/image" Target="../media/image19.emf"/><Relationship Id="rId6" Type="http://schemas.openxmlformats.org/officeDocument/2006/relationships/image" Target="../media/image14.emf"/><Relationship Id="rId11" Type="http://schemas.openxmlformats.org/officeDocument/2006/relationships/image" Target="../media/image9.emf"/><Relationship Id="rId5" Type="http://schemas.openxmlformats.org/officeDocument/2006/relationships/image" Target="../media/image18.emf"/><Relationship Id="rId1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17.emf"/><Relationship Id="rId9" Type="http://schemas.openxmlformats.org/officeDocument/2006/relationships/image" Target="../media/image11.emf"/><Relationship Id="rId1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oneCellAnchor>
    <xdr:from>
      <xdr:col>0</xdr:col>
      <xdr:colOff>452804</xdr:colOff>
      <xdr:row>0</xdr:row>
      <xdr:rowOff>0</xdr:rowOff>
    </xdr:from>
    <xdr:ext cx="5920080" cy="1150403"/>
    <xdr:grpSp>
      <xdr:nvGrpSpPr>
        <xdr:cNvPr id="2" name="Group 1"/>
        <xdr:cNvGrpSpPr>
          <a:grpSpLocks noChangeAspect="1"/>
        </xdr:cNvGrpSpPr>
      </xdr:nvGrpSpPr>
      <xdr:grpSpPr>
        <a:xfrm>
          <a:off x="4528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438900" y="868391"/>
                <a:ext cx="228600" cy="219075"/>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4</xdr:col>
          <xdr:colOff>0</xdr:colOff>
          <xdr:row>9</xdr:row>
          <xdr:rowOff>57150</xdr:rowOff>
        </xdr:from>
        <xdr:to>
          <xdr:col>6</xdr:col>
          <xdr:colOff>9525</xdr:colOff>
          <xdr:row>11</xdr:row>
          <xdr:rowOff>180975</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66675</xdr:rowOff>
        </xdr:from>
        <xdr:to>
          <xdr:col>3</xdr:col>
          <xdr:colOff>2819400</xdr:colOff>
          <xdr:row>1</xdr:row>
          <xdr:rowOff>190500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200025</xdr:rowOff>
        </xdr:from>
        <xdr:to>
          <xdr:col>3</xdr:col>
          <xdr:colOff>2400300</xdr:colOff>
          <xdr:row>1</xdr:row>
          <xdr:rowOff>523875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581025</xdr:rowOff>
        </xdr:from>
        <xdr:to>
          <xdr:col>3</xdr:col>
          <xdr:colOff>2400300</xdr:colOff>
          <xdr:row>2</xdr:row>
          <xdr:rowOff>85725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142875</xdr:rowOff>
        </xdr:from>
        <xdr:to>
          <xdr:col>3</xdr:col>
          <xdr:colOff>2400300</xdr:colOff>
          <xdr:row>2</xdr:row>
          <xdr:rowOff>466725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533400</xdr:rowOff>
        </xdr:from>
        <xdr:to>
          <xdr:col>3</xdr:col>
          <xdr:colOff>2400300</xdr:colOff>
          <xdr:row>2</xdr:row>
          <xdr:rowOff>857250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xdr:row>
          <xdr:rowOff>819150</xdr:rowOff>
        </xdr:from>
        <xdr:to>
          <xdr:col>2</xdr:col>
          <xdr:colOff>1114425</xdr:colOff>
          <xdr:row>3</xdr:row>
          <xdr:rowOff>209550</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1143000</xdr:colOff>
          <xdr:row>2</xdr:row>
          <xdr:rowOff>819150</xdr:rowOff>
        </xdr:from>
        <xdr:to>
          <xdr:col>2</xdr:col>
          <xdr:colOff>1524000</xdr:colOff>
          <xdr:row>3</xdr:row>
          <xdr:rowOff>219075</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342900</xdr:rowOff>
        </xdr:from>
        <xdr:to>
          <xdr:col>2</xdr:col>
          <xdr:colOff>1714500</xdr:colOff>
          <xdr:row>1</xdr:row>
          <xdr:rowOff>742950</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771525</xdr:rowOff>
        </xdr:from>
        <xdr:to>
          <xdr:col>2</xdr:col>
          <xdr:colOff>1714500</xdr:colOff>
          <xdr:row>2</xdr:row>
          <xdr:rowOff>352425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xdr:row>
          <xdr:rowOff>381000</xdr:rowOff>
        </xdr:from>
        <xdr:to>
          <xdr:col>2</xdr:col>
          <xdr:colOff>1714500</xdr:colOff>
          <xdr:row>2</xdr:row>
          <xdr:rowOff>781050</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xdr:row>
          <xdr:rowOff>514350</xdr:rowOff>
        </xdr:from>
        <xdr:to>
          <xdr:col>1</xdr:col>
          <xdr:colOff>581025</xdr:colOff>
          <xdr:row>2</xdr:row>
          <xdr:rowOff>200025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xdr:row>
          <xdr:rowOff>95250</xdr:rowOff>
        </xdr:from>
        <xdr:to>
          <xdr:col>1</xdr:col>
          <xdr:colOff>495300</xdr:colOff>
          <xdr:row>1</xdr:row>
          <xdr:rowOff>438150</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266700</xdr:rowOff>
        </xdr:from>
        <xdr:to>
          <xdr:col>1</xdr:col>
          <xdr:colOff>590550</xdr:colOff>
          <xdr:row>2</xdr:row>
          <xdr:rowOff>619125</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xdr:row>
          <xdr:rowOff>657225</xdr:rowOff>
        </xdr:from>
        <xdr:to>
          <xdr:col>1</xdr:col>
          <xdr:colOff>647700</xdr:colOff>
          <xdr:row>3</xdr:row>
          <xdr:rowOff>161925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xdr:row>
          <xdr:rowOff>28575</xdr:rowOff>
        </xdr:from>
        <xdr:to>
          <xdr:col>2</xdr:col>
          <xdr:colOff>1590675</xdr:colOff>
          <xdr:row>1</xdr:row>
          <xdr:rowOff>285750</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200025</xdr:rowOff>
        </xdr:from>
        <xdr:to>
          <xdr:col>3</xdr:col>
          <xdr:colOff>2790825</xdr:colOff>
          <xdr:row>1</xdr:row>
          <xdr:rowOff>523875</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581025</xdr:rowOff>
        </xdr:from>
        <xdr:to>
          <xdr:col>3</xdr:col>
          <xdr:colOff>2790825</xdr:colOff>
          <xdr:row>2</xdr:row>
          <xdr:rowOff>85725</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142875</xdr:rowOff>
        </xdr:from>
        <xdr:to>
          <xdr:col>3</xdr:col>
          <xdr:colOff>2790825</xdr:colOff>
          <xdr:row>2</xdr:row>
          <xdr:rowOff>466725</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533400</xdr:rowOff>
        </xdr:from>
        <xdr:to>
          <xdr:col>3</xdr:col>
          <xdr:colOff>2790825</xdr:colOff>
          <xdr:row>2</xdr:row>
          <xdr:rowOff>857250</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33" unboundColumnsLeft="1">
    <queryTableFields count="26">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Z1357" tableType="queryTable" totalsRowShown="0" headerRowDxfId="63" dataDxfId="61" headerRowBorderDxfId="62">
  <sortState ref="A6:Z1357">
    <sortCondition ref="A5:A1357"/>
  </sortState>
  <tableColumns count="26">
    <tableColumn id="17" uniqueName="17" name=" " queryTableFieldId="17" dataDxfId="32">
      <calculatedColumnFormula>IF(priority(Main[[#This Row],[Comments]])&lt;&gt;0, priority(Main[[#This Row],[Comments]]),"")</calculatedColumnFormula>
    </tableColumn>
    <tableColumn id="1" uniqueName="1" name="RTA" queryTableFieldId="1" dataDxfId="31"/>
    <tableColumn id="2" uniqueName="2" name="Customer" queryTableFieldId="2" dataDxfId="30"/>
    <tableColumn id="3" uniqueName="3" name="Description" queryTableFieldId="3" dataDxfId="29"/>
    <tableColumn id="4" uniqueName="4" name="Submitted" queryTableFieldId="4" dataDxfId="28"/>
    <tableColumn id="5" uniqueName="5" name="In Stock Date" queryTableFieldId="5" dataDxfId="27"/>
    <tableColumn id="19" uniqueName="19" name="Standard Production Lead Time" queryTableFieldId="19" dataDxfId="26">
      <calculatedColumnFormula>IF(stdProdLT(Main[[#This Row],[Comments]])=0.1,"N/A",IF(stdProdLT(Main[[#This Row],[Comments]])=0,"",stdProdLT(Main[[#This Row],[Comments]])))</calculatedColumnFormula>
    </tableColumn>
    <tableColumn id="18" uniqueName="18" name="Remaining Production Lead Time" queryTableFieldId="18" dataDxfId="25">
      <calculatedColumnFormula>IF(AND(Main[[#This Row],[In Stock Date]]&lt;&gt;"",Main[[#This Row],[Revised Due Date]]&lt;&gt;""),Main[[#This Row],[In Stock Date]]-Main[[#This Row],[Revised Due Date]],"")</calculatedColumnFormula>
    </tableColumn>
    <tableColumn id="6" uniqueName="6" name="Assigned To" queryTableFieldId="6" dataDxfId="24"/>
    <tableColumn id="7" uniqueName="7" name="Current Status" queryTableFieldId="7" dataDxfId="23"/>
    <tableColumn id="12" uniqueName="12" name="Class" queryTableFieldId="12" dataDxfId="22"/>
    <tableColumn id="9" uniqueName="9" name="Tech Start Date" queryTableFieldId="9" dataDxfId="21"/>
    <tableColumn id="22" uniqueName="22" name="Design" queryTableFieldId="23" dataDxfId="20">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19">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18">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17">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16"/>
    <tableColumn id="11" uniqueName="11" name="Revised Due Date" queryTableFieldId="11" dataDxfId="15"/>
    <tableColumn id="13" uniqueName="13" name="Type" queryTableFieldId="13" dataDxfId="14"/>
    <tableColumn id="14" uniqueName="14" name="Comments" queryTableFieldId="14" dataDxfId="13"/>
    <tableColumn id="15" uniqueName="15" name="State" queryTableFieldId="15" dataDxfId="12"/>
    <tableColumn id="8" uniqueName="8" name="Lab Office" queryTableFieldId="8" dataDxfId="11"/>
    <tableColumn id="16" uniqueName="16" name="Code" queryTableFieldId="16" dataDxfId="10"/>
    <tableColumn id="24" uniqueName="24" name="Submitted By" queryTableFieldId="29" dataDxfId="9"/>
    <tableColumn id="25" uniqueName="25" name="Requestor Email" queryTableFieldId="30" dataDxfId="8"/>
    <tableColumn id="27" uniqueName="27" name="Manager/Lead" queryTableFieldId="32" dataDxfId="7"/>
  </tableColumns>
  <tableStyleInfo name="TableStyleLight1 2" showFirstColumn="0"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60" dataDxfId="59">
  <tableColumns count="1">
    <tableColumn id="1" uniqueName="1" name="Assigned To" queryTableFieldId="1" headerRowDxfId="58" dataDxfId="0"/>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2" tableType="queryTable" headerRowCount="0" totalsRowShown="0" headerRowDxfId="57" dataDxfId="56">
  <tableColumns count="1">
    <tableColumn id="1" uniqueName="1" name="Assigned To" queryTableFieldId="1" headerRowDxfId="55" dataDxfId="1"/>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54" dataDxfId="53">
  <tableColumns count="1">
    <tableColumn id="1" uniqueName="1" name="Assigned To" queryTableFieldId="1" headerRowDxfId="52" dataDxfId="2"/>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8" tableType="queryTable" headerRowCount="0" totalsRowShown="0">
  <tableColumns count="1">
    <tableColumn id="1" uniqueName="1" name="Assigned To" queryTableFieldId="1" headerRowDxfId="51" dataDxfId="3"/>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39" tableType="queryTable" totalsRowShown="0" headerRowDxfId="50">
  <autoFilter ref="G28:G39"/>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49" dataDxfId="48">
  <autoFilter ref="I28:I36"/>
  <sortState ref="I29:I36">
    <sortCondition ref="I2:I10"/>
  </sortState>
  <tableColumns count="1">
    <tableColumn id="1" uniqueName="1" name="State" queryTableFieldId="1" dataDxfId="4"/>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47">
  <autoFilter ref="J28:J35"/>
  <sortState ref="J29:J35">
    <sortCondition ref="J24:J31"/>
  </sortState>
  <tableColumns count="1">
    <tableColumn id="1" uniqueName="1" name="Code" queryTableFieldId="2" dataDxfId="5"/>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46" dataDxfId="45" tableBorderDxfId="44">
  <autoFilter ref="H28:H36"/>
  <tableColumns count="1">
    <tableColumn id="1" uniqueName="1" name="Type" queryTableFieldId="1" dataDxfId="6"/>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43">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42" dataDxfId="41">
  <tableColumns count="8">
    <tableColumn id="1" name="#" dataDxfId="40"/>
    <tableColumn id="2" name="RTA" dataDxfId="39"/>
    <tableColumn id="3" name="Customer" dataDxfId="38"/>
    <tableColumn id="4" name="Description" dataDxfId="37"/>
    <tableColumn id="5" name="Available In Stock" dataDxfId="36"/>
    <tableColumn id="11" name="Assigned To" dataDxfId="35"/>
    <tableColumn id="8" name="Status" dataDxfId="34"/>
    <tableColumn id="9" name="Tech Rev'd Due Date" dataDxfId="3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6.emf"/><Relationship Id="rId18" Type="http://schemas.openxmlformats.org/officeDocument/2006/relationships/control" Target="../activeX/activeX11.xml"/><Relationship Id="rId26" Type="http://schemas.openxmlformats.org/officeDocument/2006/relationships/control" Target="../activeX/activeX15.xml"/><Relationship Id="rId39" Type="http://schemas.openxmlformats.org/officeDocument/2006/relationships/image" Target="../media/image19.emf"/><Relationship Id="rId3" Type="http://schemas.openxmlformats.org/officeDocument/2006/relationships/vmlDrawing" Target="../drawings/vmlDrawing2.vml"/><Relationship Id="rId21" Type="http://schemas.openxmlformats.org/officeDocument/2006/relationships/image" Target="../media/image10.emf"/><Relationship Id="rId34" Type="http://schemas.openxmlformats.org/officeDocument/2006/relationships/control" Target="../activeX/activeX19.xml"/><Relationship Id="rId7" Type="http://schemas.openxmlformats.org/officeDocument/2006/relationships/control" Target="../activeX/activeX4.xml"/><Relationship Id="rId12" Type="http://schemas.openxmlformats.org/officeDocument/2006/relationships/control" Target="../activeX/activeX8.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21.xml"/><Relationship Id="rId2" Type="http://schemas.openxmlformats.org/officeDocument/2006/relationships/drawing" Target="../drawings/drawing2.xml"/><Relationship Id="rId16" Type="http://schemas.openxmlformats.org/officeDocument/2006/relationships/control" Target="../activeX/activeX10.xml"/><Relationship Id="rId20" Type="http://schemas.openxmlformats.org/officeDocument/2006/relationships/control" Target="../activeX/activeX12.xml"/><Relationship Id="rId29" Type="http://schemas.openxmlformats.org/officeDocument/2006/relationships/image" Target="../media/image14.emf"/><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image" Target="../media/image5.emf"/><Relationship Id="rId24" Type="http://schemas.openxmlformats.org/officeDocument/2006/relationships/control" Target="../activeX/activeX14.xml"/><Relationship Id="rId32" Type="http://schemas.openxmlformats.org/officeDocument/2006/relationships/control" Target="../activeX/activeX18.xml"/><Relationship Id="rId37" Type="http://schemas.openxmlformats.org/officeDocument/2006/relationships/image" Target="../media/image18.emf"/><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6.xml"/><Relationship Id="rId36" Type="http://schemas.openxmlformats.org/officeDocument/2006/relationships/control" Target="../activeX/activeX20.xml"/><Relationship Id="rId10" Type="http://schemas.openxmlformats.org/officeDocument/2006/relationships/control" Target="../activeX/activeX7.xml"/><Relationship Id="rId19" Type="http://schemas.openxmlformats.org/officeDocument/2006/relationships/image" Target="../media/image9.emf"/><Relationship Id="rId31" Type="http://schemas.openxmlformats.org/officeDocument/2006/relationships/image" Target="../media/image15.emf"/><Relationship Id="rId4" Type="http://schemas.openxmlformats.org/officeDocument/2006/relationships/vmlDrawing" Target="../drawings/vmlDrawing3.vml"/><Relationship Id="rId9" Type="http://schemas.openxmlformats.org/officeDocument/2006/relationships/control" Target="../activeX/activeX6.xml"/><Relationship Id="rId14" Type="http://schemas.openxmlformats.org/officeDocument/2006/relationships/control" Target="../activeX/activeX9.xml"/><Relationship Id="rId22" Type="http://schemas.openxmlformats.org/officeDocument/2006/relationships/control" Target="../activeX/activeX13.xml"/><Relationship Id="rId27" Type="http://schemas.openxmlformats.org/officeDocument/2006/relationships/image" Target="../media/image13.emf"/><Relationship Id="rId30" Type="http://schemas.openxmlformats.org/officeDocument/2006/relationships/control" Target="../activeX/activeX17.xml"/><Relationship Id="rId35" Type="http://schemas.openxmlformats.org/officeDocument/2006/relationships/image" Target="../media/image17.emf"/></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sheetPr>
  <dimension ref="A1:AA32"/>
  <sheetViews>
    <sheetView tabSelected="1" zoomScaleNormal="100" workbookViewId="0"/>
  </sheetViews>
  <sheetFormatPr defaultRowHeight="15.95" customHeight="1"/>
  <cols>
    <col min="1" max="1" width="8.375" style="115" customWidth="1"/>
    <col min="2" max="2" width="8.375" style="116" customWidth="1"/>
    <col min="3" max="9" width="8.375" style="107" customWidth="1"/>
    <col min="10" max="10" width="9.75" style="107" customWidth="1"/>
    <col min="11" max="11" width="8.375" style="61" customWidth="1"/>
    <col min="12" max="16384" width="9" style="61"/>
  </cols>
  <sheetData>
    <row r="1" spans="1:11" ht="14.25">
      <c r="A1" s="61"/>
      <c r="B1" s="61"/>
      <c r="C1" s="61"/>
      <c r="D1" s="61"/>
      <c r="E1" s="61"/>
      <c r="F1" s="61"/>
      <c r="G1" s="61"/>
      <c r="H1" s="61"/>
      <c r="I1" s="61"/>
      <c r="J1" s="61"/>
    </row>
    <row r="2" spans="1:11" ht="14.25">
      <c r="A2" s="61"/>
      <c r="B2" s="149" t="s">
        <v>2091</v>
      </c>
      <c r="C2" s="149"/>
      <c r="D2" s="149"/>
      <c r="E2" s="149"/>
      <c r="F2" s="149"/>
      <c r="G2" s="149"/>
      <c r="H2" s="149"/>
      <c r="I2" s="149"/>
      <c r="J2" s="149"/>
    </row>
    <row r="3" spans="1:11" ht="14.25">
      <c r="A3" s="61"/>
      <c r="B3" s="149"/>
      <c r="C3" s="149"/>
      <c r="D3" s="149"/>
      <c r="E3" s="149"/>
      <c r="F3" s="149"/>
      <c r="G3" s="149"/>
      <c r="H3" s="149"/>
      <c r="I3" s="149"/>
      <c r="J3" s="149"/>
    </row>
    <row r="4" spans="1:11" ht="15" customHeight="1">
      <c r="A4" s="61"/>
      <c r="B4" s="149"/>
      <c r="C4" s="149"/>
      <c r="D4" s="149"/>
      <c r="E4" s="149"/>
      <c r="F4" s="149"/>
      <c r="G4" s="149"/>
      <c r="H4" s="149"/>
      <c r="I4" s="149"/>
      <c r="J4" s="149"/>
    </row>
    <row r="5" spans="1:11" ht="14.25" customHeight="1">
      <c r="A5" s="61"/>
      <c r="B5" s="149"/>
      <c r="C5" s="149"/>
      <c r="D5" s="149"/>
      <c r="E5" s="149"/>
      <c r="F5" s="149"/>
      <c r="G5" s="149"/>
      <c r="H5" s="149"/>
      <c r="I5" s="149"/>
      <c r="J5" s="149"/>
    </row>
    <row r="6" spans="1:11" ht="14.25" customHeight="1">
      <c r="A6" s="61"/>
      <c r="B6" s="149"/>
      <c r="C6" s="149"/>
      <c r="D6" s="149"/>
      <c r="E6" s="149"/>
      <c r="F6" s="149"/>
      <c r="G6" s="149"/>
      <c r="H6" s="149"/>
      <c r="I6" s="149"/>
      <c r="J6" s="149"/>
    </row>
    <row r="7" spans="1:11" ht="80.25" customHeight="1">
      <c r="A7" s="61"/>
      <c r="B7" s="150" t="s">
        <v>2065</v>
      </c>
      <c r="C7" s="150"/>
      <c r="D7" s="150"/>
      <c r="E7" s="150"/>
      <c r="F7" s="150"/>
      <c r="G7" s="150"/>
      <c r="H7" s="150"/>
      <c r="I7" s="150"/>
      <c r="J7" s="98"/>
      <c r="K7" s="98"/>
    </row>
    <row r="8" spans="1:11" ht="20.25" customHeight="1">
      <c r="A8" s="61"/>
      <c r="B8" s="99"/>
      <c r="C8" s="99"/>
      <c r="D8" s="99"/>
      <c r="E8" s="99"/>
      <c r="F8" s="99"/>
      <c r="G8" s="99"/>
      <c r="H8" s="99"/>
      <c r="I8" s="99"/>
      <c r="J8" s="98"/>
      <c r="K8" s="98"/>
    </row>
    <row r="9" spans="1:11" ht="15.95" customHeight="1">
      <c r="K9" s="63"/>
    </row>
    <row r="10" spans="1:11" s="101" customFormat="1" ht="15.95" customHeight="1">
      <c r="A10" s="115"/>
      <c r="B10" s="116"/>
      <c r="C10" s="107"/>
      <c r="D10" s="107"/>
      <c r="E10" s="107"/>
      <c r="F10" s="107"/>
      <c r="G10" s="107"/>
      <c r="H10" s="107"/>
      <c r="I10" s="107"/>
      <c r="J10" s="107"/>
      <c r="K10" s="100"/>
    </row>
    <row r="11" spans="1:11" s="103" customFormat="1" ht="15.95" customHeight="1">
      <c r="A11" s="115"/>
      <c r="B11" s="116"/>
      <c r="C11" s="107"/>
      <c r="D11" s="107"/>
      <c r="E11" s="107"/>
      <c r="F11" s="107"/>
      <c r="G11" s="107"/>
      <c r="H11" s="107"/>
      <c r="I11" s="107"/>
      <c r="J11" s="107"/>
      <c r="K11" s="102"/>
    </row>
    <row r="12" spans="1:11" s="101" customFormat="1" ht="15.95" customHeight="1">
      <c r="A12" s="115"/>
      <c r="B12" s="116"/>
      <c r="C12" s="107"/>
      <c r="D12" s="107"/>
      <c r="E12" s="107"/>
      <c r="F12" s="107"/>
      <c r="G12" s="107"/>
      <c r="H12" s="107"/>
      <c r="I12" s="107"/>
      <c r="J12" s="107"/>
      <c r="K12" s="100"/>
    </row>
    <row r="13" spans="1:11" s="101" customFormat="1" ht="15.95" customHeight="1">
      <c r="A13" s="115"/>
      <c r="B13" s="116"/>
      <c r="C13" s="107"/>
      <c r="D13" s="107"/>
      <c r="E13" s="107"/>
      <c r="F13" s="107"/>
      <c r="G13" s="107"/>
      <c r="H13" s="107"/>
      <c r="I13" s="107"/>
      <c r="J13" s="107"/>
      <c r="K13" s="100"/>
    </row>
    <row r="14" spans="1:11" s="105" customFormat="1" ht="15.95" customHeight="1">
      <c r="A14" s="115"/>
      <c r="B14" s="116"/>
      <c r="C14" s="107"/>
      <c r="D14" s="107"/>
      <c r="E14" s="107"/>
      <c r="F14" s="107"/>
      <c r="G14" s="107"/>
      <c r="H14" s="107"/>
      <c r="I14" s="107"/>
      <c r="J14" s="107"/>
      <c r="K14" s="104"/>
    </row>
    <row r="15" spans="1:11" s="105" customFormat="1" ht="15.95" customHeight="1">
      <c r="A15" s="115"/>
      <c r="B15" s="116"/>
      <c r="C15" s="107"/>
      <c r="D15" s="107"/>
      <c r="E15" s="107"/>
      <c r="F15" s="107"/>
      <c r="G15" s="107"/>
      <c r="H15" s="107"/>
      <c r="I15" s="107"/>
      <c r="J15" s="107"/>
      <c r="K15" s="104"/>
    </row>
    <row r="16" spans="1:11" s="105" customFormat="1" ht="15.95" customHeight="1">
      <c r="A16" s="115"/>
      <c r="B16" s="116"/>
      <c r="C16" s="107"/>
      <c r="D16" s="107"/>
      <c r="E16" s="107"/>
      <c r="F16" s="107"/>
      <c r="G16" s="107"/>
      <c r="H16" s="107"/>
      <c r="I16" s="107"/>
      <c r="J16" s="107"/>
      <c r="K16" s="104"/>
    </row>
    <row r="17" spans="1:27" s="101" customFormat="1" ht="15.95" customHeight="1">
      <c r="A17" s="115"/>
      <c r="B17" s="116"/>
      <c r="C17" s="107"/>
      <c r="D17" s="107"/>
      <c r="E17" s="107"/>
      <c r="F17" s="107"/>
      <c r="G17" s="107"/>
      <c r="H17" s="107"/>
      <c r="I17" s="107"/>
      <c r="J17" s="107"/>
      <c r="K17" s="106"/>
    </row>
    <row r="18" spans="1:27" s="101" customFormat="1" ht="15.95" customHeight="1">
      <c r="A18" s="115"/>
      <c r="B18" s="116"/>
      <c r="C18" s="107"/>
      <c r="D18" s="107"/>
      <c r="E18" s="107"/>
      <c r="F18" s="107"/>
      <c r="G18" s="107"/>
      <c r="H18" s="107"/>
      <c r="I18" s="107"/>
      <c r="J18" s="107"/>
    </row>
    <row r="19" spans="1:27" s="101" customFormat="1" ht="15.95" customHeight="1">
      <c r="A19" s="115"/>
      <c r="B19" s="116"/>
      <c r="C19" s="107"/>
      <c r="D19" s="107"/>
      <c r="E19" s="107"/>
      <c r="F19" s="107"/>
      <c r="G19" s="107"/>
      <c r="H19" s="107"/>
      <c r="I19" s="107"/>
      <c r="J19" s="107"/>
    </row>
    <row r="20" spans="1:27" s="101" customFormat="1" ht="15.95" customHeight="1">
      <c r="A20" s="115"/>
      <c r="B20" s="116"/>
      <c r="C20" s="107"/>
      <c r="D20" s="107"/>
      <c r="E20" s="107"/>
      <c r="F20" s="107"/>
      <c r="G20" s="107"/>
      <c r="H20" s="107"/>
      <c r="I20" s="107"/>
      <c r="J20" s="107"/>
    </row>
    <row r="21" spans="1:27" s="101" customFormat="1" ht="15.95" customHeight="1">
      <c r="A21" s="115"/>
      <c r="B21" s="116"/>
      <c r="C21" s="107"/>
      <c r="D21" s="107"/>
      <c r="E21" s="107"/>
      <c r="F21" s="107"/>
      <c r="G21" s="107"/>
      <c r="H21" s="107"/>
      <c r="I21" s="107"/>
      <c r="J21" s="107"/>
    </row>
    <row r="22" spans="1:27" s="101" customFormat="1" ht="15.95" customHeight="1">
      <c r="A22" s="115"/>
      <c r="B22" s="116"/>
      <c r="C22" s="107"/>
      <c r="D22" s="107"/>
      <c r="E22" s="107"/>
      <c r="F22" s="107"/>
      <c r="G22" s="107"/>
      <c r="H22" s="107"/>
      <c r="I22" s="107"/>
      <c r="J22" s="107"/>
    </row>
    <row r="23" spans="1:27" s="101" customFormat="1" ht="15.95" customHeight="1">
      <c r="A23" s="115"/>
      <c r="B23" s="116"/>
      <c r="C23" s="107"/>
      <c r="D23" s="107"/>
      <c r="E23" s="107"/>
      <c r="F23" s="107"/>
      <c r="G23" s="107"/>
      <c r="H23" s="107"/>
      <c r="I23" s="107"/>
      <c r="J23" s="107"/>
    </row>
    <row r="24" spans="1:27" s="101" customFormat="1" ht="15.95" customHeight="1">
      <c r="A24" s="115"/>
      <c r="B24" s="116"/>
      <c r="C24" s="107"/>
      <c r="D24" s="107"/>
      <c r="E24" s="107"/>
      <c r="F24" s="107"/>
      <c r="G24" s="107"/>
      <c r="H24" s="107"/>
      <c r="I24" s="107"/>
      <c r="J24" s="107"/>
    </row>
    <row r="25" spans="1:27" s="101" customFormat="1" ht="15.95" customHeight="1">
      <c r="A25" s="115"/>
      <c r="B25" s="116"/>
      <c r="C25" s="107"/>
      <c r="D25" s="107"/>
      <c r="E25" s="107"/>
      <c r="F25" s="107"/>
      <c r="G25" s="107"/>
      <c r="H25" s="107"/>
      <c r="I25" s="107"/>
      <c r="J25" s="107"/>
    </row>
    <row r="26" spans="1:27" s="101" customFormat="1" ht="15.95" customHeight="1">
      <c r="A26" s="115"/>
      <c r="B26" s="116"/>
      <c r="C26" s="107"/>
      <c r="D26" s="107"/>
      <c r="E26" s="107"/>
      <c r="F26" s="107"/>
      <c r="G26" s="107"/>
      <c r="H26" s="107"/>
      <c r="I26" s="107"/>
      <c r="J26" s="107"/>
    </row>
    <row r="27" spans="1:27" s="101" customFormat="1" ht="15.95" customHeight="1">
      <c r="A27" s="115"/>
      <c r="B27" s="116"/>
      <c r="C27" s="107"/>
      <c r="D27" s="107"/>
      <c r="E27" s="107"/>
      <c r="F27" s="107"/>
      <c r="G27" s="107"/>
      <c r="H27" s="107"/>
      <c r="I27" s="107"/>
      <c r="J27" s="107"/>
    </row>
    <row r="28" spans="1:27" s="101" customFormat="1" ht="15.95" customHeight="1">
      <c r="A28" s="115"/>
      <c r="B28" s="116"/>
      <c r="C28" s="107"/>
      <c r="D28" s="107"/>
      <c r="E28" s="107"/>
      <c r="F28" s="107"/>
      <c r="G28" s="107"/>
      <c r="H28" s="107"/>
      <c r="I28" s="107"/>
      <c r="J28" s="107"/>
    </row>
    <row r="29" spans="1:27" s="101" customFormat="1" ht="15.95" customHeight="1">
      <c r="A29" s="115"/>
      <c r="B29" s="116"/>
      <c r="C29" s="107"/>
      <c r="D29" s="107"/>
      <c r="E29" s="107"/>
      <c r="F29" s="107"/>
      <c r="G29" s="107"/>
      <c r="H29" s="107"/>
      <c r="I29" s="107"/>
      <c r="J29" s="107"/>
      <c r="R29" s="148"/>
      <c r="S29" s="148"/>
      <c r="T29" s="148"/>
      <c r="U29" s="148"/>
      <c r="V29" s="148"/>
      <c r="W29" s="148"/>
      <c r="X29" s="148"/>
      <c r="Y29" s="148"/>
      <c r="Z29" s="148"/>
      <c r="AA29" s="148"/>
    </row>
    <row r="30" spans="1:27" s="101" customFormat="1" ht="15.95" customHeight="1">
      <c r="A30" s="115"/>
      <c r="B30" s="116"/>
      <c r="C30" s="107"/>
      <c r="D30" s="107"/>
      <c r="E30" s="107"/>
      <c r="F30" s="107"/>
      <c r="G30" s="107"/>
      <c r="H30" s="107"/>
      <c r="I30" s="107"/>
      <c r="J30" s="107"/>
    </row>
    <row r="31" spans="1:27" s="101" customFormat="1" ht="15.95" customHeight="1">
      <c r="A31" s="115"/>
      <c r="B31" s="116"/>
      <c r="C31" s="107"/>
      <c r="D31" s="107"/>
      <c r="E31" s="107"/>
      <c r="F31" s="107"/>
      <c r="G31" s="107"/>
      <c r="H31" s="107"/>
      <c r="I31" s="107"/>
      <c r="J31" s="107"/>
    </row>
    <row r="32" spans="1:27" s="101" customFormat="1" ht="15.95" customHeight="1">
      <c r="A32" s="115"/>
      <c r="B32" s="116"/>
      <c r="C32" s="107"/>
      <c r="D32" s="107"/>
      <c r="E32" s="107"/>
      <c r="F32" s="107"/>
      <c r="G32" s="107"/>
      <c r="H32" s="107"/>
      <c r="I32" s="107"/>
      <c r="J32" s="107"/>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sheetRev">
          <controlPr defaultSize="0" autoLine="0" r:id="rId5">
            <anchor moveWithCells="1">
              <from>
                <xdr:col>9</xdr:col>
                <xdr:colOff>276225</xdr:colOff>
                <xdr:row>4</xdr:row>
                <xdr:rowOff>123825</xdr:rowOff>
              </from>
              <to>
                <xdr:col>9</xdr:col>
                <xdr:colOff>495300</xdr:colOff>
                <xdr:row>5</xdr:row>
                <xdr:rowOff>152400</xdr:rowOff>
              </to>
            </anchor>
          </controlPr>
        </control>
      </mc:Choice>
      <mc:Fallback>
        <control shapeId="10241" r:id="rId4" name="sheetRev"/>
      </mc:Fallback>
    </mc:AlternateContent>
    <mc:AlternateContent xmlns:mc="http://schemas.openxmlformats.org/markup-compatibility/2006">
      <mc:Choice Requires="x14">
        <control shapeId="10242" r:id="rId6" name="CommandButton1">
          <controlPr defaultSize="0" autoLine="0" r:id="rId7">
            <anchor moveWithCells="1">
              <from>
                <xdr:col>4</xdr:col>
                <xdr:colOff>0</xdr:colOff>
                <xdr:row>9</xdr:row>
                <xdr:rowOff>57150</xdr:rowOff>
              </from>
              <to>
                <xdr:col>6</xdr:col>
                <xdr:colOff>9525</xdr:colOff>
                <xdr:row>11</xdr:row>
                <xdr:rowOff>180975</xdr:rowOff>
              </to>
            </anchor>
          </controlPr>
        </control>
      </mc:Choice>
      <mc:Fallback>
        <control shapeId="10242"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sheetPr>
  <dimension ref="A1:AH1357"/>
  <sheetViews>
    <sheetView showGridLines="0" showRowColHeaders="0" zoomScaleNormal="100" workbookViewId="0">
      <pane xSplit="4" ySplit="5" topLeftCell="E6" activePane="bottomRight" state="frozen"/>
      <selection pane="topRight" activeCell="E1" sqref="E1"/>
      <selection pane="bottomLeft" activeCell="A6" sqref="A6"/>
      <selection pane="bottomRight" sqref="A1:B1"/>
    </sheetView>
  </sheetViews>
  <sheetFormatPr defaultColWidth="9" defaultRowHeight="18.600000000000001" customHeight="1"/>
  <cols>
    <col min="1" max="1" width="6.75" style="56" customWidth="1"/>
    <col min="2" max="2" width="10.125" style="54" customWidth="1"/>
    <col min="3" max="3" width="23.5" style="54" customWidth="1"/>
    <col min="4" max="4" width="38.5" style="54" customWidth="1"/>
    <col min="5" max="5" width="11.375" style="54" hidden="1" customWidth="1"/>
    <col min="6" max="6" width="12.625" style="54" customWidth="1"/>
    <col min="7" max="7" width="10.625" style="54" customWidth="1"/>
    <col min="8" max="8" width="9.625" style="54" customWidth="1"/>
    <col min="9" max="9" width="20.125" style="54" hidden="1" customWidth="1"/>
    <col min="10" max="10" width="17.875" style="54" customWidth="1"/>
    <col min="11" max="11" width="8" style="54" hidden="1" customWidth="1"/>
    <col min="12" max="12" width="12.25" style="57" hidden="1" customWidth="1"/>
    <col min="13" max="16" width="13.5" style="57" hidden="1" customWidth="1"/>
    <col min="17" max="17" width="12.875" style="58" hidden="1" customWidth="1"/>
    <col min="18" max="18" width="13.25" style="57" customWidth="1"/>
    <col min="19" max="19" width="17.375" style="54" hidden="1" customWidth="1"/>
    <col min="20" max="20" width="31" style="54" hidden="1" customWidth="1"/>
    <col min="21" max="21" width="13.375" style="54" hidden="1" customWidth="1"/>
    <col min="22" max="22" width="11.5" style="54" hidden="1" customWidth="1"/>
    <col min="23" max="23" width="6.375" style="54" hidden="1" customWidth="1"/>
    <col min="24" max="26" width="24.875" style="54" hidden="1" customWidth="1"/>
    <col min="27" max="27" width="24.875" style="54" customWidth="1"/>
    <col min="28" max="28" width="13.875" style="54" customWidth="1"/>
    <col min="29" max="29" width="5.875" style="54" customWidth="1"/>
    <col min="30" max="30" width="7.75" style="54" customWidth="1"/>
    <col min="31" max="31" width="5.75" style="54" customWidth="1"/>
    <col min="32" max="32" width="22.375" style="54" customWidth="1"/>
    <col min="33" max="35" width="9" style="54" customWidth="1"/>
    <col min="36" max="16384" width="9" style="54"/>
  </cols>
  <sheetData>
    <row r="1" spans="1:34" s="47" customFormat="1" ht="18" customHeight="1">
      <c r="A1" s="153" t="s">
        <v>3335</v>
      </c>
      <c r="B1" s="154"/>
      <c r="C1" s="60" t="s">
        <v>2743</v>
      </c>
      <c r="D1" s="52"/>
      <c r="L1" s="48"/>
      <c r="M1" s="48"/>
      <c r="N1" s="48"/>
      <c r="O1" s="48"/>
      <c r="P1" s="48"/>
      <c r="Q1" s="48"/>
    </row>
    <row r="2" spans="1:34" s="47" customFormat="1" ht="64.5" customHeight="1">
      <c r="A2" s="157"/>
      <c r="B2" s="158"/>
      <c r="C2" s="155"/>
      <c r="D2" s="51"/>
      <c r="I2" s="128"/>
      <c r="L2" s="48"/>
      <c r="M2" s="48"/>
      <c r="N2" s="48"/>
      <c r="O2" s="48"/>
      <c r="P2" s="48"/>
      <c r="Q2" s="48"/>
    </row>
    <row r="3" spans="1:34" s="47" customFormat="1" ht="69" customHeight="1">
      <c r="A3" s="159"/>
      <c r="B3" s="160"/>
      <c r="C3" s="156"/>
      <c r="D3" s="51"/>
      <c r="I3" s="129" t="s">
        <v>3338</v>
      </c>
      <c r="L3" s="48"/>
      <c r="M3" s="49"/>
      <c r="N3" s="48"/>
      <c r="O3" s="48"/>
      <c r="P3" s="48"/>
      <c r="Q3" s="48"/>
    </row>
    <row r="4" spans="1:34" s="45" customFormat="1" ht="18" customHeight="1">
      <c r="A4" s="159"/>
      <c r="B4" s="160"/>
      <c r="C4" s="156"/>
      <c r="D4" s="50"/>
      <c r="I4" s="127"/>
      <c r="L4" s="46"/>
      <c r="M4" s="46"/>
      <c r="N4" s="46"/>
      <c r="O4" s="46"/>
      <c r="P4" s="46"/>
      <c r="Q4" s="46"/>
    </row>
    <row r="5" spans="1:34" s="53" customFormat="1" ht="42" customHeight="1">
      <c r="A5" s="140" t="s">
        <v>86</v>
      </c>
      <c r="B5" s="69" t="s">
        <v>979</v>
      </c>
      <c r="C5" s="68" t="s">
        <v>1018</v>
      </c>
      <c r="D5" s="64" t="s">
        <v>0</v>
      </c>
      <c r="E5" s="64" t="s">
        <v>7</v>
      </c>
      <c r="F5" s="64" t="s">
        <v>1019</v>
      </c>
      <c r="G5" s="65" t="s">
        <v>1986</v>
      </c>
      <c r="H5" s="65" t="s">
        <v>1987</v>
      </c>
      <c r="I5" s="64" t="s">
        <v>1936</v>
      </c>
      <c r="J5" s="64" t="s">
        <v>1020</v>
      </c>
      <c r="K5" s="64" t="s">
        <v>982</v>
      </c>
      <c r="L5" s="64" t="s">
        <v>1021</v>
      </c>
      <c r="M5" s="67" t="s">
        <v>980</v>
      </c>
      <c r="N5" s="67" t="s">
        <v>981</v>
      </c>
      <c r="O5" s="67" t="s">
        <v>993</v>
      </c>
      <c r="P5" s="67" t="s">
        <v>994</v>
      </c>
      <c r="Q5" s="65" t="s">
        <v>1022</v>
      </c>
      <c r="R5" s="64" t="s">
        <v>1935</v>
      </c>
      <c r="S5" s="70" t="s">
        <v>983</v>
      </c>
      <c r="T5" s="66" t="s">
        <v>2</v>
      </c>
      <c r="U5" s="66" t="s">
        <v>3</v>
      </c>
      <c r="V5" s="66" t="s">
        <v>1</v>
      </c>
      <c r="W5" s="71" t="s">
        <v>1023</v>
      </c>
      <c r="X5" s="71" t="s">
        <v>2965</v>
      </c>
      <c r="Y5" s="71" t="s">
        <v>3083</v>
      </c>
      <c r="Z5" s="71" t="s">
        <v>3324</v>
      </c>
      <c r="AA5" s="151"/>
      <c r="AB5" s="152"/>
      <c r="AC5" s="152"/>
      <c r="AD5" s="152"/>
      <c r="AE5" s="152"/>
      <c r="AF5" s="152"/>
      <c r="AG5" s="152"/>
      <c r="AH5" s="152"/>
    </row>
    <row r="6" spans="1:34" ht="18.600000000000001" customHeight="1">
      <c r="A6" s="141">
        <f>IF(priority(Main[[#This Row],[Comments]])&lt;&gt;0, priority(Main[[#This Row],[Comments]]),"")</f>
        <v>1</v>
      </c>
      <c r="B6" s="89" t="s">
        <v>1187</v>
      </c>
      <c r="C6" s="72" t="s">
        <v>138</v>
      </c>
      <c r="D6" s="73" t="s">
        <v>227</v>
      </c>
      <c r="E6" s="74"/>
      <c r="F6" s="74">
        <v>40770</v>
      </c>
      <c r="G6" s="75" t="str">
        <f>IF(stdProdLT(Main[[#This Row],[Comments]])=0.1,"N/A",IF(stdProdLT(Main[[#This Row],[Comments]])=0,"",stdProdLT(Main[[#This Row],[Comments]])))</f>
        <v/>
      </c>
      <c r="H6" s="76" t="str">
        <f>IF(AND(Main[[#This Row],[In Stock Date]]&lt;&gt;"",Main[[#This Row],[Revised Due Date]]&lt;&gt;""),Main[[#This Row],[In Stock Date]]-Main[[#This Row],[Revised Due Date]],"")</f>
        <v/>
      </c>
      <c r="I6" s="72" t="s">
        <v>4</v>
      </c>
      <c r="J6" s="72" t="s">
        <v>28</v>
      </c>
      <c r="K6" s="72" t="s">
        <v>1949</v>
      </c>
      <c r="L6" s="74"/>
      <c r="M6" s="77" t="str">
        <f>IF(Main[[#This Row],[Tech Start Date]]&lt;1/1/1990,"",IF(Main[[#This Row],[Class]]="C",WORKDAY(Main[[#This Row],[Tech Start Date]],9),IF(Main[[#This Row],[Class]]="B", WORKDAY(Main[[#This Row],[Tech Start Date]],6),IF(Main[[#This Row],[Class]]="A",WORKDAY(Main[[#This Row],[Tech Start Date]],2),""))))</f>
        <v/>
      </c>
      <c r="N6" s="77" t="str">
        <f>IF(Main[[#This Row],[Tech Start Date]]&lt;1/1/1990,"",IF(Main[[#This Row],[Class]]="C",WORKDAY(Main[[#This Row],[Tech Start Date]],19),IF(Main[[#This Row],[Class]]="B", WORKDAY(Main[[#This Row],[Tech Start Date]],12),IF(Main[[#This Row],[Class]]="A",WORKDAY(Main[[#This Row],[Tech Start Date]],4),""))))</f>
        <v/>
      </c>
      <c r="O6" s="77" t="str">
        <f>IF(Main[[#This Row],[Tech Start Date]]&lt;1/1/1990,"",IF(Main[[#This Row],[Class]]="C",WORKDAY(Main[[#This Row],[Tech Start Date]],23),IF(Main[[#This Row],[Class]]="B", WORKDAY(Main[[#This Row],[Tech Start Date]],15),IF(Main[[#This Row],[Class]]="A",WORKDAY(Main[[#This Row],[Tech Start Date]],5),""))))</f>
        <v/>
      </c>
      <c r="P6" s="77" t="str">
        <f>IF(Main[[#This Row],[Tech Start Date]]&lt;1/1/1990,"",IF(Main[[#This Row],[Class]]="C",WORKDAY(Main[[#This Row],[Tech Start Date]],28),IF(Main[[#This Row],[Class]]="B", WORKDAY(Main[[#This Row],[Tech Start Date]],19),IF(Main[[#This Row],[Class]]="A",WORKDAY(Main[[#This Row],[Tech Start Date]],9),""))))</f>
        <v/>
      </c>
      <c r="Q6" s="74">
        <v>40585</v>
      </c>
      <c r="R6" s="74"/>
      <c r="S6" s="78" t="s">
        <v>11</v>
      </c>
      <c r="T6" s="79" t="s">
        <v>228</v>
      </c>
      <c r="U6" s="78" t="s">
        <v>14</v>
      </c>
      <c r="V6" s="78" t="s">
        <v>1938</v>
      </c>
      <c r="W6" s="78" t="s">
        <v>1942</v>
      </c>
      <c r="X6" s="78" t="s">
        <v>2991</v>
      </c>
      <c r="Y6" s="78" t="s">
        <v>3166</v>
      </c>
      <c r="Z6" s="78" t="s">
        <v>129</v>
      </c>
    </row>
    <row r="7" spans="1:34" ht="18.600000000000001" customHeight="1">
      <c r="A7" s="142">
        <f>IF(priority(Main[[#This Row],[Comments]])&lt;&gt;0, priority(Main[[#This Row],[Comments]]),"")</f>
        <v>1</v>
      </c>
      <c r="B7" s="90" t="s">
        <v>3430</v>
      </c>
      <c r="C7" s="72" t="s">
        <v>72</v>
      </c>
      <c r="D7" s="73" t="s">
        <v>243</v>
      </c>
      <c r="E7" s="74">
        <v>40461.111585648148</v>
      </c>
      <c r="F7" s="74"/>
      <c r="G7" s="75" t="str">
        <f>IF(stdProdLT(Main[[#This Row],[Comments]])=0.1,"N/A",IF(stdProdLT(Main[[#This Row],[Comments]])=0,"",stdProdLT(Main[[#This Row],[Comments]])))</f>
        <v/>
      </c>
      <c r="H7" s="76" t="str">
        <f>IF(AND(Main[[#This Row],[In Stock Date]]&lt;&gt;"",Main[[#This Row],[Revised Due Date]]&lt;&gt;""),Main[[#This Row],[In Stock Date]]-Main[[#This Row],[Revised Due Date]],"")</f>
        <v/>
      </c>
      <c r="I7" s="72" t="s">
        <v>74</v>
      </c>
      <c r="J7" s="72" t="s">
        <v>4</v>
      </c>
      <c r="K7" s="72" t="s">
        <v>1949</v>
      </c>
      <c r="L7" s="74"/>
      <c r="M7" s="77" t="str">
        <f>IF(Main[[#This Row],[Tech Start Date]]&lt;1/1/1990,"",IF(Main[[#This Row],[Class]]="C",WORKDAY(Main[[#This Row],[Tech Start Date]],9),IF(Main[[#This Row],[Class]]="B", WORKDAY(Main[[#This Row],[Tech Start Date]],6),IF(Main[[#This Row],[Class]]="A",WORKDAY(Main[[#This Row],[Tech Start Date]],2),""))))</f>
        <v/>
      </c>
      <c r="N7" s="77" t="str">
        <f>IF(Main[[#This Row],[Tech Start Date]]&lt;1/1/1990,"",IF(Main[[#This Row],[Class]]="C",WORKDAY(Main[[#This Row],[Tech Start Date]],19),IF(Main[[#This Row],[Class]]="B", WORKDAY(Main[[#This Row],[Tech Start Date]],12),IF(Main[[#This Row],[Class]]="A",WORKDAY(Main[[#This Row],[Tech Start Date]],4),""))))</f>
        <v/>
      </c>
      <c r="O7" s="77" t="str">
        <f>IF(Main[[#This Row],[Tech Start Date]]&lt;1/1/1990,"",IF(Main[[#This Row],[Class]]="C",WORKDAY(Main[[#This Row],[Tech Start Date]],23),IF(Main[[#This Row],[Class]]="B", WORKDAY(Main[[#This Row],[Tech Start Date]],15),IF(Main[[#This Row],[Class]]="A",WORKDAY(Main[[#This Row],[Tech Start Date]],5),""))))</f>
        <v/>
      </c>
      <c r="P7" s="77" t="str">
        <f>IF(Main[[#This Row],[Tech Start Date]]&lt;1/1/1990,"",IF(Main[[#This Row],[Class]]="C",WORKDAY(Main[[#This Row],[Tech Start Date]],28),IF(Main[[#This Row],[Class]]="B", WORKDAY(Main[[#This Row],[Tech Start Date]],19),IF(Main[[#This Row],[Class]]="A",WORKDAY(Main[[#This Row],[Tech Start Date]],9),""))))</f>
        <v/>
      </c>
      <c r="Q7" s="74"/>
      <c r="R7" s="74">
        <v>40836</v>
      </c>
      <c r="S7" s="72" t="s">
        <v>17</v>
      </c>
      <c r="T7" s="80" t="s">
        <v>244</v>
      </c>
      <c r="U7" s="72" t="s">
        <v>29</v>
      </c>
      <c r="V7" s="72" t="s">
        <v>1940</v>
      </c>
      <c r="W7" s="72" t="s">
        <v>1945</v>
      </c>
      <c r="X7" s="72" t="s">
        <v>2999</v>
      </c>
      <c r="Y7" s="72" t="s">
        <v>3136</v>
      </c>
      <c r="Z7" s="72" t="s">
        <v>421</v>
      </c>
    </row>
    <row r="8" spans="1:34" ht="18.600000000000001" customHeight="1">
      <c r="A8" s="142">
        <f>IF(priority(Main[[#This Row],[Comments]])&lt;&gt;0, priority(Main[[#This Row],[Comments]]),"")</f>
        <v>1</v>
      </c>
      <c r="B8" s="90" t="s">
        <v>1061</v>
      </c>
      <c r="C8" s="72" t="s">
        <v>72</v>
      </c>
      <c r="D8" s="73" t="s">
        <v>73</v>
      </c>
      <c r="E8" s="74">
        <v>40461.12232638889</v>
      </c>
      <c r="F8" s="74"/>
      <c r="G8" s="75" t="str">
        <f>IF(stdProdLT(Main[[#This Row],[Comments]])=0.1,"N/A",IF(stdProdLT(Main[[#This Row],[Comments]])=0,"",stdProdLT(Main[[#This Row],[Comments]])))</f>
        <v/>
      </c>
      <c r="H8" s="76" t="str">
        <f>IF(AND(Main[[#This Row],[In Stock Date]]&lt;&gt;"",Main[[#This Row],[Revised Due Date]]&lt;&gt;""),Main[[#This Row],[In Stock Date]]-Main[[#This Row],[Revised Due Date]],"")</f>
        <v/>
      </c>
      <c r="I8" s="72" t="s">
        <v>74</v>
      </c>
      <c r="J8" s="72" t="s">
        <v>75</v>
      </c>
      <c r="K8" s="72" t="s">
        <v>1949</v>
      </c>
      <c r="L8" s="74"/>
      <c r="M8" s="77" t="str">
        <f>IF(Main[[#This Row],[Tech Start Date]]&lt;1/1/1990,"",IF(Main[[#This Row],[Class]]="C",WORKDAY(Main[[#This Row],[Tech Start Date]],9),IF(Main[[#This Row],[Class]]="B", WORKDAY(Main[[#This Row],[Tech Start Date]],6),IF(Main[[#This Row],[Class]]="A",WORKDAY(Main[[#This Row],[Tech Start Date]],2),""))))</f>
        <v/>
      </c>
      <c r="N8" s="77" t="str">
        <f>IF(Main[[#This Row],[Tech Start Date]]&lt;1/1/1990,"",IF(Main[[#This Row],[Class]]="C",WORKDAY(Main[[#This Row],[Tech Start Date]],19),IF(Main[[#This Row],[Class]]="B", WORKDAY(Main[[#This Row],[Tech Start Date]],12),IF(Main[[#This Row],[Class]]="A",WORKDAY(Main[[#This Row],[Tech Start Date]],4),""))))</f>
        <v/>
      </c>
      <c r="O8" s="77" t="str">
        <f>IF(Main[[#This Row],[Tech Start Date]]&lt;1/1/1990,"",IF(Main[[#This Row],[Class]]="C",WORKDAY(Main[[#This Row],[Tech Start Date]],23),IF(Main[[#This Row],[Class]]="B", WORKDAY(Main[[#This Row],[Tech Start Date]],15),IF(Main[[#This Row],[Class]]="A",WORKDAY(Main[[#This Row],[Tech Start Date]],5),""))))</f>
        <v/>
      </c>
      <c r="P8" s="77" t="str">
        <f>IF(Main[[#This Row],[Tech Start Date]]&lt;1/1/1990,"",IF(Main[[#This Row],[Class]]="C",WORKDAY(Main[[#This Row],[Tech Start Date]],28),IF(Main[[#This Row],[Class]]="B", WORKDAY(Main[[#This Row],[Tech Start Date]],19),IF(Main[[#This Row],[Class]]="A",WORKDAY(Main[[#This Row],[Tech Start Date]],9),""))))</f>
        <v/>
      </c>
      <c r="Q8" s="74"/>
      <c r="R8" s="74">
        <v>40849</v>
      </c>
      <c r="S8" s="72" t="s">
        <v>17</v>
      </c>
      <c r="T8" s="80" t="s">
        <v>76</v>
      </c>
      <c r="U8" s="72" t="s">
        <v>29</v>
      </c>
      <c r="V8" s="72" t="s">
        <v>1940</v>
      </c>
      <c r="W8" s="72" t="s">
        <v>1945</v>
      </c>
      <c r="X8" s="72" t="s">
        <v>2999</v>
      </c>
      <c r="Y8" s="72" t="s">
        <v>3136</v>
      </c>
      <c r="Z8" s="72" t="s">
        <v>421</v>
      </c>
    </row>
    <row r="9" spans="1:34" ht="18.600000000000001" customHeight="1">
      <c r="A9" s="142">
        <f>IF(priority(Main[[#This Row],[Comments]])&lt;&gt;0, priority(Main[[#This Row],[Comments]]),"")</f>
        <v>1</v>
      </c>
      <c r="B9" s="90" t="s">
        <v>2757</v>
      </c>
      <c r="C9" s="72" t="s">
        <v>19</v>
      </c>
      <c r="D9" s="73" t="s">
        <v>2669</v>
      </c>
      <c r="E9" s="74">
        <v>40487.36078703704</v>
      </c>
      <c r="F9" s="74"/>
      <c r="G9" s="75" t="str">
        <f>IF(stdProdLT(Main[[#This Row],[Comments]])=0.1,"N/A",IF(stdProdLT(Main[[#This Row],[Comments]])=0,"",stdProdLT(Main[[#This Row],[Comments]])))</f>
        <v/>
      </c>
      <c r="H9" s="76" t="str">
        <f>IF(AND(Main[[#This Row],[In Stock Date]]&lt;&gt;"",Main[[#This Row],[Revised Due Date]]&lt;&gt;""),Main[[#This Row],[In Stock Date]]-Main[[#This Row],[Revised Due Date]],"")</f>
        <v/>
      </c>
      <c r="I9" s="72" t="s">
        <v>2045</v>
      </c>
      <c r="J9" s="72" t="s">
        <v>28</v>
      </c>
      <c r="K9" s="72" t="s">
        <v>1949</v>
      </c>
      <c r="L9" s="74"/>
      <c r="M9" s="77" t="str">
        <f>IF(Main[[#This Row],[Tech Start Date]]&lt;1/1/1990,"",IF(Main[[#This Row],[Class]]="C",WORKDAY(Main[[#This Row],[Tech Start Date]],9),IF(Main[[#This Row],[Class]]="B", WORKDAY(Main[[#This Row],[Tech Start Date]],6),IF(Main[[#This Row],[Class]]="A",WORKDAY(Main[[#This Row],[Tech Start Date]],2),""))))</f>
        <v/>
      </c>
      <c r="N9" s="77" t="str">
        <f>IF(Main[[#This Row],[Tech Start Date]]&lt;1/1/1990,"",IF(Main[[#This Row],[Class]]="C",WORKDAY(Main[[#This Row],[Tech Start Date]],19),IF(Main[[#This Row],[Class]]="B", WORKDAY(Main[[#This Row],[Tech Start Date]],12),IF(Main[[#This Row],[Class]]="A",WORKDAY(Main[[#This Row],[Tech Start Date]],4),""))))</f>
        <v/>
      </c>
      <c r="O9" s="77" t="str">
        <f>IF(Main[[#This Row],[Tech Start Date]]&lt;1/1/1990,"",IF(Main[[#This Row],[Class]]="C",WORKDAY(Main[[#This Row],[Tech Start Date]],23),IF(Main[[#This Row],[Class]]="B", WORKDAY(Main[[#This Row],[Tech Start Date]],15),IF(Main[[#This Row],[Class]]="A",WORKDAY(Main[[#This Row],[Tech Start Date]],5),""))))</f>
        <v/>
      </c>
      <c r="P9" s="77" t="str">
        <f>IF(Main[[#This Row],[Tech Start Date]]&lt;1/1/1990,"",IF(Main[[#This Row],[Class]]="C",WORKDAY(Main[[#This Row],[Tech Start Date]],28),IF(Main[[#This Row],[Class]]="B", WORKDAY(Main[[#This Row],[Tech Start Date]],19),IF(Main[[#This Row],[Class]]="A",WORKDAY(Main[[#This Row],[Tech Start Date]],9),""))))</f>
        <v/>
      </c>
      <c r="Q9" s="74">
        <v>40862</v>
      </c>
      <c r="R9" s="74">
        <v>40862</v>
      </c>
      <c r="S9" s="72" t="s">
        <v>17</v>
      </c>
      <c r="T9" s="80" t="s">
        <v>2670</v>
      </c>
      <c r="U9" s="72" t="s">
        <v>29</v>
      </c>
      <c r="V9" s="72" t="s">
        <v>1952</v>
      </c>
      <c r="W9" s="72" t="s">
        <v>1945</v>
      </c>
      <c r="X9" s="72" t="s">
        <v>129</v>
      </c>
      <c r="Y9" s="72" t="s">
        <v>3091</v>
      </c>
      <c r="Z9" s="72" t="s">
        <v>2242</v>
      </c>
    </row>
    <row r="10" spans="1:34" ht="18.600000000000001" customHeight="1">
      <c r="A10" s="142">
        <f>IF(priority(Main[[#This Row],[Comments]])&lt;&gt;0, priority(Main[[#This Row],[Comments]]),"")</f>
        <v>1</v>
      </c>
      <c r="B10" s="90" t="s">
        <v>1904</v>
      </c>
      <c r="C10" s="72" t="s">
        <v>947</v>
      </c>
      <c r="D10" s="73" t="s">
        <v>948</v>
      </c>
      <c r="E10" s="74"/>
      <c r="F10" s="74">
        <v>40787</v>
      </c>
      <c r="G10" s="75" t="str">
        <f>IF(stdProdLT(Main[[#This Row],[Comments]])=0.1,"N/A",IF(stdProdLT(Main[[#This Row],[Comments]])=0,"",stdProdLT(Main[[#This Row],[Comments]])))</f>
        <v/>
      </c>
      <c r="H10" s="76">
        <f>IF(AND(Main[[#This Row],[In Stock Date]]&lt;&gt;"",Main[[#This Row],[Revised Due Date]]&lt;&gt;""),Main[[#This Row],[In Stock Date]]-Main[[#This Row],[Revised Due Date]],"")</f>
        <v>91</v>
      </c>
      <c r="I10" s="72" t="s">
        <v>495</v>
      </c>
      <c r="J10" s="72" t="s">
        <v>70</v>
      </c>
      <c r="K10" s="72" t="s">
        <v>1946</v>
      </c>
      <c r="L10" s="74">
        <v>40658</v>
      </c>
      <c r="M10" s="77">
        <f>IF(Main[[#This Row],[Tech Start Date]]&lt;1/1/1990,"",IF(Main[[#This Row],[Class]]="C",WORKDAY(Main[[#This Row],[Tech Start Date]],9),IF(Main[[#This Row],[Class]]="B", WORKDAY(Main[[#This Row],[Tech Start Date]],6),IF(Main[[#This Row],[Class]]="A",WORKDAY(Main[[#This Row],[Tech Start Date]],2),""))))</f>
        <v>40660</v>
      </c>
      <c r="N10" s="77">
        <f>IF(Main[[#This Row],[Tech Start Date]]&lt;1/1/1990,"",IF(Main[[#This Row],[Class]]="C",WORKDAY(Main[[#This Row],[Tech Start Date]],19),IF(Main[[#This Row],[Class]]="B", WORKDAY(Main[[#This Row],[Tech Start Date]],12),IF(Main[[#This Row],[Class]]="A",WORKDAY(Main[[#This Row],[Tech Start Date]],4),""))))</f>
        <v>40662</v>
      </c>
      <c r="O10" s="77">
        <f>IF(Main[[#This Row],[Tech Start Date]]&lt;1/1/1990,"",IF(Main[[#This Row],[Class]]="C",WORKDAY(Main[[#This Row],[Tech Start Date]],23),IF(Main[[#This Row],[Class]]="B", WORKDAY(Main[[#This Row],[Tech Start Date]],15),IF(Main[[#This Row],[Class]]="A",WORKDAY(Main[[#This Row],[Tech Start Date]],5),""))))</f>
        <v>40665</v>
      </c>
      <c r="P10" s="77">
        <f>IF(Main[[#This Row],[Tech Start Date]]&lt;1/1/1990,"",IF(Main[[#This Row],[Class]]="C",WORKDAY(Main[[#This Row],[Tech Start Date]],28),IF(Main[[#This Row],[Class]]="B", WORKDAY(Main[[#This Row],[Tech Start Date]],19),IF(Main[[#This Row],[Class]]="A",WORKDAY(Main[[#This Row],[Tech Start Date]],9),""))))</f>
        <v>40669</v>
      </c>
      <c r="Q10" s="74">
        <v>40696</v>
      </c>
      <c r="R10" s="74">
        <v>40696</v>
      </c>
      <c r="S10" s="72" t="s">
        <v>11</v>
      </c>
      <c r="T10" s="80" t="s">
        <v>949</v>
      </c>
      <c r="U10" s="72" t="s">
        <v>14</v>
      </c>
      <c r="V10" s="72" t="s">
        <v>1940</v>
      </c>
      <c r="W10" s="72" t="s">
        <v>1943</v>
      </c>
      <c r="X10" s="72" t="s">
        <v>3024</v>
      </c>
      <c r="Y10" s="72" t="s">
        <v>3154</v>
      </c>
      <c r="Z10" s="72" t="s">
        <v>2078</v>
      </c>
    </row>
    <row r="11" spans="1:34" ht="18.600000000000001" customHeight="1">
      <c r="A11" s="142">
        <f>IF(priority(Main[[#This Row],[Comments]])&lt;&gt;0, priority(Main[[#This Row],[Comments]]),"")</f>
        <v>1</v>
      </c>
      <c r="B11" s="90" t="s">
        <v>1468</v>
      </c>
      <c r="C11" s="72" t="s">
        <v>304</v>
      </c>
      <c r="D11" s="73" t="s">
        <v>2922</v>
      </c>
      <c r="E11" s="74">
        <v>40682.310381944444</v>
      </c>
      <c r="F11" s="74">
        <v>40977</v>
      </c>
      <c r="G11" s="75">
        <f>IF(stdProdLT(Main[[#This Row],[Comments]])=0.1,"N/A",IF(stdProdLT(Main[[#This Row],[Comments]])=0,"",stdProdLT(Main[[#This Row],[Comments]])))</f>
        <v>33</v>
      </c>
      <c r="H11" s="76">
        <f>IF(AND(Main[[#This Row],[In Stock Date]]&lt;&gt;"",Main[[#This Row],[Revised Due Date]]&lt;&gt;""),Main[[#This Row],[In Stock Date]]-Main[[#This Row],[Revised Due Date]],"")</f>
        <v>35</v>
      </c>
      <c r="I11" s="72" t="s">
        <v>956</v>
      </c>
      <c r="J11" s="72" t="s">
        <v>28</v>
      </c>
      <c r="K11" s="72" t="s">
        <v>1950</v>
      </c>
      <c r="L11" s="74">
        <v>40725</v>
      </c>
      <c r="M11" s="77">
        <f>IF(Main[[#This Row],[Tech Start Date]]&lt;1/1/1990,"",IF(Main[[#This Row],[Class]]="C",WORKDAY(Main[[#This Row],[Tech Start Date]],9),IF(Main[[#This Row],[Class]]="B", WORKDAY(Main[[#This Row],[Tech Start Date]],6),IF(Main[[#This Row],[Class]]="A",WORKDAY(Main[[#This Row],[Tech Start Date]],2),""))))</f>
        <v>40738</v>
      </c>
      <c r="N11" s="77">
        <f>IF(Main[[#This Row],[Tech Start Date]]&lt;1/1/1990,"",IF(Main[[#This Row],[Class]]="C",WORKDAY(Main[[#This Row],[Tech Start Date]],19),IF(Main[[#This Row],[Class]]="B", WORKDAY(Main[[#This Row],[Tech Start Date]],12),IF(Main[[#This Row],[Class]]="A",WORKDAY(Main[[#This Row],[Tech Start Date]],4),""))))</f>
        <v>40752</v>
      </c>
      <c r="O11" s="77">
        <f>IF(Main[[#This Row],[Tech Start Date]]&lt;1/1/1990,"",IF(Main[[#This Row],[Class]]="C",WORKDAY(Main[[#This Row],[Tech Start Date]],23),IF(Main[[#This Row],[Class]]="B", WORKDAY(Main[[#This Row],[Tech Start Date]],15),IF(Main[[#This Row],[Class]]="A",WORKDAY(Main[[#This Row],[Tech Start Date]],5),""))))</f>
        <v>40758</v>
      </c>
      <c r="P11" s="77">
        <f>IF(Main[[#This Row],[Tech Start Date]]&lt;1/1/1990,"",IF(Main[[#This Row],[Class]]="C",WORKDAY(Main[[#This Row],[Tech Start Date]],28),IF(Main[[#This Row],[Class]]="B", WORKDAY(Main[[#This Row],[Tech Start Date]],19),IF(Main[[#This Row],[Class]]="A",WORKDAY(Main[[#This Row],[Tech Start Date]],9),""))))</f>
        <v>40765</v>
      </c>
      <c r="Q11" s="74">
        <v>40712</v>
      </c>
      <c r="R11" s="74">
        <v>40942</v>
      </c>
      <c r="S11" s="72" t="s">
        <v>11</v>
      </c>
      <c r="T11" s="80" t="s">
        <v>3461</v>
      </c>
      <c r="U11" s="72" t="s">
        <v>29</v>
      </c>
      <c r="V11" s="72" t="s">
        <v>1938</v>
      </c>
      <c r="W11" s="72" t="s">
        <v>1948</v>
      </c>
      <c r="X11" s="72" t="s">
        <v>2987</v>
      </c>
      <c r="Y11" s="72" t="s">
        <v>4</v>
      </c>
      <c r="Z11" s="72" t="s">
        <v>2080</v>
      </c>
    </row>
    <row r="12" spans="1:34" ht="18.600000000000001" customHeight="1">
      <c r="A12" s="142">
        <f>IF(priority(Main[[#This Row],[Comments]])&lt;&gt;0, priority(Main[[#This Row],[Comments]]),"")</f>
        <v>1</v>
      </c>
      <c r="B12" s="90" t="s">
        <v>2686</v>
      </c>
      <c r="C12" s="72" t="s">
        <v>2687</v>
      </c>
      <c r="D12" s="73" t="s">
        <v>2931</v>
      </c>
      <c r="E12" s="74"/>
      <c r="F12" s="74">
        <v>40855</v>
      </c>
      <c r="G12" s="75" t="str">
        <f>IF(stdProdLT(Main[[#This Row],[Comments]])=0.1,"N/A",IF(stdProdLT(Main[[#This Row],[Comments]])=0,"",stdProdLT(Main[[#This Row],[Comments]])))</f>
        <v>N/A</v>
      </c>
      <c r="H12" s="76">
        <f>IF(AND(Main[[#This Row],[In Stock Date]]&lt;&gt;"",Main[[#This Row],[Revised Due Date]]&lt;&gt;""),Main[[#This Row],[In Stock Date]]-Main[[#This Row],[Revised Due Date]],"")</f>
        <v>-84</v>
      </c>
      <c r="I12" s="72" t="s">
        <v>953</v>
      </c>
      <c r="J12" s="72" t="s">
        <v>28</v>
      </c>
      <c r="K12" s="72" t="s">
        <v>1946</v>
      </c>
      <c r="L12" s="74">
        <v>40834</v>
      </c>
      <c r="M12" s="77">
        <f>IF(Main[[#This Row],[Tech Start Date]]&lt;1/1/1990,"",IF(Main[[#This Row],[Class]]="C",WORKDAY(Main[[#This Row],[Tech Start Date]],9),IF(Main[[#This Row],[Class]]="B", WORKDAY(Main[[#This Row],[Tech Start Date]],6),IF(Main[[#This Row],[Class]]="A",WORKDAY(Main[[#This Row],[Tech Start Date]],2),""))))</f>
        <v>40836</v>
      </c>
      <c r="N12" s="77">
        <f>IF(Main[[#This Row],[Tech Start Date]]&lt;1/1/1990,"",IF(Main[[#This Row],[Class]]="C",WORKDAY(Main[[#This Row],[Tech Start Date]],19),IF(Main[[#This Row],[Class]]="B", WORKDAY(Main[[#This Row],[Tech Start Date]],12),IF(Main[[#This Row],[Class]]="A",WORKDAY(Main[[#This Row],[Tech Start Date]],4),""))))</f>
        <v>40840</v>
      </c>
      <c r="O12" s="77">
        <f>IF(Main[[#This Row],[Tech Start Date]]&lt;1/1/1990,"",IF(Main[[#This Row],[Class]]="C",WORKDAY(Main[[#This Row],[Tech Start Date]],23),IF(Main[[#This Row],[Class]]="B", WORKDAY(Main[[#This Row],[Tech Start Date]],15),IF(Main[[#This Row],[Class]]="A",WORKDAY(Main[[#This Row],[Tech Start Date]],5),""))))</f>
        <v>40841</v>
      </c>
      <c r="P12" s="77">
        <f>IF(Main[[#This Row],[Tech Start Date]]&lt;1/1/1990,"",IF(Main[[#This Row],[Class]]="C",WORKDAY(Main[[#This Row],[Tech Start Date]],28),IF(Main[[#This Row],[Class]]="B", WORKDAY(Main[[#This Row],[Tech Start Date]],19),IF(Main[[#This Row],[Class]]="A",WORKDAY(Main[[#This Row],[Tech Start Date]],9),""))))</f>
        <v>40847</v>
      </c>
      <c r="Q12" s="74">
        <v>40855</v>
      </c>
      <c r="R12" s="74">
        <v>40939</v>
      </c>
      <c r="S12" s="72" t="s">
        <v>11</v>
      </c>
      <c r="T12" s="80" t="s">
        <v>2932</v>
      </c>
      <c r="U12" s="72" t="s">
        <v>14</v>
      </c>
      <c r="V12" s="72" t="s">
        <v>1937</v>
      </c>
      <c r="W12" s="72" t="s">
        <v>1939</v>
      </c>
      <c r="X12" s="72" t="s">
        <v>2983</v>
      </c>
      <c r="Y12" s="72" t="s">
        <v>3112</v>
      </c>
      <c r="Z12" s="72" t="s">
        <v>129</v>
      </c>
    </row>
    <row r="13" spans="1:34" ht="18.600000000000001" customHeight="1">
      <c r="A13" s="142">
        <f>IF(priority(Main[[#This Row],[Comments]])&lt;&gt;0, priority(Main[[#This Row],[Comments]]),"")</f>
        <v>1</v>
      </c>
      <c r="B13" s="90" t="s">
        <v>2635</v>
      </c>
      <c r="C13" s="72" t="s">
        <v>2742</v>
      </c>
      <c r="D13" s="73" t="s">
        <v>3551</v>
      </c>
      <c r="E13" s="74">
        <v>40848.383587962962</v>
      </c>
      <c r="F13" s="74">
        <v>41054</v>
      </c>
      <c r="G13" s="75">
        <f>IF(stdProdLT(Main[[#This Row],[Comments]])=0.1,"N/A",IF(stdProdLT(Main[[#This Row],[Comments]])=0,"",stdProdLT(Main[[#This Row],[Comments]])))</f>
        <v>126</v>
      </c>
      <c r="H13" s="76">
        <f>IF(AND(Main[[#This Row],[In Stock Date]]&lt;&gt;"",Main[[#This Row],[Revised Due Date]]&lt;&gt;""),Main[[#This Row],[In Stock Date]]-Main[[#This Row],[Revised Due Date]],"")</f>
        <v>123</v>
      </c>
      <c r="I13" s="72" t="s">
        <v>311</v>
      </c>
      <c r="J13" s="72" t="s">
        <v>75</v>
      </c>
      <c r="K13" s="72" t="s">
        <v>1944</v>
      </c>
      <c r="L13" s="74">
        <v>40879</v>
      </c>
      <c r="M13" s="77">
        <f>IF(Main[[#This Row],[Tech Start Date]]&lt;1/1/1990,"",IF(Main[[#This Row],[Class]]="C",WORKDAY(Main[[#This Row],[Tech Start Date]],9),IF(Main[[#This Row],[Class]]="B", WORKDAY(Main[[#This Row],[Tech Start Date]],6),IF(Main[[#This Row],[Class]]="A",WORKDAY(Main[[#This Row],[Tech Start Date]],2),""))))</f>
        <v>40889</v>
      </c>
      <c r="N13" s="77">
        <f>IF(Main[[#This Row],[Tech Start Date]]&lt;1/1/1990,"",IF(Main[[#This Row],[Class]]="C",WORKDAY(Main[[#This Row],[Tech Start Date]],19),IF(Main[[#This Row],[Class]]="B", WORKDAY(Main[[#This Row],[Tech Start Date]],12),IF(Main[[#This Row],[Class]]="A",WORKDAY(Main[[#This Row],[Tech Start Date]],4),""))))</f>
        <v>40897</v>
      </c>
      <c r="O13" s="77">
        <f>IF(Main[[#This Row],[Tech Start Date]]&lt;1/1/1990,"",IF(Main[[#This Row],[Class]]="C",WORKDAY(Main[[#This Row],[Tech Start Date]],23),IF(Main[[#This Row],[Class]]="B", WORKDAY(Main[[#This Row],[Tech Start Date]],15),IF(Main[[#This Row],[Class]]="A",WORKDAY(Main[[#This Row],[Tech Start Date]],5),""))))</f>
        <v>40900</v>
      </c>
      <c r="P13" s="77">
        <f>IF(Main[[#This Row],[Tech Start Date]]&lt;1/1/1990,"",IF(Main[[#This Row],[Class]]="C",WORKDAY(Main[[#This Row],[Tech Start Date]],28),IF(Main[[#This Row],[Class]]="B", WORKDAY(Main[[#This Row],[Tech Start Date]],19),IF(Main[[#This Row],[Class]]="A",WORKDAY(Main[[#This Row],[Tech Start Date]],9),""))))</f>
        <v>40906</v>
      </c>
      <c r="Q13" s="74">
        <v>41054</v>
      </c>
      <c r="R13" s="74">
        <v>40931</v>
      </c>
      <c r="S13" s="72" t="s">
        <v>11</v>
      </c>
      <c r="T13" s="80" t="s">
        <v>3568</v>
      </c>
      <c r="U13" s="72" t="s">
        <v>29</v>
      </c>
      <c r="V13" s="72" t="s">
        <v>1937</v>
      </c>
      <c r="W13" s="72" t="s">
        <v>1943</v>
      </c>
      <c r="X13" s="72" t="s">
        <v>3061</v>
      </c>
      <c r="Y13" s="72" t="s">
        <v>3088</v>
      </c>
      <c r="Z13" s="72" t="s">
        <v>129</v>
      </c>
    </row>
    <row r="14" spans="1:34" ht="18.600000000000001" customHeight="1">
      <c r="A14" s="142">
        <f>IF(priority(Main[[#This Row],[Comments]])&lt;&gt;0, priority(Main[[#This Row],[Comments]]),"")</f>
        <v>1</v>
      </c>
      <c r="B14" s="90" t="s">
        <v>3350</v>
      </c>
      <c r="C14" s="72" t="s">
        <v>3401</v>
      </c>
      <c r="D14" s="73" t="s">
        <v>3402</v>
      </c>
      <c r="E14" s="74">
        <v>40919.243379629632</v>
      </c>
      <c r="F14" s="74">
        <v>41029</v>
      </c>
      <c r="G14" s="75">
        <f>IF(stdProdLT(Main[[#This Row],[Comments]])=0.1,"N/A",IF(stdProdLT(Main[[#This Row],[Comments]])=0,"",stdProdLT(Main[[#This Row],[Comments]])))</f>
        <v>140</v>
      </c>
      <c r="H14" s="76">
        <f>IF(AND(Main[[#This Row],[In Stock Date]]&lt;&gt;"",Main[[#This Row],[Revised Due Date]]&lt;&gt;""),Main[[#This Row],[In Stock Date]]-Main[[#This Row],[Revised Due Date]],"")</f>
        <v>74</v>
      </c>
      <c r="I14" s="72" t="s">
        <v>131</v>
      </c>
      <c r="J14" s="72" t="s">
        <v>70</v>
      </c>
      <c r="K14" s="81" t="s">
        <v>1944</v>
      </c>
      <c r="L14" s="74">
        <v>40920</v>
      </c>
      <c r="M14" s="77">
        <f>IF(Main[[#This Row],[Tech Start Date]]&lt;1/1/1990,"",IF(Main[[#This Row],[Class]]="C",WORKDAY(Main[[#This Row],[Tech Start Date]],9),IF(Main[[#This Row],[Class]]="B", WORKDAY(Main[[#This Row],[Tech Start Date]],6),IF(Main[[#This Row],[Class]]="A",WORKDAY(Main[[#This Row],[Tech Start Date]],2),""))))</f>
        <v>40928</v>
      </c>
      <c r="N14" s="77">
        <f>IF(Main[[#This Row],[Tech Start Date]]&lt;1/1/1990,"",IF(Main[[#This Row],[Class]]="C",WORKDAY(Main[[#This Row],[Tech Start Date]],19),IF(Main[[#This Row],[Class]]="B", WORKDAY(Main[[#This Row],[Tech Start Date]],12),IF(Main[[#This Row],[Class]]="A",WORKDAY(Main[[#This Row],[Tech Start Date]],4),""))))</f>
        <v>40938</v>
      </c>
      <c r="O14" s="77">
        <f>IF(Main[[#This Row],[Tech Start Date]]&lt;1/1/1990,"",IF(Main[[#This Row],[Class]]="C",WORKDAY(Main[[#This Row],[Tech Start Date]],23),IF(Main[[#This Row],[Class]]="B", WORKDAY(Main[[#This Row],[Tech Start Date]],15),IF(Main[[#This Row],[Class]]="A",WORKDAY(Main[[#This Row],[Tech Start Date]],5),""))))</f>
        <v>40941</v>
      </c>
      <c r="P14" s="77">
        <f>IF(Main[[#This Row],[Tech Start Date]]&lt;1/1/1990,"",IF(Main[[#This Row],[Class]]="C",WORKDAY(Main[[#This Row],[Tech Start Date]],28),IF(Main[[#This Row],[Class]]="B", WORKDAY(Main[[#This Row],[Tech Start Date]],19),IF(Main[[#This Row],[Class]]="A",WORKDAY(Main[[#This Row],[Tech Start Date]],9),""))))</f>
        <v>40947</v>
      </c>
      <c r="Q14" s="74">
        <v>40928</v>
      </c>
      <c r="R14" s="74">
        <v>40955</v>
      </c>
      <c r="S14" s="72" t="s">
        <v>11</v>
      </c>
      <c r="T14" s="80" t="s">
        <v>3537</v>
      </c>
      <c r="U14" s="72" t="s">
        <v>29</v>
      </c>
      <c r="V14" s="72" t="s">
        <v>1947</v>
      </c>
      <c r="W14" s="72" t="s">
        <v>1943</v>
      </c>
      <c r="X14" s="72" t="s">
        <v>3346</v>
      </c>
      <c r="Y14" s="72" t="s">
        <v>3347</v>
      </c>
      <c r="Z14" s="72" t="s">
        <v>536</v>
      </c>
    </row>
    <row r="15" spans="1:34" ht="18.600000000000001" customHeight="1">
      <c r="A15" s="142">
        <f>IF(priority(Main[[#This Row],[Comments]])&lt;&gt;0, priority(Main[[#This Row],[Comments]]),"")</f>
        <v>1.01</v>
      </c>
      <c r="B15" s="90" t="s">
        <v>1903</v>
      </c>
      <c r="C15" s="72" t="s">
        <v>113</v>
      </c>
      <c r="D15" s="73" t="s">
        <v>2753</v>
      </c>
      <c r="E15" s="74">
        <v>40633.588854166665</v>
      </c>
      <c r="F15" s="74">
        <v>40674</v>
      </c>
      <c r="G15" s="75" t="str">
        <f>IF(stdProdLT(Main[[#This Row],[Comments]])=0.1,"N/A",IF(stdProdLT(Main[[#This Row],[Comments]])=0,"",stdProdLT(Main[[#This Row],[Comments]])))</f>
        <v/>
      </c>
      <c r="H15" s="76">
        <f>IF(AND(Main[[#This Row],[In Stock Date]]&lt;&gt;"",Main[[#This Row],[Revised Due Date]]&lt;&gt;""),Main[[#This Row],[In Stock Date]]-Main[[#This Row],[Revised Due Date]],"")</f>
        <v>-234</v>
      </c>
      <c r="I15" s="72" t="s">
        <v>953</v>
      </c>
      <c r="J15" s="72" t="s">
        <v>28</v>
      </c>
      <c r="K15" s="72" t="s">
        <v>1949</v>
      </c>
      <c r="L15" s="74">
        <v>40666</v>
      </c>
      <c r="M15" s="77" t="str">
        <f>IF(Main[[#This Row],[Tech Start Date]]&lt;1/1/1990,"",IF(Main[[#This Row],[Class]]="C",WORKDAY(Main[[#This Row],[Tech Start Date]],9),IF(Main[[#This Row],[Class]]="B", WORKDAY(Main[[#This Row],[Tech Start Date]],6),IF(Main[[#This Row],[Class]]="A",WORKDAY(Main[[#This Row],[Tech Start Date]],2),""))))</f>
        <v/>
      </c>
      <c r="N15" s="77" t="str">
        <f>IF(Main[[#This Row],[Tech Start Date]]&lt;1/1/1990,"",IF(Main[[#This Row],[Class]]="C",WORKDAY(Main[[#This Row],[Tech Start Date]],19),IF(Main[[#This Row],[Class]]="B", WORKDAY(Main[[#This Row],[Tech Start Date]],12),IF(Main[[#This Row],[Class]]="A",WORKDAY(Main[[#This Row],[Tech Start Date]],4),""))))</f>
        <v/>
      </c>
      <c r="O15" s="77" t="str">
        <f>IF(Main[[#This Row],[Tech Start Date]]&lt;1/1/1990,"",IF(Main[[#This Row],[Class]]="C",WORKDAY(Main[[#This Row],[Tech Start Date]],23),IF(Main[[#This Row],[Class]]="B", WORKDAY(Main[[#This Row],[Tech Start Date]],15),IF(Main[[#This Row],[Class]]="A",WORKDAY(Main[[#This Row],[Tech Start Date]],5),""))))</f>
        <v/>
      </c>
      <c r="P15" s="77" t="str">
        <f>IF(Main[[#This Row],[Tech Start Date]]&lt;1/1/1990,"",IF(Main[[#This Row],[Class]]="C",WORKDAY(Main[[#This Row],[Tech Start Date]],28),IF(Main[[#This Row],[Class]]="B", WORKDAY(Main[[#This Row],[Tech Start Date]],19),IF(Main[[#This Row],[Class]]="A",WORKDAY(Main[[#This Row],[Tech Start Date]],9),""))))</f>
        <v/>
      </c>
      <c r="Q15" s="74">
        <v>40939</v>
      </c>
      <c r="R15" s="74">
        <v>40908</v>
      </c>
      <c r="S15" s="72" t="s">
        <v>17</v>
      </c>
      <c r="T15" s="80" t="s">
        <v>2676</v>
      </c>
      <c r="U15" s="72" t="s">
        <v>29</v>
      </c>
      <c r="V15" s="72" t="s">
        <v>1937</v>
      </c>
      <c r="W15" s="72" t="s">
        <v>1948</v>
      </c>
      <c r="X15" s="72" t="s">
        <v>2985</v>
      </c>
      <c r="Y15" s="72" t="s">
        <v>3097</v>
      </c>
      <c r="Z15" s="72" t="s">
        <v>129</v>
      </c>
    </row>
    <row r="16" spans="1:34" ht="18.600000000000001" customHeight="1">
      <c r="A16" s="142">
        <f>IF(priority(Main[[#This Row],[Comments]])&lt;&gt;0, priority(Main[[#This Row],[Comments]]),"")</f>
        <v>2</v>
      </c>
      <c r="B16" s="90" t="s">
        <v>1173</v>
      </c>
      <c r="C16" s="72" t="s">
        <v>19</v>
      </c>
      <c r="D16" s="73" t="s">
        <v>2474</v>
      </c>
      <c r="E16" s="74">
        <v>40487.363657407404</v>
      </c>
      <c r="F16" s="74"/>
      <c r="G16" s="75" t="str">
        <f>IF(stdProdLT(Main[[#This Row],[Comments]])=0.1,"N/A",IF(stdProdLT(Main[[#This Row],[Comments]])=0,"",stdProdLT(Main[[#This Row],[Comments]])))</f>
        <v/>
      </c>
      <c r="H16" s="76" t="str">
        <f>IF(AND(Main[[#This Row],[In Stock Date]]&lt;&gt;"",Main[[#This Row],[Revised Due Date]]&lt;&gt;""),Main[[#This Row],[In Stock Date]]-Main[[#This Row],[Revised Due Date]],"")</f>
        <v/>
      </c>
      <c r="I16" s="72" t="s">
        <v>2045</v>
      </c>
      <c r="J16" s="72" t="s">
        <v>28</v>
      </c>
      <c r="K16" s="72" t="s">
        <v>4</v>
      </c>
      <c r="L16" s="74"/>
      <c r="M16" s="77" t="str">
        <f>IF(Main[[#This Row],[Tech Start Date]]&lt;1/1/1990,"",IF(Main[[#This Row],[Class]]="C",WORKDAY(Main[[#This Row],[Tech Start Date]],9),IF(Main[[#This Row],[Class]]="B", WORKDAY(Main[[#This Row],[Tech Start Date]],6),IF(Main[[#This Row],[Class]]="A",WORKDAY(Main[[#This Row],[Tech Start Date]],2),""))))</f>
        <v/>
      </c>
      <c r="N16" s="77" t="str">
        <f>IF(Main[[#This Row],[Tech Start Date]]&lt;1/1/1990,"",IF(Main[[#This Row],[Class]]="C",WORKDAY(Main[[#This Row],[Tech Start Date]],19),IF(Main[[#This Row],[Class]]="B", WORKDAY(Main[[#This Row],[Tech Start Date]],12),IF(Main[[#This Row],[Class]]="A",WORKDAY(Main[[#This Row],[Tech Start Date]],4),""))))</f>
        <v/>
      </c>
      <c r="O16" s="77" t="str">
        <f>IF(Main[[#This Row],[Tech Start Date]]&lt;1/1/1990,"",IF(Main[[#This Row],[Class]]="C",WORKDAY(Main[[#This Row],[Tech Start Date]],23),IF(Main[[#This Row],[Class]]="B", WORKDAY(Main[[#This Row],[Tech Start Date]],15),IF(Main[[#This Row],[Class]]="A",WORKDAY(Main[[#This Row],[Tech Start Date]],5),""))))</f>
        <v/>
      </c>
      <c r="P16" s="77" t="str">
        <f>IF(Main[[#This Row],[Tech Start Date]]&lt;1/1/1990,"",IF(Main[[#This Row],[Class]]="C",WORKDAY(Main[[#This Row],[Tech Start Date]],28),IF(Main[[#This Row],[Class]]="B", WORKDAY(Main[[#This Row],[Tech Start Date]],19),IF(Main[[#This Row],[Class]]="A",WORKDAY(Main[[#This Row],[Tech Start Date]],9),""))))</f>
        <v/>
      </c>
      <c r="Q16" s="74">
        <v>40862</v>
      </c>
      <c r="R16" s="74">
        <v>40862</v>
      </c>
      <c r="S16" s="72" t="s">
        <v>17</v>
      </c>
      <c r="T16" s="80" t="s">
        <v>2475</v>
      </c>
      <c r="U16" s="72" t="s">
        <v>29</v>
      </c>
      <c r="V16" s="72" t="s">
        <v>1952</v>
      </c>
      <c r="W16" s="72" t="s">
        <v>1939</v>
      </c>
      <c r="X16" s="72" t="s">
        <v>129</v>
      </c>
      <c r="Y16" s="72" t="s">
        <v>3091</v>
      </c>
      <c r="Z16" s="72" t="s">
        <v>2242</v>
      </c>
    </row>
    <row r="17" spans="1:33" ht="18.600000000000001" customHeight="1">
      <c r="A17" s="142">
        <f>IF(priority(Main[[#This Row],[Comments]])&lt;&gt;0, priority(Main[[#This Row],[Comments]]),"")</f>
        <v>2</v>
      </c>
      <c r="B17" s="90" t="s">
        <v>2072</v>
      </c>
      <c r="C17" s="72" t="s">
        <v>304</v>
      </c>
      <c r="D17" s="73" t="s">
        <v>2353</v>
      </c>
      <c r="E17" s="74">
        <v>40682.272986111115</v>
      </c>
      <c r="F17" s="74">
        <v>40909</v>
      </c>
      <c r="G17" s="75">
        <f>IF(stdProdLT(Main[[#This Row],[Comments]])=0.1,"N/A",IF(stdProdLT(Main[[#This Row],[Comments]])=0,"",stdProdLT(Main[[#This Row],[Comments]])))</f>
        <v>182</v>
      </c>
      <c r="H17" s="76">
        <f>IF(AND(Main[[#This Row],[In Stock Date]]&lt;&gt;"",Main[[#This Row],[Revised Due Date]]&lt;&gt;""),Main[[#This Row],[In Stock Date]]-Main[[#This Row],[Revised Due Date]],"")</f>
        <v>78</v>
      </c>
      <c r="I17" s="72" t="s">
        <v>962</v>
      </c>
      <c r="J17" s="72" t="s">
        <v>28</v>
      </c>
      <c r="K17" s="72" t="s">
        <v>1950</v>
      </c>
      <c r="L17" s="74">
        <v>40725</v>
      </c>
      <c r="M17" s="77">
        <f>IF(Main[[#This Row],[Tech Start Date]]&lt;1/1/1990,"",IF(Main[[#This Row],[Class]]="C",WORKDAY(Main[[#This Row],[Tech Start Date]],9),IF(Main[[#This Row],[Class]]="B", WORKDAY(Main[[#This Row],[Tech Start Date]],6),IF(Main[[#This Row],[Class]]="A",WORKDAY(Main[[#This Row],[Tech Start Date]],2),""))))</f>
        <v>40738</v>
      </c>
      <c r="N17" s="77">
        <f>IF(Main[[#This Row],[Tech Start Date]]&lt;1/1/1990,"",IF(Main[[#This Row],[Class]]="C",WORKDAY(Main[[#This Row],[Tech Start Date]],19),IF(Main[[#This Row],[Class]]="B", WORKDAY(Main[[#This Row],[Tech Start Date]],12),IF(Main[[#This Row],[Class]]="A",WORKDAY(Main[[#This Row],[Tech Start Date]],4),""))))</f>
        <v>40752</v>
      </c>
      <c r="O17" s="77">
        <f>IF(Main[[#This Row],[Tech Start Date]]&lt;1/1/1990,"",IF(Main[[#This Row],[Class]]="C",WORKDAY(Main[[#This Row],[Tech Start Date]],23),IF(Main[[#This Row],[Class]]="B", WORKDAY(Main[[#This Row],[Tech Start Date]],15),IF(Main[[#This Row],[Class]]="A",WORKDAY(Main[[#This Row],[Tech Start Date]],5),""))))</f>
        <v>40758</v>
      </c>
      <c r="P17" s="77">
        <f>IF(Main[[#This Row],[Tech Start Date]]&lt;1/1/1990,"",IF(Main[[#This Row],[Class]]="C",WORKDAY(Main[[#This Row],[Tech Start Date]],28),IF(Main[[#This Row],[Class]]="B", WORKDAY(Main[[#This Row],[Tech Start Date]],19),IF(Main[[#This Row],[Class]]="A",WORKDAY(Main[[#This Row],[Tech Start Date]],9),""))))</f>
        <v>40765</v>
      </c>
      <c r="Q17" s="74">
        <v>40724</v>
      </c>
      <c r="R17" s="74">
        <v>40831</v>
      </c>
      <c r="S17" s="72" t="s">
        <v>17</v>
      </c>
      <c r="T17" s="80" t="s">
        <v>2238</v>
      </c>
      <c r="U17" s="72" t="s">
        <v>29</v>
      </c>
      <c r="V17" s="72" t="s">
        <v>1938</v>
      </c>
      <c r="W17" s="72" t="s">
        <v>1942</v>
      </c>
      <c r="X17" s="72" t="s">
        <v>2987</v>
      </c>
      <c r="Y17" s="72" t="s">
        <v>4</v>
      </c>
      <c r="Z17" s="72" t="s">
        <v>2080</v>
      </c>
    </row>
    <row r="18" spans="1:33" ht="18.600000000000001" customHeight="1">
      <c r="A18" s="142">
        <f>IF(priority(Main[[#This Row],[Comments]])&lt;&gt;0, priority(Main[[#This Row],[Comments]]),"")</f>
        <v>2</v>
      </c>
      <c r="B18" s="90" t="s">
        <v>2310</v>
      </c>
      <c r="C18" s="72" t="s">
        <v>524</v>
      </c>
      <c r="D18" s="73" t="s">
        <v>3080</v>
      </c>
      <c r="E18" s="74">
        <v>40812.552488425928</v>
      </c>
      <c r="F18" s="74">
        <v>41030</v>
      </c>
      <c r="G18" s="75">
        <f>IF(stdProdLT(Main[[#This Row],[Comments]])=0.1,"N/A",IF(stdProdLT(Main[[#This Row],[Comments]])=0,"",stdProdLT(Main[[#This Row],[Comments]])))</f>
        <v>84</v>
      </c>
      <c r="H18" s="76">
        <f>IF(AND(Main[[#This Row],[In Stock Date]]&lt;&gt;"",Main[[#This Row],[Revised Due Date]]&lt;&gt;""),Main[[#This Row],[In Stock Date]]-Main[[#This Row],[Revised Due Date]],"")</f>
        <v>74</v>
      </c>
      <c r="I18" s="72" t="s">
        <v>2691</v>
      </c>
      <c r="J18" s="72" t="s">
        <v>21</v>
      </c>
      <c r="K18" s="72" t="s">
        <v>1944</v>
      </c>
      <c r="L18" s="74">
        <v>40835</v>
      </c>
      <c r="M18" s="77">
        <f>IF(Main[[#This Row],[Tech Start Date]]&lt;1/1/1990,"",IF(Main[[#This Row],[Class]]="C",WORKDAY(Main[[#This Row],[Tech Start Date]],9),IF(Main[[#This Row],[Class]]="B", WORKDAY(Main[[#This Row],[Tech Start Date]],6),IF(Main[[#This Row],[Class]]="A",WORKDAY(Main[[#This Row],[Tech Start Date]],2),""))))</f>
        <v>40843</v>
      </c>
      <c r="N18" s="77">
        <f>IF(Main[[#This Row],[Tech Start Date]]&lt;1/1/1990,"",IF(Main[[#This Row],[Class]]="C",WORKDAY(Main[[#This Row],[Tech Start Date]],19),IF(Main[[#This Row],[Class]]="B", WORKDAY(Main[[#This Row],[Tech Start Date]],12),IF(Main[[#This Row],[Class]]="A",WORKDAY(Main[[#This Row],[Tech Start Date]],4),""))))</f>
        <v>40851</v>
      </c>
      <c r="O18" s="77">
        <f>IF(Main[[#This Row],[Tech Start Date]]&lt;1/1/1990,"",IF(Main[[#This Row],[Class]]="C",WORKDAY(Main[[#This Row],[Tech Start Date]],23),IF(Main[[#This Row],[Class]]="B", WORKDAY(Main[[#This Row],[Tech Start Date]],15),IF(Main[[#This Row],[Class]]="A",WORKDAY(Main[[#This Row],[Tech Start Date]],5),""))))</f>
        <v>40856</v>
      </c>
      <c r="P18" s="77">
        <f>IF(Main[[#This Row],[Tech Start Date]]&lt;1/1/1990,"",IF(Main[[#This Row],[Class]]="C",WORKDAY(Main[[#This Row],[Tech Start Date]],28),IF(Main[[#This Row],[Class]]="B", WORKDAY(Main[[#This Row],[Tech Start Date]],19),IF(Main[[#This Row],[Class]]="A",WORKDAY(Main[[#This Row],[Tech Start Date]],9),""))))</f>
        <v>40862</v>
      </c>
      <c r="Q18" s="74">
        <v>40816</v>
      </c>
      <c r="R18" s="74">
        <v>40956</v>
      </c>
      <c r="S18" s="72" t="s">
        <v>17</v>
      </c>
      <c r="T18" s="80" t="s">
        <v>2933</v>
      </c>
      <c r="U18" s="72" t="s">
        <v>29</v>
      </c>
      <c r="V18" s="72" t="s">
        <v>1938</v>
      </c>
      <c r="W18" s="72" t="s">
        <v>1945</v>
      </c>
      <c r="X18" s="72" t="s">
        <v>3062</v>
      </c>
      <c r="Y18" s="72" t="s">
        <v>3278</v>
      </c>
      <c r="Z18" s="72" t="s">
        <v>2080</v>
      </c>
    </row>
    <row r="19" spans="1:33" ht="18.600000000000001" customHeight="1">
      <c r="A19" s="142">
        <f>IF(priority(Main[[#This Row],[Comments]])&lt;&gt;0, priority(Main[[#This Row],[Comments]]),"")</f>
        <v>2</v>
      </c>
      <c r="B19" s="90" t="s">
        <v>3345</v>
      </c>
      <c r="C19" s="72" t="s">
        <v>3401</v>
      </c>
      <c r="D19" s="73" t="s">
        <v>3403</v>
      </c>
      <c r="E19" s="74">
        <v>40919.122199074074</v>
      </c>
      <c r="F19" s="74">
        <v>41029</v>
      </c>
      <c r="G19" s="75">
        <f>IF(stdProdLT(Main[[#This Row],[Comments]])=0.1,"N/A",IF(stdProdLT(Main[[#This Row],[Comments]])=0,"",stdProdLT(Main[[#This Row],[Comments]])))</f>
        <v>140</v>
      </c>
      <c r="H19" s="76">
        <f>IF(AND(Main[[#This Row],[In Stock Date]]&lt;&gt;"",Main[[#This Row],[Revised Due Date]]&lt;&gt;""),Main[[#This Row],[In Stock Date]]-Main[[#This Row],[Revised Due Date]],"")</f>
        <v>74</v>
      </c>
      <c r="I19" s="72" t="s">
        <v>30</v>
      </c>
      <c r="J19" s="72" t="s">
        <v>21</v>
      </c>
      <c r="K19" s="72" t="s">
        <v>1944</v>
      </c>
      <c r="L19" s="74">
        <v>40920</v>
      </c>
      <c r="M19" s="77">
        <f>IF(Main[[#This Row],[Tech Start Date]]&lt;1/1/1990,"",IF(Main[[#This Row],[Class]]="C",WORKDAY(Main[[#This Row],[Tech Start Date]],9),IF(Main[[#This Row],[Class]]="B", WORKDAY(Main[[#This Row],[Tech Start Date]],6),IF(Main[[#This Row],[Class]]="A",WORKDAY(Main[[#This Row],[Tech Start Date]],2),""))))</f>
        <v>40928</v>
      </c>
      <c r="N19" s="77">
        <f>IF(Main[[#This Row],[Tech Start Date]]&lt;1/1/1990,"",IF(Main[[#This Row],[Class]]="C",WORKDAY(Main[[#This Row],[Tech Start Date]],19),IF(Main[[#This Row],[Class]]="B", WORKDAY(Main[[#This Row],[Tech Start Date]],12),IF(Main[[#This Row],[Class]]="A",WORKDAY(Main[[#This Row],[Tech Start Date]],4),""))))</f>
        <v>40938</v>
      </c>
      <c r="O19" s="77">
        <f>IF(Main[[#This Row],[Tech Start Date]]&lt;1/1/1990,"",IF(Main[[#This Row],[Class]]="C",WORKDAY(Main[[#This Row],[Tech Start Date]],23),IF(Main[[#This Row],[Class]]="B", WORKDAY(Main[[#This Row],[Tech Start Date]],15),IF(Main[[#This Row],[Class]]="A",WORKDAY(Main[[#This Row],[Tech Start Date]],5),""))))</f>
        <v>40941</v>
      </c>
      <c r="P19" s="77">
        <f>IF(Main[[#This Row],[Tech Start Date]]&lt;1/1/1990,"",IF(Main[[#This Row],[Class]]="C",WORKDAY(Main[[#This Row],[Tech Start Date]],28),IF(Main[[#This Row],[Class]]="B", WORKDAY(Main[[#This Row],[Tech Start Date]],19),IF(Main[[#This Row],[Class]]="A",WORKDAY(Main[[#This Row],[Tech Start Date]],9),""))))</f>
        <v>40947</v>
      </c>
      <c r="Q19" s="74">
        <v>40928</v>
      </c>
      <c r="R19" s="74">
        <v>40955</v>
      </c>
      <c r="S19" s="72" t="s">
        <v>11</v>
      </c>
      <c r="T19" s="80" t="s">
        <v>3555</v>
      </c>
      <c r="U19" s="72" t="s">
        <v>29</v>
      </c>
      <c r="V19" s="72" t="s">
        <v>1947</v>
      </c>
      <c r="W19" s="72" t="s">
        <v>1943</v>
      </c>
      <c r="X19" s="72" t="s">
        <v>3346</v>
      </c>
      <c r="Y19" s="72" t="s">
        <v>3347</v>
      </c>
      <c r="Z19" s="72" t="s">
        <v>536</v>
      </c>
    </row>
    <row r="20" spans="1:33" ht="18.600000000000001" customHeight="1">
      <c r="A20" s="142">
        <f>IF(priority(Main[[#This Row],[Comments]])&lt;&gt;0, priority(Main[[#This Row],[Comments]]),"")</f>
        <v>2</v>
      </c>
      <c r="B20" s="90" t="s">
        <v>2723</v>
      </c>
      <c r="C20" s="72" t="s">
        <v>33</v>
      </c>
      <c r="D20" s="73" t="s">
        <v>2953</v>
      </c>
      <c r="E20" s="74">
        <v>40849.421423611115</v>
      </c>
      <c r="F20" s="74">
        <v>41061</v>
      </c>
      <c r="G20" s="75">
        <f>IF(stdProdLT(Main[[#This Row],[Comments]])=0.1,"N/A",IF(stdProdLT(Main[[#This Row],[Comments]])=0,"",stdProdLT(Main[[#This Row],[Comments]])))</f>
        <v>112</v>
      </c>
      <c r="H20" s="76">
        <f>IF(AND(Main[[#This Row],[In Stock Date]]&lt;&gt;"",Main[[#This Row],[Revised Due Date]]&lt;&gt;""),Main[[#This Row],[In Stock Date]]-Main[[#This Row],[Revised Due Date]],"")</f>
        <v>133</v>
      </c>
      <c r="I20" s="72" t="s">
        <v>927</v>
      </c>
      <c r="J20" s="72" t="s">
        <v>52</v>
      </c>
      <c r="K20" s="72" t="s">
        <v>1944</v>
      </c>
      <c r="L20" s="74">
        <v>41235</v>
      </c>
      <c r="M20" s="77">
        <f>IF(Main[[#This Row],[Tech Start Date]]&lt;1/1/1990,"",IF(Main[[#This Row],[Class]]="C",WORKDAY(Main[[#This Row],[Tech Start Date]],9),IF(Main[[#This Row],[Class]]="B", WORKDAY(Main[[#This Row],[Tech Start Date]],6),IF(Main[[#This Row],[Class]]="A",WORKDAY(Main[[#This Row],[Tech Start Date]],2),""))))</f>
        <v>41243</v>
      </c>
      <c r="N20" s="77">
        <f>IF(Main[[#This Row],[Tech Start Date]]&lt;1/1/1990,"",IF(Main[[#This Row],[Class]]="C",WORKDAY(Main[[#This Row],[Tech Start Date]],19),IF(Main[[#This Row],[Class]]="B", WORKDAY(Main[[#This Row],[Tech Start Date]],12),IF(Main[[#This Row],[Class]]="A",WORKDAY(Main[[#This Row],[Tech Start Date]],4),""))))</f>
        <v>41253</v>
      </c>
      <c r="O20" s="77">
        <f>IF(Main[[#This Row],[Tech Start Date]]&lt;1/1/1990,"",IF(Main[[#This Row],[Class]]="C",WORKDAY(Main[[#This Row],[Tech Start Date]],23),IF(Main[[#This Row],[Class]]="B", WORKDAY(Main[[#This Row],[Tech Start Date]],15),IF(Main[[#This Row],[Class]]="A",WORKDAY(Main[[#This Row],[Tech Start Date]],5),""))))</f>
        <v>41256</v>
      </c>
      <c r="P20" s="77">
        <f>IF(Main[[#This Row],[Tech Start Date]]&lt;1/1/1990,"",IF(Main[[#This Row],[Class]]="C",WORKDAY(Main[[#This Row],[Tech Start Date]],28),IF(Main[[#This Row],[Class]]="B", WORKDAY(Main[[#This Row],[Tech Start Date]],19),IF(Main[[#This Row],[Class]]="A",WORKDAY(Main[[#This Row],[Tech Start Date]],9),""))))</f>
        <v>41262</v>
      </c>
      <c r="Q20" s="74">
        <v>40899</v>
      </c>
      <c r="R20" s="74">
        <v>40928</v>
      </c>
      <c r="S20" s="72" t="s">
        <v>11</v>
      </c>
      <c r="T20" s="80" t="s">
        <v>3571</v>
      </c>
      <c r="U20" s="72" t="s">
        <v>29</v>
      </c>
      <c r="V20" s="72" t="s">
        <v>1937</v>
      </c>
      <c r="W20" s="72" t="s">
        <v>1942</v>
      </c>
      <c r="X20" s="72" t="s">
        <v>3027</v>
      </c>
      <c r="Y20" s="72" t="s">
        <v>3179</v>
      </c>
      <c r="Z20" s="72" t="s">
        <v>129</v>
      </c>
    </row>
    <row r="21" spans="1:33" ht="18.600000000000001" customHeight="1">
      <c r="A21" s="142">
        <f>IF(priority(Main[[#This Row],[Comments]])&lt;&gt;0, priority(Main[[#This Row],[Comments]]),"")</f>
        <v>3</v>
      </c>
      <c r="B21" s="90" t="s">
        <v>1913</v>
      </c>
      <c r="C21" s="72" t="s">
        <v>961</v>
      </c>
      <c r="D21" s="73" t="s">
        <v>2697</v>
      </c>
      <c r="E21" s="74">
        <v>40694.711041666669</v>
      </c>
      <c r="F21" s="74"/>
      <c r="G21" s="75" t="str">
        <f>IF(stdProdLT(Main[[#This Row],[Comments]])=0.1,"N/A",IF(stdProdLT(Main[[#This Row],[Comments]])=0,"",stdProdLT(Main[[#This Row],[Comments]])))</f>
        <v/>
      </c>
      <c r="H21" s="76" t="str">
        <f>IF(AND(Main[[#This Row],[In Stock Date]]&lt;&gt;"",Main[[#This Row],[Revised Due Date]]&lt;&gt;""),Main[[#This Row],[In Stock Date]]-Main[[#This Row],[Revised Due Date]],"")</f>
        <v/>
      </c>
      <c r="I21" s="72" t="s">
        <v>962</v>
      </c>
      <c r="J21" s="72" t="s">
        <v>28</v>
      </c>
      <c r="K21" s="72" t="s">
        <v>1949</v>
      </c>
      <c r="L21" s="74">
        <v>40848</v>
      </c>
      <c r="M21" s="77" t="str">
        <f>IF(Main[[#This Row],[Tech Start Date]]&lt;1/1/1990,"",IF(Main[[#This Row],[Class]]="C",WORKDAY(Main[[#This Row],[Tech Start Date]],9),IF(Main[[#This Row],[Class]]="B", WORKDAY(Main[[#This Row],[Tech Start Date]],6),IF(Main[[#This Row],[Class]]="A",WORKDAY(Main[[#This Row],[Tech Start Date]],2),""))))</f>
        <v/>
      </c>
      <c r="N21" s="77" t="str">
        <f>IF(Main[[#This Row],[Tech Start Date]]&lt;1/1/1990,"",IF(Main[[#This Row],[Class]]="C",WORKDAY(Main[[#This Row],[Tech Start Date]],19),IF(Main[[#This Row],[Class]]="B", WORKDAY(Main[[#This Row],[Tech Start Date]],12),IF(Main[[#This Row],[Class]]="A",WORKDAY(Main[[#This Row],[Tech Start Date]],4),""))))</f>
        <v/>
      </c>
      <c r="O21" s="77" t="str">
        <f>IF(Main[[#This Row],[Tech Start Date]]&lt;1/1/1990,"",IF(Main[[#This Row],[Class]]="C",WORKDAY(Main[[#This Row],[Tech Start Date]],23),IF(Main[[#This Row],[Class]]="B", WORKDAY(Main[[#This Row],[Tech Start Date]],15),IF(Main[[#This Row],[Class]]="A",WORKDAY(Main[[#This Row],[Tech Start Date]],5),""))))</f>
        <v/>
      </c>
      <c r="P21" s="77" t="str">
        <f>IF(Main[[#This Row],[Tech Start Date]]&lt;1/1/1990,"",IF(Main[[#This Row],[Class]]="C",WORKDAY(Main[[#This Row],[Tech Start Date]],28),IF(Main[[#This Row],[Class]]="B", WORKDAY(Main[[#This Row],[Tech Start Date]],19),IF(Main[[#This Row],[Class]]="A",WORKDAY(Main[[#This Row],[Tech Start Date]],9),""))))</f>
        <v/>
      </c>
      <c r="Q21" s="74">
        <v>40729</v>
      </c>
      <c r="R21" s="74"/>
      <c r="S21" s="72" t="s">
        <v>17</v>
      </c>
      <c r="T21" s="80" t="s">
        <v>2698</v>
      </c>
      <c r="U21" s="72" t="s">
        <v>29</v>
      </c>
      <c r="V21" s="72" t="s">
        <v>1952</v>
      </c>
      <c r="W21" s="72" t="s">
        <v>1945</v>
      </c>
      <c r="X21" s="72" t="s">
        <v>3014</v>
      </c>
      <c r="Y21" s="72" t="s">
        <v>3164</v>
      </c>
      <c r="Z21" s="72" t="s">
        <v>2242</v>
      </c>
    </row>
    <row r="22" spans="1:33" ht="18.600000000000001" customHeight="1">
      <c r="A22" s="142">
        <f>IF(priority(Main[[#This Row],[Comments]])&lt;&gt;0, priority(Main[[#This Row],[Comments]]),"")</f>
        <v>3</v>
      </c>
      <c r="B22" s="90" t="s">
        <v>2875</v>
      </c>
      <c r="C22" s="72" t="s">
        <v>113</v>
      </c>
      <c r="D22" s="73" t="s">
        <v>3498</v>
      </c>
      <c r="E22" s="74">
        <v>40893.729259259257</v>
      </c>
      <c r="F22" s="74">
        <v>41054</v>
      </c>
      <c r="G22" s="75">
        <f>IF(stdProdLT(Main[[#This Row],[Comments]])=0.1,"N/A",IF(stdProdLT(Main[[#This Row],[Comments]])=0,"",stdProdLT(Main[[#This Row],[Comments]])))</f>
        <v>126</v>
      </c>
      <c r="H22" s="76">
        <f>IF(AND(Main[[#This Row],[In Stock Date]]&lt;&gt;"",Main[[#This Row],[Revised Due Date]]&lt;&gt;""),Main[[#This Row],[In Stock Date]]-Main[[#This Row],[Revised Due Date]],"")</f>
        <v>114</v>
      </c>
      <c r="I22" s="72" t="s">
        <v>927</v>
      </c>
      <c r="J22" s="72" t="s">
        <v>52</v>
      </c>
      <c r="K22" s="72" t="s">
        <v>1944</v>
      </c>
      <c r="L22" s="74">
        <v>40911</v>
      </c>
      <c r="M22" s="77">
        <f>IF(Main[[#This Row],[Tech Start Date]]&lt;1/1/1990,"",IF(Main[[#This Row],[Class]]="C",WORKDAY(Main[[#This Row],[Tech Start Date]],9),IF(Main[[#This Row],[Class]]="B", WORKDAY(Main[[#This Row],[Tech Start Date]],6),IF(Main[[#This Row],[Class]]="A",WORKDAY(Main[[#This Row],[Tech Start Date]],2),""))))</f>
        <v>40919</v>
      </c>
      <c r="N22" s="77">
        <f>IF(Main[[#This Row],[Tech Start Date]]&lt;1/1/1990,"",IF(Main[[#This Row],[Class]]="C",WORKDAY(Main[[#This Row],[Tech Start Date]],19),IF(Main[[#This Row],[Class]]="B", WORKDAY(Main[[#This Row],[Tech Start Date]],12),IF(Main[[#This Row],[Class]]="A",WORKDAY(Main[[#This Row],[Tech Start Date]],4),""))))</f>
        <v>40927</v>
      </c>
      <c r="O22" s="77">
        <f>IF(Main[[#This Row],[Tech Start Date]]&lt;1/1/1990,"",IF(Main[[#This Row],[Class]]="C",WORKDAY(Main[[#This Row],[Tech Start Date]],23),IF(Main[[#This Row],[Class]]="B", WORKDAY(Main[[#This Row],[Tech Start Date]],15),IF(Main[[#This Row],[Class]]="A",WORKDAY(Main[[#This Row],[Tech Start Date]],5),""))))</f>
        <v>40932</v>
      </c>
      <c r="P22" s="77">
        <f>IF(Main[[#This Row],[Tech Start Date]]&lt;1/1/1990,"",IF(Main[[#This Row],[Class]]="C",WORKDAY(Main[[#This Row],[Tech Start Date]],28),IF(Main[[#This Row],[Class]]="B", WORKDAY(Main[[#This Row],[Tech Start Date]],19),IF(Main[[#This Row],[Class]]="A",WORKDAY(Main[[#This Row],[Tech Start Date]],9),""))))</f>
        <v>40938</v>
      </c>
      <c r="Q22" s="74">
        <v>40946</v>
      </c>
      <c r="R22" s="74">
        <v>40940</v>
      </c>
      <c r="S22" s="72" t="s">
        <v>11</v>
      </c>
      <c r="T22" s="80" t="s">
        <v>3552</v>
      </c>
      <c r="U22" s="72" t="s">
        <v>29</v>
      </c>
      <c r="V22" s="72" t="s">
        <v>1937</v>
      </c>
      <c r="W22" s="72" t="s">
        <v>1943</v>
      </c>
      <c r="X22" s="72" t="s">
        <v>2985</v>
      </c>
      <c r="Y22" s="72" t="s">
        <v>3097</v>
      </c>
      <c r="Z22" s="72" t="s">
        <v>927</v>
      </c>
    </row>
    <row r="23" spans="1:33" ht="18.600000000000001" customHeight="1">
      <c r="A23" s="142">
        <f>IF(priority(Main[[#This Row],[Comments]])&lt;&gt;0, priority(Main[[#This Row],[Comments]]),"")</f>
        <v>3</v>
      </c>
      <c r="B23" s="90" t="s">
        <v>2868</v>
      </c>
      <c r="C23" s="72" t="s">
        <v>2774</v>
      </c>
      <c r="D23" s="73" t="s">
        <v>2869</v>
      </c>
      <c r="E23" s="74">
        <v>40914.441006944442</v>
      </c>
      <c r="F23" s="74">
        <v>40927</v>
      </c>
      <c r="G23" s="75" t="str">
        <f>IF(stdProdLT(Main[[#This Row],[Comments]])=0.1,"N/A",IF(stdProdLT(Main[[#This Row],[Comments]])=0,"",stdProdLT(Main[[#This Row],[Comments]])))</f>
        <v>N/A</v>
      </c>
      <c r="H23" s="76">
        <f>IF(AND(Main[[#This Row],[In Stock Date]]&lt;&gt;"",Main[[#This Row],[Revised Due Date]]&lt;&gt;""),Main[[#This Row],[In Stock Date]]-Main[[#This Row],[Revised Due Date]],"")</f>
        <v>-42</v>
      </c>
      <c r="I23" s="72" t="s">
        <v>2283</v>
      </c>
      <c r="J23" s="72" t="s">
        <v>28</v>
      </c>
      <c r="K23" s="72" t="s">
        <v>1950</v>
      </c>
      <c r="L23" s="74">
        <v>40924</v>
      </c>
      <c r="M23" s="77">
        <f>IF(Main[[#This Row],[Tech Start Date]]&lt;1/1/1990,"",IF(Main[[#This Row],[Class]]="C",WORKDAY(Main[[#This Row],[Tech Start Date]],9),IF(Main[[#This Row],[Class]]="B", WORKDAY(Main[[#This Row],[Tech Start Date]],6),IF(Main[[#This Row],[Class]]="A",WORKDAY(Main[[#This Row],[Tech Start Date]],2),""))))</f>
        <v>40935</v>
      </c>
      <c r="N23" s="77">
        <f>IF(Main[[#This Row],[Tech Start Date]]&lt;1/1/1990,"",IF(Main[[#This Row],[Class]]="C",WORKDAY(Main[[#This Row],[Tech Start Date]],19),IF(Main[[#This Row],[Class]]="B", WORKDAY(Main[[#This Row],[Tech Start Date]],12),IF(Main[[#This Row],[Class]]="A",WORKDAY(Main[[#This Row],[Tech Start Date]],4),""))))</f>
        <v>40949</v>
      </c>
      <c r="O23" s="77">
        <f>IF(Main[[#This Row],[Tech Start Date]]&lt;1/1/1990,"",IF(Main[[#This Row],[Class]]="C",WORKDAY(Main[[#This Row],[Tech Start Date]],23),IF(Main[[#This Row],[Class]]="B", WORKDAY(Main[[#This Row],[Tech Start Date]],15),IF(Main[[#This Row],[Class]]="A",WORKDAY(Main[[#This Row],[Tech Start Date]],5),""))))</f>
        <v>40955</v>
      </c>
      <c r="P23" s="77">
        <f>IF(Main[[#This Row],[Tech Start Date]]&lt;1/1/1990,"",IF(Main[[#This Row],[Class]]="C",WORKDAY(Main[[#This Row],[Tech Start Date]],28),IF(Main[[#This Row],[Class]]="B", WORKDAY(Main[[#This Row],[Tech Start Date]],19),IF(Main[[#This Row],[Class]]="A",WORKDAY(Main[[#This Row],[Tech Start Date]],9),""))))</f>
        <v>40962</v>
      </c>
      <c r="Q23" s="74">
        <v>40927</v>
      </c>
      <c r="R23" s="74">
        <v>40969</v>
      </c>
      <c r="S23" s="72" t="s">
        <v>11</v>
      </c>
      <c r="T23" s="80" t="s">
        <v>3441</v>
      </c>
      <c r="U23" s="72" t="s">
        <v>29</v>
      </c>
      <c r="V23" s="72" t="s">
        <v>1938</v>
      </c>
      <c r="W23" s="72" t="s">
        <v>1939</v>
      </c>
      <c r="X23" s="72" t="s">
        <v>2967</v>
      </c>
      <c r="Y23" s="72" t="s">
        <v>4</v>
      </c>
      <c r="Z23" s="72" t="s">
        <v>2080</v>
      </c>
    </row>
    <row r="24" spans="1:33" ht="18.600000000000001" customHeight="1">
      <c r="A24" s="142">
        <f>IF(priority(Main[[#This Row],[Comments]])&lt;&gt;0, priority(Main[[#This Row],[Comments]]),"")</f>
        <v>3</v>
      </c>
      <c r="B24" s="90" t="s">
        <v>3428</v>
      </c>
      <c r="C24" s="72" t="s">
        <v>3439</v>
      </c>
      <c r="D24" s="73" t="s">
        <v>3429</v>
      </c>
      <c r="E24" s="74">
        <v>40924.260347222225</v>
      </c>
      <c r="F24" s="74">
        <v>41029</v>
      </c>
      <c r="G24" s="75">
        <f>IF(stdProdLT(Main[[#This Row],[Comments]])=0.1,"N/A",IF(stdProdLT(Main[[#This Row],[Comments]])=0,"",stdProdLT(Main[[#This Row],[Comments]])))</f>
        <v>140</v>
      </c>
      <c r="H24" s="76">
        <f>IF(AND(Main[[#This Row],[In Stock Date]]&lt;&gt;"",Main[[#This Row],[Revised Due Date]]&lt;&gt;""),Main[[#This Row],[In Stock Date]]-Main[[#This Row],[Revised Due Date]],"")</f>
        <v>70</v>
      </c>
      <c r="I24" s="72" t="s">
        <v>30</v>
      </c>
      <c r="J24" s="72" t="s">
        <v>21</v>
      </c>
      <c r="K24" s="72" t="s">
        <v>1944</v>
      </c>
      <c r="L24" s="74">
        <v>40925</v>
      </c>
      <c r="M24" s="77">
        <f>IF(Main[[#This Row],[Tech Start Date]]&lt;1/1/1990,"",IF(Main[[#This Row],[Class]]="C",WORKDAY(Main[[#This Row],[Tech Start Date]],9),IF(Main[[#This Row],[Class]]="B", WORKDAY(Main[[#This Row],[Tech Start Date]],6),IF(Main[[#This Row],[Class]]="A",WORKDAY(Main[[#This Row],[Tech Start Date]],2),""))))</f>
        <v>40933</v>
      </c>
      <c r="N24" s="77">
        <f>IF(Main[[#This Row],[Tech Start Date]]&lt;1/1/1990,"",IF(Main[[#This Row],[Class]]="C",WORKDAY(Main[[#This Row],[Tech Start Date]],19),IF(Main[[#This Row],[Class]]="B", WORKDAY(Main[[#This Row],[Tech Start Date]],12),IF(Main[[#This Row],[Class]]="A",WORKDAY(Main[[#This Row],[Tech Start Date]],4),""))))</f>
        <v>40941</v>
      </c>
      <c r="O24" s="77">
        <f>IF(Main[[#This Row],[Tech Start Date]]&lt;1/1/1990,"",IF(Main[[#This Row],[Class]]="C",WORKDAY(Main[[#This Row],[Tech Start Date]],23),IF(Main[[#This Row],[Class]]="B", WORKDAY(Main[[#This Row],[Tech Start Date]],15),IF(Main[[#This Row],[Class]]="A",WORKDAY(Main[[#This Row],[Tech Start Date]],5),""))))</f>
        <v>40946</v>
      </c>
      <c r="P24" s="77">
        <f>IF(Main[[#This Row],[Tech Start Date]]&lt;1/1/1990,"",IF(Main[[#This Row],[Class]]="C",WORKDAY(Main[[#This Row],[Tech Start Date]],28),IF(Main[[#This Row],[Class]]="B", WORKDAY(Main[[#This Row],[Tech Start Date]],19),IF(Main[[#This Row],[Class]]="A",WORKDAY(Main[[#This Row],[Tech Start Date]],9),""))))</f>
        <v>40952</v>
      </c>
      <c r="Q24" s="74">
        <v>40959</v>
      </c>
      <c r="R24" s="74">
        <v>40959</v>
      </c>
      <c r="S24" s="72" t="s">
        <v>11</v>
      </c>
      <c r="T24" s="80" t="s">
        <v>3559</v>
      </c>
      <c r="U24" s="72" t="s">
        <v>29</v>
      </c>
      <c r="V24" s="72" t="s">
        <v>1947</v>
      </c>
      <c r="W24" s="72" t="s">
        <v>1943</v>
      </c>
      <c r="X24" s="72" t="s">
        <v>3346</v>
      </c>
      <c r="Y24" s="72" t="s">
        <v>3347</v>
      </c>
      <c r="Z24" s="72" t="s">
        <v>536</v>
      </c>
    </row>
    <row r="25" spans="1:33" ht="18.600000000000001" customHeight="1">
      <c r="A25" s="142">
        <f>IF(priority(Main[[#This Row],[Comments]])&lt;&gt;0, priority(Main[[#This Row],[Comments]]),"")</f>
        <v>4</v>
      </c>
      <c r="B25" s="90" t="s">
        <v>2604</v>
      </c>
      <c r="C25" s="72" t="s">
        <v>2605</v>
      </c>
      <c r="D25" s="73" t="s">
        <v>3082</v>
      </c>
      <c r="E25" s="74">
        <v>40855.339328703703</v>
      </c>
      <c r="F25" s="74">
        <v>40890</v>
      </c>
      <c r="G25" s="75">
        <f>IF(stdProdLT(Main[[#This Row],[Comments]])=0.1,"N/A",IF(stdProdLT(Main[[#This Row],[Comments]])=0,"",stdProdLT(Main[[#This Row],[Comments]])))</f>
        <v>84</v>
      </c>
      <c r="H25" s="76">
        <f>IF(AND(Main[[#This Row],[In Stock Date]]&lt;&gt;"",Main[[#This Row],[Revised Due Date]]&lt;&gt;""),Main[[#This Row],[In Stock Date]]-Main[[#This Row],[Revised Due Date]],"")</f>
        <v>-49</v>
      </c>
      <c r="I25" s="72" t="s">
        <v>126</v>
      </c>
      <c r="J25" s="72" t="s">
        <v>28</v>
      </c>
      <c r="K25" s="72" t="s">
        <v>4</v>
      </c>
      <c r="L25" s="74"/>
      <c r="M25" s="77" t="str">
        <f>IF(Main[[#This Row],[Tech Start Date]]&lt;1/1/1990,"",IF(Main[[#This Row],[Class]]="C",WORKDAY(Main[[#This Row],[Tech Start Date]],9),IF(Main[[#This Row],[Class]]="B", WORKDAY(Main[[#This Row],[Tech Start Date]],6),IF(Main[[#This Row],[Class]]="A",WORKDAY(Main[[#This Row],[Tech Start Date]],2),""))))</f>
        <v/>
      </c>
      <c r="N25" s="77" t="str">
        <f>IF(Main[[#This Row],[Tech Start Date]]&lt;1/1/1990,"",IF(Main[[#This Row],[Class]]="C",WORKDAY(Main[[#This Row],[Tech Start Date]],19),IF(Main[[#This Row],[Class]]="B", WORKDAY(Main[[#This Row],[Tech Start Date]],12),IF(Main[[#This Row],[Class]]="A",WORKDAY(Main[[#This Row],[Tech Start Date]],4),""))))</f>
        <v/>
      </c>
      <c r="O25" s="77" t="str">
        <f>IF(Main[[#This Row],[Tech Start Date]]&lt;1/1/1990,"",IF(Main[[#This Row],[Class]]="C",WORKDAY(Main[[#This Row],[Tech Start Date]],23),IF(Main[[#This Row],[Class]]="B", WORKDAY(Main[[#This Row],[Tech Start Date]],15),IF(Main[[#This Row],[Class]]="A",WORKDAY(Main[[#This Row],[Tech Start Date]],5),""))))</f>
        <v/>
      </c>
      <c r="P25" s="77" t="str">
        <f>IF(Main[[#This Row],[Tech Start Date]]&lt;1/1/1990,"",IF(Main[[#This Row],[Class]]="C",WORKDAY(Main[[#This Row],[Tech Start Date]],28),IF(Main[[#This Row],[Class]]="B", WORKDAY(Main[[#This Row],[Tech Start Date]],19),IF(Main[[#This Row],[Class]]="A",WORKDAY(Main[[#This Row],[Tech Start Date]],9),""))))</f>
        <v/>
      </c>
      <c r="Q25" s="74">
        <v>40877</v>
      </c>
      <c r="R25" s="74">
        <v>40939</v>
      </c>
      <c r="S25" s="72" t="s">
        <v>11</v>
      </c>
      <c r="T25" s="80" t="s">
        <v>3458</v>
      </c>
      <c r="U25" s="72" t="s">
        <v>29</v>
      </c>
      <c r="V25" s="72" t="s">
        <v>1937</v>
      </c>
      <c r="W25" s="72" t="s">
        <v>1951</v>
      </c>
      <c r="X25" s="72" t="s">
        <v>3057</v>
      </c>
      <c r="Y25" s="72" t="s">
        <v>3292</v>
      </c>
      <c r="Z25" s="72" t="s">
        <v>4</v>
      </c>
    </row>
    <row r="26" spans="1:33" ht="18.600000000000001" customHeight="1">
      <c r="A26" s="142">
        <f>IF(priority(Main[[#This Row],[Comments]])&lt;&gt;0, priority(Main[[#This Row],[Comments]]),"")</f>
        <v>4</v>
      </c>
      <c r="B26" s="90" t="s">
        <v>2042</v>
      </c>
      <c r="C26" s="72" t="s">
        <v>2019</v>
      </c>
      <c r="D26" s="73" t="s">
        <v>2924</v>
      </c>
      <c r="E26" s="74">
        <v>40744.420902777776</v>
      </c>
      <c r="F26" s="74">
        <v>41047</v>
      </c>
      <c r="G26" s="75">
        <f>IF(stdProdLT(Main[[#This Row],[Comments]])=0.1,"N/A",IF(stdProdLT(Main[[#This Row],[Comments]])=0,"",stdProdLT(Main[[#This Row],[Comments]])))</f>
        <v>168</v>
      </c>
      <c r="H26" s="76">
        <f>IF(AND(Main[[#This Row],[In Stock Date]]&lt;&gt;"",Main[[#This Row],[Revised Due Date]]&lt;&gt;""),Main[[#This Row],[In Stock Date]]-Main[[#This Row],[Revised Due Date]],"")</f>
        <v>108</v>
      </c>
      <c r="I26" s="72" t="s">
        <v>777</v>
      </c>
      <c r="J26" s="72" t="s">
        <v>52</v>
      </c>
      <c r="K26" s="72" t="s">
        <v>1950</v>
      </c>
      <c r="L26" s="74">
        <v>40758</v>
      </c>
      <c r="M26" s="77">
        <f>IF(Main[[#This Row],[Tech Start Date]]&lt;1/1/1990,"",IF(Main[[#This Row],[Class]]="C",WORKDAY(Main[[#This Row],[Tech Start Date]],9),IF(Main[[#This Row],[Class]]="B", WORKDAY(Main[[#This Row],[Tech Start Date]],6),IF(Main[[#This Row],[Class]]="A",WORKDAY(Main[[#This Row],[Tech Start Date]],2),""))))</f>
        <v>40771</v>
      </c>
      <c r="N26" s="77">
        <f>IF(Main[[#This Row],[Tech Start Date]]&lt;1/1/1990,"",IF(Main[[#This Row],[Class]]="C",WORKDAY(Main[[#This Row],[Tech Start Date]],19),IF(Main[[#This Row],[Class]]="B", WORKDAY(Main[[#This Row],[Tech Start Date]],12),IF(Main[[#This Row],[Class]]="A",WORKDAY(Main[[#This Row],[Tech Start Date]],4),""))))</f>
        <v>40785</v>
      </c>
      <c r="O26" s="77">
        <f>IF(Main[[#This Row],[Tech Start Date]]&lt;1/1/1990,"",IF(Main[[#This Row],[Class]]="C",WORKDAY(Main[[#This Row],[Tech Start Date]],23),IF(Main[[#This Row],[Class]]="B", WORKDAY(Main[[#This Row],[Tech Start Date]],15),IF(Main[[#This Row],[Class]]="A",WORKDAY(Main[[#This Row],[Tech Start Date]],5),""))))</f>
        <v>40791</v>
      </c>
      <c r="P26" s="77">
        <f>IF(Main[[#This Row],[Tech Start Date]]&lt;1/1/1990,"",IF(Main[[#This Row],[Class]]="C",WORKDAY(Main[[#This Row],[Tech Start Date]],28),IF(Main[[#This Row],[Class]]="B", WORKDAY(Main[[#This Row],[Tech Start Date]],19),IF(Main[[#This Row],[Class]]="A",WORKDAY(Main[[#This Row],[Tech Start Date]],9),""))))</f>
        <v>40798</v>
      </c>
      <c r="Q26" s="74">
        <v>40772</v>
      </c>
      <c r="R26" s="74">
        <v>40939</v>
      </c>
      <c r="S26" s="72" t="s">
        <v>11</v>
      </c>
      <c r="T26" s="80" t="s">
        <v>3505</v>
      </c>
      <c r="U26" s="72" t="s">
        <v>29</v>
      </c>
      <c r="V26" s="72" t="s">
        <v>1940</v>
      </c>
      <c r="W26" s="72" t="s">
        <v>1945</v>
      </c>
      <c r="X26" s="72" t="s">
        <v>3074</v>
      </c>
      <c r="Y26" s="72" t="s">
        <v>3315</v>
      </c>
      <c r="Z26" s="72" t="s">
        <v>536</v>
      </c>
    </row>
    <row r="27" spans="1:33" ht="18.600000000000001" customHeight="1">
      <c r="A27" s="142">
        <f>IF(priority(Main[[#This Row],[Comments]])&lt;&gt;0, priority(Main[[#This Row],[Comments]]),"")</f>
        <v>4</v>
      </c>
      <c r="B27" s="90" t="s">
        <v>2695</v>
      </c>
      <c r="C27" s="72" t="s">
        <v>2696</v>
      </c>
      <c r="D27" s="73" t="s">
        <v>2935</v>
      </c>
      <c r="E27" s="74">
        <v>40835.462650462963</v>
      </c>
      <c r="F27" s="74">
        <v>40928</v>
      </c>
      <c r="G27" s="75" t="str">
        <f>IF(stdProdLT(Main[[#This Row],[Comments]])=0.1,"N/A",IF(stdProdLT(Main[[#This Row],[Comments]])=0,"",stdProdLT(Main[[#This Row],[Comments]])))</f>
        <v>N/A</v>
      </c>
      <c r="H27" s="76">
        <f>IF(AND(Main[[#This Row],[In Stock Date]]&lt;&gt;"",Main[[#This Row],[Revised Due Date]]&lt;&gt;""),Main[[#This Row],[In Stock Date]]-Main[[#This Row],[Revised Due Date]],"")</f>
        <v>0</v>
      </c>
      <c r="I27" s="72" t="s">
        <v>2691</v>
      </c>
      <c r="J27" s="72" t="s">
        <v>28</v>
      </c>
      <c r="K27" s="72" t="s">
        <v>1950</v>
      </c>
      <c r="L27" s="74">
        <v>40848</v>
      </c>
      <c r="M27" s="77">
        <f>IF(Main[[#This Row],[Tech Start Date]]&lt;1/1/1990,"",IF(Main[[#This Row],[Class]]="C",WORKDAY(Main[[#This Row],[Tech Start Date]],9),IF(Main[[#This Row],[Class]]="B", WORKDAY(Main[[#This Row],[Tech Start Date]],6),IF(Main[[#This Row],[Class]]="A",WORKDAY(Main[[#This Row],[Tech Start Date]],2),""))))</f>
        <v>40861</v>
      </c>
      <c r="N27" s="77">
        <f>IF(Main[[#This Row],[Tech Start Date]]&lt;1/1/1990,"",IF(Main[[#This Row],[Class]]="C",WORKDAY(Main[[#This Row],[Tech Start Date]],19),IF(Main[[#This Row],[Class]]="B", WORKDAY(Main[[#This Row],[Tech Start Date]],12),IF(Main[[#This Row],[Class]]="A",WORKDAY(Main[[#This Row],[Tech Start Date]],4),""))))</f>
        <v>40875</v>
      </c>
      <c r="O27" s="77">
        <f>IF(Main[[#This Row],[Tech Start Date]]&lt;1/1/1990,"",IF(Main[[#This Row],[Class]]="C",WORKDAY(Main[[#This Row],[Tech Start Date]],23),IF(Main[[#This Row],[Class]]="B", WORKDAY(Main[[#This Row],[Tech Start Date]],15),IF(Main[[#This Row],[Class]]="A",WORKDAY(Main[[#This Row],[Tech Start Date]],5),""))))</f>
        <v>40879</v>
      </c>
      <c r="P27" s="77">
        <f>IF(Main[[#This Row],[Tech Start Date]]&lt;1/1/1990,"",IF(Main[[#This Row],[Class]]="C",WORKDAY(Main[[#This Row],[Tech Start Date]],28),IF(Main[[#This Row],[Class]]="B", WORKDAY(Main[[#This Row],[Tech Start Date]],19),IF(Main[[#This Row],[Class]]="A",WORKDAY(Main[[#This Row],[Tech Start Date]],9),""))))</f>
        <v>40886</v>
      </c>
      <c r="Q27" s="74">
        <v>40857</v>
      </c>
      <c r="R27" s="74">
        <v>40928</v>
      </c>
      <c r="S27" s="72" t="s">
        <v>11</v>
      </c>
      <c r="T27" s="80" t="s">
        <v>3468</v>
      </c>
      <c r="U27" s="72" t="s">
        <v>29</v>
      </c>
      <c r="V27" s="72" t="s">
        <v>1938</v>
      </c>
      <c r="W27" s="72" t="s">
        <v>1939</v>
      </c>
      <c r="X27" s="72" t="s">
        <v>3024</v>
      </c>
      <c r="Y27" s="72" t="s">
        <v>3154</v>
      </c>
      <c r="Z27" s="72" t="s">
        <v>2080</v>
      </c>
    </row>
    <row r="28" spans="1:33" ht="18.600000000000001" customHeight="1">
      <c r="A28" s="142">
        <f>IF(priority(Main[[#This Row],[Comments]])&lt;&gt;0, priority(Main[[#This Row],[Comments]]),"")</f>
        <v>4.0999999999999996</v>
      </c>
      <c r="B28" s="90" t="s">
        <v>3480</v>
      </c>
      <c r="C28" s="72" t="s">
        <v>702</v>
      </c>
      <c r="D28" s="73" t="s">
        <v>3481</v>
      </c>
      <c r="E28" s="74">
        <v>40924.708379629628</v>
      </c>
      <c r="F28" s="74">
        <v>42389</v>
      </c>
      <c r="G28" s="75" t="str">
        <f>IF(stdProdLT(Main[[#This Row],[Comments]])=0.1,"N/A",IF(stdProdLT(Main[[#This Row],[Comments]])=0,"",stdProdLT(Main[[#This Row],[Comments]])))</f>
        <v/>
      </c>
      <c r="H28" s="76" t="str">
        <f>IF(AND(Main[[#This Row],[In Stock Date]]&lt;&gt;"",Main[[#This Row],[Revised Due Date]]&lt;&gt;""),Main[[#This Row],[In Stock Date]]-Main[[#This Row],[Revised Due Date]],"")</f>
        <v/>
      </c>
      <c r="I28" s="72" t="s">
        <v>957</v>
      </c>
      <c r="J28" s="72" t="s">
        <v>28</v>
      </c>
      <c r="K28" s="72" t="s">
        <v>1950</v>
      </c>
      <c r="L28" s="74">
        <v>40925</v>
      </c>
      <c r="M28" s="77">
        <f>IF(Main[[#This Row],[Tech Start Date]]&lt;1/1/1990,"",IF(Main[[#This Row],[Class]]="C",WORKDAY(Main[[#This Row],[Tech Start Date]],9),IF(Main[[#This Row],[Class]]="B", WORKDAY(Main[[#This Row],[Tech Start Date]],6),IF(Main[[#This Row],[Class]]="A",WORKDAY(Main[[#This Row],[Tech Start Date]],2),""))))</f>
        <v>40938</v>
      </c>
      <c r="N28" s="77">
        <f>IF(Main[[#This Row],[Tech Start Date]]&lt;1/1/1990,"",IF(Main[[#This Row],[Class]]="C",WORKDAY(Main[[#This Row],[Tech Start Date]],19),IF(Main[[#This Row],[Class]]="B", WORKDAY(Main[[#This Row],[Tech Start Date]],12),IF(Main[[#This Row],[Class]]="A",WORKDAY(Main[[#This Row],[Tech Start Date]],4),""))))</f>
        <v>40952</v>
      </c>
      <c r="O28" s="77">
        <f>IF(Main[[#This Row],[Tech Start Date]]&lt;1/1/1990,"",IF(Main[[#This Row],[Class]]="C",WORKDAY(Main[[#This Row],[Tech Start Date]],23),IF(Main[[#This Row],[Class]]="B", WORKDAY(Main[[#This Row],[Tech Start Date]],15),IF(Main[[#This Row],[Class]]="A",WORKDAY(Main[[#This Row],[Tech Start Date]],5),""))))</f>
        <v>40956</v>
      </c>
      <c r="P28" s="77">
        <f>IF(Main[[#This Row],[Tech Start Date]]&lt;1/1/1990,"",IF(Main[[#This Row],[Class]]="C",WORKDAY(Main[[#This Row],[Tech Start Date]],28),IF(Main[[#This Row],[Class]]="B", WORKDAY(Main[[#This Row],[Tech Start Date]],19),IF(Main[[#This Row],[Class]]="A",WORKDAY(Main[[#This Row],[Tech Start Date]],9),""))))</f>
        <v>40963</v>
      </c>
      <c r="Q28" s="74">
        <v>40931</v>
      </c>
      <c r="R28" s="74"/>
      <c r="S28" s="72" t="s">
        <v>11</v>
      </c>
      <c r="T28" s="80" t="s">
        <v>3523</v>
      </c>
      <c r="U28" s="72" t="s">
        <v>7</v>
      </c>
      <c r="V28" s="72" t="s">
        <v>1938</v>
      </c>
      <c r="W28" s="72" t="s">
        <v>1939</v>
      </c>
      <c r="X28" s="72" t="s">
        <v>2967</v>
      </c>
      <c r="Y28" s="72" t="s">
        <v>4</v>
      </c>
      <c r="Z28" s="72" t="s">
        <v>2080</v>
      </c>
    </row>
    <row r="29" spans="1:33" ht="18.600000000000001" customHeight="1">
      <c r="A29" s="142">
        <f>IF(priority(Main[[#This Row],[Comments]])&lt;&gt;0, priority(Main[[#This Row],[Comments]]),"")</f>
        <v>5</v>
      </c>
      <c r="B29" s="90" t="s">
        <v>2840</v>
      </c>
      <c r="C29" s="72" t="s">
        <v>2841</v>
      </c>
      <c r="D29" s="73" t="s">
        <v>3453</v>
      </c>
      <c r="E29" s="74">
        <v>40899.057951388888</v>
      </c>
      <c r="F29" s="74"/>
      <c r="G29" s="75" t="str">
        <f>IF(stdProdLT(Main[[#This Row],[Comments]])=0.1,"N/A",IF(stdProdLT(Main[[#This Row],[Comments]])=0,"",stdProdLT(Main[[#This Row],[Comments]])))</f>
        <v>N/A</v>
      </c>
      <c r="H29" s="76" t="str">
        <f>IF(AND(Main[[#This Row],[In Stock Date]]&lt;&gt;"",Main[[#This Row],[Revised Due Date]]&lt;&gt;""),Main[[#This Row],[In Stock Date]]-Main[[#This Row],[Revised Due Date]],"")</f>
        <v/>
      </c>
      <c r="I29" s="72" t="s">
        <v>962</v>
      </c>
      <c r="J29" s="72" t="s">
        <v>28</v>
      </c>
      <c r="K29" s="72" t="s">
        <v>1950</v>
      </c>
      <c r="L29" s="74"/>
      <c r="M29" s="77" t="str">
        <f>IF(Main[[#This Row],[Tech Start Date]]&lt;1/1/1990,"",IF(Main[[#This Row],[Class]]="C",WORKDAY(Main[[#This Row],[Tech Start Date]],9),IF(Main[[#This Row],[Class]]="B", WORKDAY(Main[[#This Row],[Tech Start Date]],6),IF(Main[[#This Row],[Class]]="A",WORKDAY(Main[[#This Row],[Tech Start Date]],2),""))))</f>
        <v/>
      </c>
      <c r="N29" s="77" t="str">
        <f>IF(Main[[#This Row],[Tech Start Date]]&lt;1/1/1990,"",IF(Main[[#This Row],[Class]]="C",WORKDAY(Main[[#This Row],[Tech Start Date]],19),IF(Main[[#This Row],[Class]]="B", WORKDAY(Main[[#This Row],[Tech Start Date]],12),IF(Main[[#This Row],[Class]]="A",WORKDAY(Main[[#This Row],[Tech Start Date]],4),""))))</f>
        <v/>
      </c>
      <c r="O29" s="77" t="str">
        <f>IF(Main[[#This Row],[Tech Start Date]]&lt;1/1/1990,"",IF(Main[[#This Row],[Class]]="C",WORKDAY(Main[[#This Row],[Tech Start Date]],23),IF(Main[[#This Row],[Class]]="B", WORKDAY(Main[[#This Row],[Tech Start Date]],15),IF(Main[[#This Row],[Class]]="A",WORKDAY(Main[[#This Row],[Tech Start Date]],5),""))))</f>
        <v/>
      </c>
      <c r="P29" s="77" t="str">
        <f>IF(Main[[#This Row],[Tech Start Date]]&lt;1/1/1990,"",IF(Main[[#This Row],[Class]]="C",WORKDAY(Main[[#This Row],[Tech Start Date]],28),IF(Main[[#This Row],[Class]]="B", WORKDAY(Main[[#This Row],[Tech Start Date]],19),IF(Main[[#This Row],[Class]]="A",WORKDAY(Main[[#This Row],[Tech Start Date]],9),""))))</f>
        <v/>
      </c>
      <c r="Q29" s="74">
        <v>40921</v>
      </c>
      <c r="R29" s="74">
        <v>40968</v>
      </c>
      <c r="S29" s="72" t="s">
        <v>11</v>
      </c>
      <c r="T29" s="80" t="s">
        <v>3454</v>
      </c>
      <c r="U29" s="72" t="s">
        <v>7</v>
      </c>
      <c r="V29" s="72" t="s">
        <v>1938</v>
      </c>
      <c r="W29" s="72" t="s">
        <v>1939</v>
      </c>
      <c r="X29" s="72" t="s">
        <v>2987</v>
      </c>
      <c r="Y29" s="72" t="s">
        <v>4</v>
      </c>
      <c r="Z29" s="72" t="s">
        <v>2080</v>
      </c>
    </row>
    <row r="30" spans="1:33" ht="18.600000000000001" customHeight="1">
      <c r="A30" s="142">
        <f>IF(priority(Main[[#This Row],[Comments]])&lt;&gt;0, priority(Main[[#This Row],[Comments]]),"")</f>
        <v>5</v>
      </c>
      <c r="B30" s="90" t="s">
        <v>2175</v>
      </c>
      <c r="C30" s="72" t="s">
        <v>2051</v>
      </c>
      <c r="D30" s="73" t="s">
        <v>2176</v>
      </c>
      <c r="E30" s="74"/>
      <c r="F30" s="74">
        <v>40771</v>
      </c>
      <c r="G30" s="75">
        <f>IF(stdProdLT(Main[[#This Row],[Comments]])=0.1,"N/A",IF(stdProdLT(Main[[#This Row],[Comments]])=0,"",stdProdLT(Main[[#This Row],[Comments]])))</f>
        <v>154</v>
      </c>
      <c r="H30" s="76">
        <f>IF(AND(Main[[#This Row],[In Stock Date]]&lt;&gt;"",Main[[#This Row],[Revised Due Date]]&lt;&gt;""),Main[[#This Row],[In Stock Date]]-Main[[#This Row],[Revised Due Date]],"")</f>
        <v>-44</v>
      </c>
      <c r="I30" s="72" t="s">
        <v>957</v>
      </c>
      <c r="J30" s="72" t="s">
        <v>28</v>
      </c>
      <c r="K30" s="81" t="s">
        <v>1950</v>
      </c>
      <c r="L30" s="74">
        <v>40772</v>
      </c>
      <c r="M30" s="77">
        <f>IF(Main[[#This Row],[Tech Start Date]]&lt;1/1/1990,"",IF(Main[[#This Row],[Class]]="C",WORKDAY(Main[[#This Row],[Tech Start Date]],9),IF(Main[[#This Row],[Class]]="B", WORKDAY(Main[[#This Row],[Tech Start Date]],6),IF(Main[[#This Row],[Class]]="A",WORKDAY(Main[[#This Row],[Tech Start Date]],2),""))))</f>
        <v>40785</v>
      </c>
      <c r="N30" s="77">
        <f>IF(Main[[#This Row],[Tech Start Date]]&lt;1/1/1990,"",IF(Main[[#This Row],[Class]]="C",WORKDAY(Main[[#This Row],[Tech Start Date]],19),IF(Main[[#This Row],[Class]]="B", WORKDAY(Main[[#This Row],[Tech Start Date]],12),IF(Main[[#This Row],[Class]]="A",WORKDAY(Main[[#This Row],[Tech Start Date]],4),""))))</f>
        <v>40799</v>
      </c>
      <c r="O30" s="77">
        <f>IF(Main[[#This Row],[Tech Start Date]]&lt;1/1/1990,"",IF(Main[[#This Row],[Class]]="C",WORKDAY(Main[[#This Row],[Tech Start Date]],23),IF(Main[[#This Row],[Class]]="B", WORKDAY(Main[[#This Row],[Tech Start Date]],15),IF(Main[[#This Row],[Class]]="A",WORKDAY(Main[[#This Row],[Tech Start Date]],5),""))))</f>
        <v>40805</v>
      </c>
      <c r="P30" s="77">
        <f>IF(Main[[#This Row],[Tech Start Date]]&lt;1/1/1990,"",IF(Main[[#This Row],[Class]]="C",WORKDAY(Main[[#This Row],[Tech Start Date]],28),IF(Main[[#This Row],[Class]]="B", WORKDAY(Main[[#This Row],[Tech Start Date]],19),IF(Main[[#This Row],[Class]]="A",WORKDAY(Main[[#This Row],[Tech Start Date]],9),""))))</f>
        <v>40812</v>
      </c>
      <c r="Q30" s="74">
        <v>40771</v>
      </c>
      <c r="R30" s="74">
        <v>40815</v>
      </c>
      <c r="S30" s="72" t="s">
        <v>11</v>
      </c>
      <c r="T30" s="80" t="s">
        <v>2177</v>
      </c>
      <c r="U30" s="72" t="s">
        <v>14</v>
      </c>
      <c r="V30" s="72" t="s">
        <v>1938</v>
      </c>
      <c r="W30" s="72" t="s">
        <v>1945</v>
      </c>
      <c r="X30" s="72" t="s">
        <v>2967</v>
      </c>
      <c r="Y30" s="72" t="s">
        <v>4</v>
      </c>
      <c r="Z30" s="72" t="s">
        <v>2080</v>
      </c>
    </row>
    <row r="31" spans="1:33" ht="18.600000000000001" customHeight="1">
      <c r="A31" s="142">
        <f>IF(priority(Main[[#This Row],[Comments]])&lt;&gt;0, priority(Main[[#This Row],[Comments]]),"")</f>
        <v>5</v>
      </c>
      <c r="B31" s="90" t="s">
        <v>2649</v>
      </c>
      <c r="C31" s="72" t="s">
        <v>3554</v>
      </c>
      <c r="D31" s="73" t="s">
        <v>3545</v>
      </c>
      <c r="E31" s="74">
        <v>40848.443101851852</v>
      </c>
      <c r="F31" s="74">
        <v>41153</v>
      </c>
      <c r="G31" s="75">
        <f>IF(stdProdLT(Main[[#This Row],[Comments]])=0.1,"N/A",IF(stdProdLT(Main[[#This Row],[Comments]])=0,"",stdProdLT(Main[[#This Row],[Comments]])))</f>
        <v>126</v>
      </c>
      <c r="H31" s="76">
        <f>IF(AND(Main[[#This Row],[In Stock Date]]&lt;&gt;"",Main[[#This Row],[Revised Due Date]]&lt;&gt;""),Main[[#This Row],[In Stock Date]]-Main[[#This Row],[Revised Due Date]],"")</f>
        <v>225</v>
      </c>
      <c r="I31" s="72" t="s">
        <v>568</v>
      </c>
      <c r="J31" s="72" t="s">
        <v>21</v>
      </c>
      <c r="K31" s="72" t="s">
        <v>1944</v>
      </c>
      <c r="L31" s="74">
        <v>40918</v>
      </c>
      <c r="M31" s="77">
        <f>IF(Main[[#This Row],[Tech Start Date]]&lt;1/1/1990,"",IF(Main[[#This Row],[Class]]="C",WORKDAY(Main[[#This Row],[Tech Start Date]],9),IF(Main[[#This Row],[Class]]="B", WORKDAY(Main[[#This Row],[Tech Start Date]],6),IF(Main[[#This Row],[Class]]="A",WORKDAY(Main[[#This Row],[Tech Start Date]],2),""))))</f>
        <v>40926</v>
      </c>
      <c r="N31" s="77">
        <f>IF(Main[[#This Row],[Tech Start Date]]&lt;1/1/1990,"",IF(Main[[#This Row],[Class]]="C",WORKDAY(Main[[#This Row],[Tech Start Date]],19),IF(Main[[#This Row],[Class]]="B", WORKDAY(Main[[#This Row],[Tech Start Date]],12),IF(Main[[#This Row],[Class]]="A",WORKDAY(Main[[#This Row],[Tech Start Date]],4),""))))</f>
        <v>40934</v>
      </c>
      <c r="O31" s="77">
        <f>IF(Main[[#This Row],[Tech Start Date]]&lt;1/1/1990,"",IF(Main[[#This Row],[Class]]="C",WORKDAY(Main[[#This Row],[Tech Start Date]],23),IF(Main[[#This Row],[Class]]="B", WORKDAY(Main[[#This Row],[Tech Start Date]],15),IF(Main[[#This Row],[Class]]="A",WORKDAY(Main[[#This Row],[Tech Start Date]],5),""))))</f>
        <v>40939</v>
      </c>
      <c r="P31" s="77">
        <f>IF(Main[[#This Row],[Tech Start Date]]&lt;1/1/1990,"",IF(Main[[#This Row],[Class]]="C",WORKDAY(Main[[#This Row],[Tech Start Date]],28),IF(Main[[#This Row],[Class]]="B", WORKDAY(Main[[#This Row],[Tech Start Date]],19),IF(Main[[#This Row],[Class]]="A",WORKDAY(Main[[#This Row],[Tech Start Date]],9),""))))</f>
        <v>40945</v>
      </c>
      <c r="Q31" s="74">
        <v>41153</v>
      </c>
      <c r="R31" s="74">
        <v>40928</v>
      </c>
      <c r="S31" s="72" t="s">
        <v>11</v>
      </c>
      <c r="T31" s="80" t="s">
        <v>3570</v>
      </c>
      <c r="U31" s="72" t="s">
        <v>29</v>
      </c>
      <c r="V31" s="72" t="s">
        <v>1937</v>
      </c>
      <c r="W31" s="72" t="s">
        <v>1943</v>
      </c>
      <c r="X31" s="72" t="s">
        <v>3061</v>
      </c>
      <c r="Y31" s="72" t="s">
        <v>3088</v>
      </c>
      <c r="Z31" s="72" t="s">
        <v>129</v>
      </c>
    </row>
    <row r="32" spans="1:33" ht="18.600000000000001" customHeight="1">
      <c r="A32" s="142">
        <f>IF(priority(Main[[#This Row],[Comments]])&lt;&gt;0, priority(Main[[#This Row],[Comments]]),"")</f>
        <v>5</v>
      </c>
      <c r="B32" s="90" t="s">
        <v>2597</v>
      </c>
      <c r="C32" s="72" t="s">
        <v>2784</v>
      </c>
      <c r="D32" s="73" t="s">
        <v>2833</v>
      </c>
      <c r="E32" s="74">
        <v>40885.679664351854</v>
      </c>
      <c r="F32" s="74">
        <v>41000</v>
      </c>
      <c r="G32" s="75">
        <f>IF(stdProdLT(Main[[#This Row],[Comments]])=0.1,"N/A",IF(stdProdLT(Main[[#This Row],[Comments]])=0,"",stdProdLT(Main[[#This Row],[Comments]])))</f>
        <v>168</v>
      </c>
      <c r="H32" s="76">
        <f>IF(AND(Main[[#This Row],[In Stock Date]]&lt;&gt;"",Main[[#This Row],[Revised Due Date]]&lt;&gt;""),Main[[#This Row],[In Stock Date]]-Main[[#This Row],[Revised Due Date]],"")</f>
        <v>55</v>
      </c>
      <c r="I32" s="72" t="s">
        <v>495</v>
      </c>
      <c r="J32" s="72" t="s">
        <v>70</v>
      </c>
      <c r="K32" s="72" t="s">
        <v>1950</v>
      </c>
      <c r="L32" s="74">
        <v>41266</v>
      </c>
      <c r="M32" s="77">
        <f>IF(Main[[#This Row],[Tech Start Date]]&lt;1/1/1990,"",IF(Main[[#This Row],[Class]]="C",WORKDAY(Main[[#This Row],[Tech Start Date]],9),IF(Main[[#This Row],[Class]]="B", WORKDAY(Main[[#This Row],[Tech Start Date]],6),IF(Main[[#This Row],[Class]]="A",WORKDAY(Main[[#This Row],[Tech Start Date]],2),""))))</f>
        <v>41277</v>
      </c>
      <c r="N32" s="77">
        <f>IF(Main[[#This Row],[Tech Start Date]]&lt;1/1/1990,"",IF(Main[[#This Row],[Class]]="C",WORKDAY(Main[[#This Row],[Tech Start Date]],19),IF(Main[[#This Row],[Class]]="B", WORKDAY(Main[[#This Row],[Tech Start Date]],12),IF(Main[[#This Row],[Class]]="A",WORKDAY(Main[[#This Row],[Tech Start Date]],4),""))))</f>
        <v>41291</v>
      </c>
      <c r="O32" s="77">
        <f>IF(Main[[#This Row],[Tech Start Date]]&lt;1/1/1990,"",IF(Main[[#This Row],[Class]]="C",WORKDAY(Main[[#This Row],[Tech Start Date]],23),IF(Main[[#This Row],[Class]]="B", WORKDAY(Main[[#This Row],[Tech Start Date]],15),IF(Main[[#This Row],[Class]]="A",WORKDAY(Main[[#This Row],[Tech Start Date]],5),""))))</f>
        <v>41297</v>
      </c>
      <c r="P32" s="77">
        <f>IF(Main[[#This Row],[Tech Start Date]]&lt;1/1/1990,"",IF(Main[[#This Row],[Class]]="C",WORKDAY(Main[[#This Row],[Tech Start Date]],28),IF(Main[[#This Row],[Class]]="B", WORKDAY(Main[[#This Row],[Tech Start Date]],19),IF(Main[[#This Row],[Class]]="A",WORKDAY(Main[[#This Row],[Tech Start Date]],9),""))))</f>
        <v>41304</v>
      </c>
      <c r="Q32" s="74"/>
      <c r="R32" s="74">
        <v>40945</v>
      </c>
      <c r="S32" s="72" t="s">
        <v>11</v>
      </c>
      <c r="T32" s="80" t="s">
        <v>3521</v>
      </c>
      <c r="U32" s="72" t="s">
        <v>29</v>
      </c>
      <c r="V32" s="72" t="s">
        <v>1940</v>
      </c>
      <c r="W32" s="72" t="s">
        <v>1945</v>
      </c>
      <c r="X32" s="72" t="s">
        <v>3009</v>
      </c>
      <c r="Y32" s="72" t="s">
        <v>3156</v>
      </c>
      <c r="Z32" s="72" t="s">
        <v>81</v>
      </c>
      <c r="AG32" s="55"/>
    </row>
    <row r="33" spans="1:31" ht="18.600000000000001" customHeight="1">
      <c r="A33" s="142">
        <f>IF(priority(Main[[#This Row],[Comments]])&lt;&gt;0, priority(Main[[#This Row],[Comments]]),"")</f>
        <v>6</v>
      </c>
      <c r="B33" s="90" t="s">
        <v>2632</v>
      </c>
      <c r="C33" s="72" t="s">
        <v>2879</v>
      </c>
      <c r="D33" s="73" t="s">
        <v>2880</v>
      </c>
      <c r="E33" s="74">
        <v>40867.404594907406</v>
      </c>
      <c r="F33" s="74">
        <v>41000</v>
      </c>
      <c r="G33" s="75">
        <f>IF(stdProdLT(Main[[#This Row],[Comments]])=0.1,"N/A",IF(stdProdLT(Main[[#This Row],[Comments]])=0,"",stdProdLT(Main[[#This Row],[Comments]])))</f>
        <v>140</v>
      </c>
      <c r="H33" s="76">
        <f>IF(AND(Main[[#This Row],[In Stock Date]]&lt;&gt;"",Main[[#This Row],[Revised Due Date]]&lt;&gt;""),Main[[#This Row],[In Stock Date]]-Main[[#This Row],[Revised Due Date]],"")</f>
        <v>69</v>
      </c>
      <c r="I33" s="72" t="s">
        <v>435</v>
      </c>
      <c r="J33" s="72" t="s">
        <v>70</v>
      </c>
      <c r="K33" s="81" t="s">
        <v>4</v>
      </c>
      <c r="L33" s="74"/>
      <c r="M33" s="77" t="str">
        <f>IF(Main[[#This Row],[Tech Start Date]]&lt;1/1/1990,"",IF(Main[[#This Row],[Class]]="C",WORKDAY(Main[[#This Row],[Tech Start Date]],9),IF(Main[[#This Row],[Class]]="B", WORKDAY(Main[[#This Row],[Tech Start Date]],6),IF(Main[[#This Row],[Class]]="A",WORKDAY(Main[[#This Row],[Tech Start Date]],2),""))))</f>
        <v/>
      </c>
      <c r="N33" s="77" t="str">
        <f>IF(Main[[#This Row],[Tech Start Date]]&lt;1/1/1990,"",IF(Main[[#This Row],[Class]]="C",WORKDAY(Main[[#This Row],[Tech Start Date]],19),IF(Main[[#This Row],[Class]]="B", WORKDAY(Main[[#This Row],[Tech Start Date]],12),IF(Main[[#This Row],[Class]]="A",WORKDAY(Main[[#This Row],[Tech Start Date]],4),""))))</f>
        <v/>
      </c>
      <c r="O33" s="77" t="str">
        <f>IF(Main[[#This Row],[Tech Start Date]]&lt;1/1/1990,"",IF(Main[[#This Row],[Class]]="C",WORKDAY(Main[[#This Row],[Tech Start Date]],23),IF(Main[[#This Row],[Class]]="B", WORKDAY(Main[[#This Row],[Tech Start Date]],15),IF(Main[[#This Row],[Class]]="A",WORKDAY(Main[[#This Row],[Tech Start Date]],5),""))))</f>
        <v/>
      </c>
      <c r="P33" s="77" t="str">
        <f>IF(Main[[#This Row],[Tech Start Date]]&lt;1/1/1990,"",IF(Main[[#This Row],[Class]]="C",WORKDAY(Main[[#This Row],[Tech Start Date]],28),IF(Main[[#This Row],[Class]]="B", WORKDAY(Main[[#This Row],[Tech Start Date]],19),IF(Main[[#This Row],[Class]]="A",WORKDAY(Main[[#This Row],[Tech Start Date]],9),""))))</f>
        <v/>
      </c>
      <c r="Q33" s="74">
        <v>40877</v>
      </c>
      <c r="R33" s="74">
        <v>40931</v>
      </c>
      <c r="S33" s="72" t="s">
        <v>11</v>
      </c>
      <c r="T33" s="80" t="s">
        <v>3502</v>
      </c>
      <c r="U33" s="72" t="s">
        <v>29</v>
      </c>
      <c r="V33" s="72" t="s">
        <v>1940</v>
      </c>
      <c r="W33" s="72" t="s">
        <v>1945</v>
      </c>
      <c r="X33" s="72" t="s">
        <v>3009</v>
      </c>
      <c r="Y33" s="72" t="s">
        <v>3156</v>
      </c>
      <c r="Z33" s="72" t="s">
        <v>44</v>
      </c>
    </row>
    <row r="34" spans="1:31" ht="18.600000000000001" customHeight="1">
      <c r="A34" s="142">
        <f>IF(priority(Main[[#This Row],[Comments]])&lt;&gt;0, priority(Main[[#This Row],[Comments]]),"")</f>
        <v>6</v>
      </c>
      <c r="B34" s="90" t="s">
        <v>2707</v>
      </c>
      <c r="C34" s="72" t="s">
        <v>72</v>
      </c>
      <c r="D34" s="73" t="s">
        <v>2938</v>
      </c>
      <c r="E34" s="74">
        <v>40843.078125</v>
      </c>
      <c r="F34" s="74">
        <v>41122</v>
      </c>
      <c r="G34" s="75">
        <f>IF(stdProdLT(Main[[#This Row],[Comments]])=0.1,"N/A",IF(stdProdLT(Main[[#This Row],[Comments]])=0,"",stdProdLT(Main[[#This Row],[Comments]])))</f>
        <v>196</v>
      </c>
      <c r="H34" s="76">
        <f>IF(AND(Main[[#This Row],[In Stock Date]]&lt;&gt;"",Main[[#This Row],[Revised Due Date]]&lt;&gt;""),Main[[#This Row],[In Stock Date]]-Main[[#This Row],[Revised Due Date]],"")</f>
        <v>138</v>
      </c>
      <c r="I34" s="72" t="s">
        <v>2080</v>
      </c>
      <c r="J34" s="72" t="s">
        <v>28</v>
      </c>
      <c r="K34" s="72" t="s">
        <v>1950</v>
      </c>
      <c r="L34" s="74">
        <v>40849</v>
      </c>
      <c r="M34" s="77">
        <f>IF(Main[[#This Row],[Tech Start Date]]&lt;1/1/1990,"",IF(Main[[#This Row],[Class]]="C",WORKDAY(Main[[#This Row],[Tech Start Date]],9),IF(Main[[#This Row],[Class]]="B", WORKDAY(Main[[#This Row],[Tech Start Date]],6),IF(Main[[#This Row],[Class]]="A",WORKDAY(Main[[#This Row],[Tech Start Date]],2),""))))</f>
        <v>40862</v>
      </c>
      <c r="N34" s="77">
        <f>IF(Main[[#This Row],[Tech Start Date]]&lt;1/1/1990,"",IF(Main[[#This Row],[Class]]="C",WORKDAY(Main[[#This Row],[Tech Start Date]],19),IF(Main[[#This Row],[Class]]="B", WORKDAY(Main[[#This Row],[Tech Start Date]],12),IF(Main[[#This Row],[Class]]="A",WORKDAY(Main[[#This Row],[Tech Start Date]],4),""))))</f>
        <v>40876</v>
      </c>
      <c r="O34" s="77">
        <f>IF(Main[[#This Row],[Tech Start Date]]&lt;1/1/1990,"",IF(Main[[#This Row],[Class]]="C",WORKDAY(Main[[#This Row],[Tech Start Date]],23),IF(Main[[#This Row],[Class]]="B", WORKDAY(Main[[#This Row],[Tech Start Date]],15),IF(Main[[#This Row],[Class]]="A",WORKDAY(Main[[#This Row],[Tech Start Date]],5),""))))</f>
        <v>40882</v>
      </c>
      <c r="P34" s="77">
        <f>IF(Main[[#This Row],[Tech Start Date]]&lt;1/1/1990,"",IF(Main[[#This Row],[Class]]="C",WORKDAY(Main[[#This Row],[Tech Start Date]],28),IF(Main[[#This Row],[Class]]="B", WORKDAY(Main[[#This Row],[Tech Start Date]],19),IF(Main[[#This Row],[Class]]="A",WORKDAY(Main[[#This Row],[Tech Start Date]],9),""))))</f>
        <v>40889</v>
      </c>
      <c r="Q34" s="74"/>
      <c r="R34" s="74">
        <v>40984</v>
      </c>
      <c r="S34" s="72" t="s">
        <v>11</v>
      </c>
      <c r="T34" s="80" t="s">
        <v>3469</v>
      </c>
      <c r="U34" s="72" t="s">
        <v>29</v>
      </c>
      <c r="V34" s="72" t="s">
        <v>1938</v>
      </c>
      <c r="W34" s="72" t="s">
        <v>1945</v>
      </c>
      <c r="X34" s="72" t="s">
        <v>2999</v>
      </c>
      <c r="Y34" s="72" t="s">
        <v>3136</v>
      </c>
      <c r="Z34" s="72" t="s">
        <v>2080</v>
      </c>
      <c r="AE34" s="59"/>
    </row>
    <row r="35" spans="1:31" ht="18.600000000000001" customHeight="1">
      <c r="A35" s="142">
        <f>IF(priority(Main[[#This Row],[Comments]])&lt;&gt;0, priority(Main[[#This Row],[Comments]]),"")</f>
        <v>6</v>
      </c>
      <c r="B35" s="90" t="s">
        <v>2587</v>
      </c>
      <c r="C35" s="72" t="s">
        <v>3554</v>
      </c>
      <c r="D35" s="73" t="s">
        <v>3546</v>
      </c>
      <c r="E35" s="74">
        <v>40848.481932870367</v>
      </c>
      <c r="F35" s="74">
        <v>41153</v>
      </c>
      <c r="G35" s="75">
        <f>IF(stdProdLT(Main[[#This Row],[Comments]])=0.1,"N/A",IF(stdProdLT(Main[[#This Row],[Comments]])=0,"",stdProdLT(Main[[#This Row],[Comments]])))</f>
        <v>126</v>
      </c>
      <c r="H35" s="76">
        <f>IF(AND(Main[[#This Row],[In Stock Date]]&lt;&gt;"",Main[[#This Row],[Revised Due Date]]&lt;&gt;""),Main[[#This Row],[In Stock Date]]-Main[[#This Row],[Revised Due Date]],"")</f>
        <v>225</v>
      </c>
      <c r="I35" s="72" t="s">
        <v>126</v>
      </c>
      <c r="J35" s="72" t="s">
        <v>28</v>
      </c>
      <c r="K35" s="72" t="s">
        <v>1944</v>
      </c>
      <c r="L35" s="74">
        <v>40918</v>
      </c>
      <c r="M35" s="77">
        <f>IF(Main[[#This Row],[Tech Start Date]]&lt;1/1/1990,"",IF(Main[[#This Row],[Class]]="C",WORKDAY(Main[[#This Row],[Tech Start Date]],9),IF(Main[[#This Row],[Class]]="B", WORKDAY(Main[[#This Row],[Tech Start Date]],6),IF(Main[[#This Row],[Class]]="A",WORKDAY(Main[[#This Row],[Tech Start Date]],2),""))))</f>
        <v>40926</v>
      </c>
      <c r="N35" s="77">
        <f>IF(Main[[#This Row],[Tech Start Date]]&lt;1/1/1990,"",IF(Main[[#This Row],[Class]]="C",WORKDAY(Main[[#This Row],[Tech Start Date]],19),IF(Main[[#This Row],[Class]]="B", WORKDAY(Main[[#This Row],[Tech Start Date]],12),IF(Main[[#This Row],[Class]]="A",WORKDAY(Main[[#This Row],[Tech Start Date]],4),""))))</f>
        <v>40934</v>
      </c>
      <c r="O35" s="77">
        <f>IF(Main[[#This Row],[Tech Start Date]]&lt;1/1/1990,"",IF(Main[[#This Row],[Class]]="C",WORKDAY(Main[[#This Row],[Tech Start Date]],23),IF(Main[[#This Row],[Class]]="B", WORKDAY(Main[[#This Row],[Tech Start Date]],15),IF(Main[[#This Row],[Class]]="A",WORKDAY(Main[[#This Row],[Tech Start Date]],5),""))))</f>
        <v>40939</v>
      </c>
      <c r="P35" s="77">
        <f>IF(Main[[#This Row],[Tech Start Date]]&lt;1/1/1990,"",IF(Main[[#This Row],[Class]]="C",WORKDAY(Main[[#This Row],[Tech Start Date]],28),IF(Main[[#This Row],[Class]]="B", WORKDAY(Main[[#This Row],[Tech Start Date]],19),IF(Main[[#This Row],[Class]]="A",WORKDAY(Main[[#This Row],[Tech Start Date]],9),""))))</f>
        <v>40945</v>
      </c>
      <c r="Q35" s="74">
        <v>41153</v>
      </c>
      <c r="R35" s="74">
        <v>40928</v>
      </c>
      <c r="S35" s="72" t="s">
        <v>11</v>
      </c>
      <c r="T35" s="80" t="s">
        <v>3569</v>
      </c>
      <c r="U35" s="72" t="s">
        <v>7</v>
      </c>
      <c r="V35" s="72" t="s">
        <v>1937</v>
      </c>
      <c r="W35" s="72" t="s">
        <v>1943</v>
      </c>
      <c r="X35" s="72" t="s">
        <v>3061</v>
      </c>
      <c r="Y35" s="72" t="s">
        <v>3088</v>
      </c>
      <c r="Z35" s="72" t="s">
        <v>129</v>
      </c>
    </row>
    <row r="36" spans="1:31" ht="18.600000000000001" customHeight="1">
      <c r="A36" s="142">
        <f>IF(priority(Main[[#This Row],[Comments]])&lt;&gt;0, priority(Main[[#This Row],[Comments]]),"")</f>
        <v>7</v>
      </c>
      <c r="B36" s="90" t="s">
        <v>2893</v>
      </c>
      <c r="C36" s="72" t="s">
        <v>584</v>
      </c>
      <c r="D36" s="73" t="s">
        <v>3526</v>
      </c>
      <c r="E36" s="74">
        <v>40891.44258101852</v>
      </c>
      <c r="F36" s="74">
        <v>40923</v>
      </c>
      <c r="G36" s="75">
        <f>IF(stdProdLT(Main[[#This Row],[Comments]])=0.1,"N/A",IF(stdProdLT(Main[[#This Row],[Comments]])=0,"",stdProdLT(Main[[#This Row],[Comments]])))</f>
        <v>98</v>
      </c>
      <c r="H36" s="76">
        <f>IF(AND(Main[[#This Row],[In Stock Date]]&lt;&gt;"",Main[[#This Row],[Revised Due Date]]&lt;&gt;""),Main[[#This Row],[In Stock Date]]-Main[[#This Row],[Revised Due Date]],"")</f>
        <v>-5</v>
      </c>
      <c r="I36" s="72" t="s">
        <v>2283</v>
      </c>
      <c r="J36" s="72" t="s">
        <v>75</v>
      </c>
      <c r="K36" s="72" t="s">
        <v>1946</v>
      </c>
      <c r="L36" s="74"/>
      <c r="M36" s="77" t="str">
        <f>IF(Main[[#This Row],[Tech Start Date]]&lt;1/1/1990,"",IF(Main[[#This Row],[Class]]="C",WORKDAY(Main[[#This Row],[Tech Start Date]],9),IF(Main[[#This Row],[Class]]="B", WORKDAY(Main[[#This Row],[Tech Start Date]],6),IF(Main[[#This Row],[Class]]="A",WORKDAY(Main[[#This Row],[Tech Start Date]],2),""))))</f>
        <v/>
      </c>
      <c r="N36" s="77" t="str">
        <f>IF(Main[[#This Row],[Tech Start Date]]&lt;1/1/1990,"",IF(Main[[#This Row],[Class]]="C",WORKDAY(Main[[#This Row],[Tech Start Date]],19),IF(Main[[#This Row],[Class]]="B", WORKDAY(Main[[#This Row],[Tech Start Date]],12),IF(Main[[#This Row],[Class]]="A",WORKDAY(Main[[#This Row],[Tech Start Date]],4),""))))</f>
        <v/>
      </c>
      <c r="O36" s="77" t="str">
        <f>IF(Main[[#This Row],[Tech Start Date]]&lt;1/1/1990,"",IF(Main[[#This Row],[Class]]="C",WORKDAY(Main[[#This Row],[Tech Start Date]],23),IF(Main[[#This Row],[Class]]="B", WORKDAY(Main[[#This Row],[Tech Start Date]],15),IF(Main[[#This Row],[Class]]="A",WORKDAY(Main[[#This Row],[Tech Start Date]],5),""))))</f>
        <v/>
      </c>
      <c r="P36" s="77" t="str">
        <f>IF(Main[[#This Row],[Tech Start Date]]&lt;1/1/1990,"",IF(Main[[#This Row],[Class]]="C",WORKDAY(Main[[#This Row],[Tech Start Date]],28),IF(Main[[#This Row],[Class]]="B", WORKDAY(Main[[#This Row],[Tech Start Date]],19),IF(Main[[#This Row],[Class]]="A",WORKDAY(Main[[#This Row],[Tech Start Date]],9),""))))</f>
        <v/>
      </c>
      <c r="Q36" s="74"/>
      <c r="R36" s="74">
        <v>40928</v>
      </c>
      <c r="S36" s="72" t="s">
        <v>11</v>
      </c>
      <c r="T36" s="80" t="s">
        <v>3358</v>
      </c>
      <c r="U36" s="72" t="s">
        <v>29</v>
      </c>
      <c r="V36" s="72" t="s">
        <v>1938</v>
      </c>
      <c r="W36" s="72" t="s">
        <v>1942</v>
      </c>
      <c r="X36" s="72" t="s">
        <v>2967</v>
      </c>
      <c r="Y36" s="72" t="s">
        <v>3151</v>
      </c>
      <c r="Z36" s="72" t="s">
        <v>311</v>
      </c>
    </row>
    <row r="37" spans="1:31" ht="18.600000000000001" customHeight="1">
      <c r="A37" s="142">
        <f>IF(priority(Main[[#This Row],[Comments]])&lt;&gt;0, priority(Main[[#This Row],[Comments]]),"")</f>
        <v>7</v>
      </c>
      <c r="B37" s="90" t="s">
        <v>2240</v>
      </c>
      <c r="C37" s="72" t="s">
        <v>2241</v>
      </c>
      <c r="D37" s="73" t="s">
        <v>2927</v>
      </c>
      <c r="E37" s="74">
        <v>40786.584108796298</v>
      </c>
      <c r="F37" s="74">
        <v>40940</v>
      </c>
      <c r="G37" s="75">
        <f>IF(stdProdLT(Main[[#This Row],[Comments]])=0.1,"N/A",IF(stdProdLT(Main[[#This Row],[Comments]])=0,"",stdProdLT(Main[[#This Row],[Comments]])))</f>
        <v>112</v>
      </c>
      <c r="H37" s="76">
        <f>IF(AND(Main[[#This Row],[In Stock Date]]&lt;&gt;"",Main[[#This Row],[Revised Due Date]]&lt;&gt;""),Main[[#This Row],[In Stock Date]]-Main[[#This Row],[Revised Due Date]],"")</f>
        <v>1</v>
      </c>
      <c r="I37" s="72" t="s">
        <v>953</v>
      </c>
      <c r="J37" s="72" t="s">
        <v>28</v>
      </c>
      <c r="K37" s="72" t="s">
        <v>1944</v>
      </c>
      <c r="L37" s="74">
        <v>40792</v>
      </c>
      <c r="M37" s="77">
        <f>IF(Main[[#This Row],[Tech Start Date]]&lt;1/1/1990,"",IF(Main[[#This Row],[Class]]="C",WORKDAY(Main[[#This Row],[Tech Start Date]],9),IF(Main[[#This Row],[Class]]="B", WORKDAY(Main[[#This Row],[Tech Start Date]],6),IF(Main[[#This Row],[Class]]="A",WORKDAY(Main[[#This Row],[Tech Start Date]],2),""))))</f>
        <v>40800</v>
      </c>
      <c r="N37" s="77">
        <f>IF(Main[[#This Row],[Tech Start Date]]&lt;1/1/1990,"",IF(Main[[#This Row],[Class]]="C",WORKDAY(Main[[#This Row],[Tech Start Date]],19),IF(Main[[#This Row],[Class]]="B", WORKDAY(Main[[#This Row],[Tech Start Date]],12),IF(Main[[#This Row],[Class]]="A",WORKDAY(Main[[#This Row],[Tech Start Date]],4),""))))</f>
        <v>40808</v>
      </c>
      <c r="O37" s="77">
        <f>IF(Main[[#This Row],[Tech Start Date]]&lt;1/1/1990,"",IF(Main[[#This Row],[Class]]="C",WORKDAY(Main[[#This Row],[Tech Start Date]],23),IF(Main[[#This Row],[Class]]="B", WORKDAY(Main[[#This Row],[Tech Start Date]],15),IF(Main[[#This Row],[Class]]="A",WORKDAY(Main[[#This Row],[Tech Start Date]],5),""))))</f>
        <v>40813</v>
      </c>
      <c r="P37" s="77">
        <f>IF(Main[[#This Row],[Tech Start Date]]&lt;1/1/1990,"",IF(Main[[#This Row],[Class]]="C",WORKDAY(Main[[#This Row],[Tech Start Date]],28),IF(Main[[#This Row],[Class]]="B", WORKDAY(Main[[#This Row],[Tech Start Date]],19),IF(Main[[#This Row],[Class]]="A",WORKDAY(Main[[#This Row],[Tech Start Date]],9),""))))</f>
        <v>40819</v>
      </c>
      <c r="Q37" s="74">
        <v>40792</v>
      </c>
      <c r="R37" s="74">
        <v>40939</v>
      </c>
      <c r="S37" s="72" t="s">
        <v>11</v>
      </c>
      <c r="T37" s="80" t="s">
        <v>3464</v>
      </c>
      <c r="U37" s="72" t="s">
        <v>540</v>
      </c>
      <c r="V37" s="72" t="s">
        <v>1937</v>
      </c>
      <c r="W37" s="72" t="s">
        <v>1942</v>
      </c>
      <c r="X37" s="72" t="s">
        <v>2984</v>
      </c>
      <c r="Y37" s="72" t="s">
        <v>3141</v>
      </c>
      <c r="Z37" s="72" t="s">
        <v>129</v>
      </c>
    </row>
    <row r="38" spans="1:31" ht="18.600000000000001" customHeight="1">
      <c r="A38" s="142">
        <f>IF(priority(Main[[#This Row],[Comments]])&lt;&gt;0, priority(Main[[#This Row],[Comments]]),"")</f>
        <v>8</v>
      </c>
      <c r="B38" s="90" t="s">
        <v>2902</v>
      </c>
      <c r="C38" s="72" t="s">
        <v>2903</v>
      </c>
      <c r="D38" s="73" t="s">
        <v>3451</v>
      </c>
      <c r="E38" s="74">
        <v>40896.590370370373</v>
      </c>
      <c r="F38" s="74">
        <v>40918</v>
      </c>
      <c r="G38" s="75" t="str">
        <f>IF(stdProdLT(Main[[#This Row],[Comments]])=0.1,"N/A",IF(stdProdLT(Main[[#This Row],[Comments]])=0,"",stdProdLT(Main[[#This Row],[Comments]])))</f>
        <v>N/A</v>
      </c>
      <c r="H38" s="76">
        <f>IF(AND(Main[[#This Row],[In Stock Date]]&lt;&gt;"",Main[[#This Row],[Revised Due Date]]&lt;&gt;""),Main[[#This Row],[In Stock Date]]-Main[[#This Row],[Revised Due Date]],"")</f>
        <v>-13</v>
      </c>
      <c r="I38" s="72" t="s">
        <v>956</v>
      </c>
      <c r="J38" s="72" t="s">
        <v>28</v>
      </c>
      <c r="K38" s="81" t="s">
        <v>4</v>
      </c>
      <c r="L38" s="74"/>
      <c r="M38" s="77" t="str">
        <f>IF(Main[[#This Row],[Tech Start Date]]&lt;1/1/1990,"",IF(Main[[#This Row],[Class]]="C",WORKDAY(Main[[#This Row],[Tech Start Date]],9),IF(Main[[#This Row],[Class]]="B", WORKDAY(Main[[#This Row],[Tech Start Date]],6),IF(Main[[#This Row],[Class]]="A",WORKDAY(Main[[#This Row],[Tech Start Date]],2),""))))</f>
        <v/>
      </c>
      <c r="N38" s="77" t="str">
        <f>IF(Main[[#This Row],[Tech Start Date]]&lt;1/1/1990,"",IF(Main[[#This Row],[Class]]="C",WORKDAY(Main[[#This Row],[Tech Start Date]],19),IF(Main[[#This Row],[Class]]="B", WORKDAY(Main[[#This Row],[Tech Start Date]],12),IF(Main[[#This Row],[Class]]="A",WORKDAY(Main[[#This Row],[Tech Start Date]],4),""))))</f>
        <v/>
      </c>
      <c r="O38" s="77" t="str">
        <f>IF(Main[[#This Row],[Tech Start Date]]&lt;1/1/1990,"",IF(Main[[#This Row],[Class]]="C",WORKDAY(Main[[#This Row],[Tech Start Date]],23),IF(Main[[#This Row],[Class]]="B", WORKDAY(Main[[#This Row],[Tech Start Date]],15),IF(Main[[#This Row],[Class]]="A",WORKDAY(Main[[#This Row],[Tech Start Date]],5),""))))</f>
        <v/>
      </c>
      <c r="P38" s="77" t="str">
        <f>IF(Main[[#This Row],[Tech Start Date]]&lt;1/1/1990,"",IF(Main[[#This Row],[Class]]="C",WORKDAY(Main[[#This Row],[Tech Start Date]],28),IF(Main[[#This Row],[Class]]="B", WORKDAY(Main[[#This Row],[Tech Start Date]],19),IF(Main[[#This Row],[Class]]="A",WORKDAY(Main[[#This Row],[Tech Start Date]],9),""))))</f>
        <v/>
      </c>
      <c r="Q38" s="74">
        <v>40903</v>
      </c>
      <c r="R38" s="74">
        <v>40931</v>
      </c>
      <c r="S38" s="72" t="s">
        <v>11</v>
      </c>
      <c r="T38" s="80" t="s">
        <v>3452</v>
      </c>
      <c r="U38" s="72" t="s">
        <v>29</v>
      </c>
      <c r="V38" s="72" t="s">
        <v>1938</v>
      </c>
      <c r="W38" s="72" t="s">
        <v>1939</v>
      </c>
      <c r="X38" s="72" t="s">
        <v>2967</v>
      </c>
      <c r="Y38" s="72" t="s">
        <v>4</v>
      </c>
      <c r="Z38" s="72" t="s">
        <v>2080</v>
      </c>
    </row>
    <row r="39" spans="1:31" ht="18.600000000000001" customHeight="1">
      <c r="A39" s="142">
        <f>IF(priority(Main[[#This Row],[Comments]])&lt;&gt;0, priority(Main[[#This Row],[Comments]]),"")</f>
        <v>8</v>
      </c>
      <c r="B39" s="90" t="s">
        <v>1908</v>
      </c>
      <c r="C39" s="72" t="s">
        <v>955</v>
      </c>
      <c r="D39" s="73" t="s">
        <v>2920</v>
      </c>
      <c r="E39" s="74">
        <v>40617.624050925922</v>
      </c>
      <c r="F39" s="74">
        <v>40967</v>
      </c>
      <c r="G39" s="75">
        <f>IF(stdProdLT(Main[[#This Row],[Comments]])=0.1,"N/A",IF(stdProdLT(Main[[#This Row],[Comments]])=0,"",stdProdLT(Main[[#This Row],[Comments]])))</f>
        <v>112</v>
      </c>
      <c r="H39" s="76">
        <f>IF(AND(Main[[#This Row],[In Stock Date]]&lt;&gt;"",Main[[#This Row],[Revised Due Date]]&lt;&gt;""),Main[[#This Row],[In Stock Date]]-Main[[#This Row],[Revised Due Date]],"")</f>
        <v>90</v>
      </c>
      <c r="I39" s="72" t="s">
        <v>568</v>
      </c>
      <c r="J39" s="72" t="s">
        <v>28</v>
      </c>
      <c r="K39" s="81" t="s">
        <v>1950</v>
      </c>
      <c r="L39" s="74">
        <v>40666</v>
      </c>
      <c r="M39" s="77">
        <f>IF(Main[[#This Row],[Tech Start Date]]&lt;1/1/1990,"",IF(Main[[#This Row],[Class]]="C",WORKDAY(Main[[#This Row],[Tech Start Date]],9),IF(Main[[#This Row],[Class]]="B", WORKDAY(Main[[#This Row],[Tech Start Date]],6),IF(Main[[#This Row],[Class]]="A",WORKDAY(Main[[#This Row],[Tech Start Date]],2),""))))</f>
        <v>40679</v>
      </c>
      <c r="N39" s="77">
        <f>IF(Main[[#This Row],[Tech Start Date]]&lt;1/1/1990,"",IF(Main[[#This Row],[Class]]="C",WORKDAY(Main[[#This Row],[Tech Start Date]],19),IF(Main[[#This Row],[Class]]="B", WORKDAY(Main[[#This Row],[Tech Start Date]],12),IF(Main[[#This Row],[Class]]="A",WORKDAY(Main[[#This Row],[Tech Start Date]],4),""))))</f>
        <v>40693</v>
      </c>
      <c r="O39" s="77">
        <f>IF(Main[[#This Row],[Tech Start Date]]&lt;1/1/1990,"",IF(Main[[#This Row],[Class]]="C",WORKDAY(Main[[#This Row],[Tech Start Date]],23),IF(Main[[#This Row],[Class]]="B", WORKDAY(Main[[#This Row],[Tech Start Date]],15),IF(Main[[#This Row],[Class]]="A",WORKDAY(Main[[#This Row],[Tech Start Date]],5),""))))</f>
        <v>40697</v>
      </c>
      <c r="P39" s="77">
        <f>IF(Main[[#This Row],[Tech Start Date]]&lt;1/1/1990,"",IF(Main[[#This Row],[Class]]="C",WORKDAY(Main[[#This Row],[Tech Start Date]],28),IF(Main[[#This Row],[Class]]="B", WORKDAY(Main[[#This Row],[Tech Start Date]],19),IF(Main[[#This Row],[Class]]="A",WORKDAY(Main[[#This Row],[Tech Start Date]],9),""))))</f>
        <v>40704</v>
      </c>
      <c r="Q39" s="74">
        <v>40767</v>
      </c>
      <c r="R39" s="74">
        <v>40877</v>
      </c>
      <c r="S39" s="72" t="s">
        <v>11</v>
      </c>
      <c r="T39" s="80" t="s">
        <v>3459</v>
      </c>
      <c r="U39" s="72" t="s">
        <v>540</v>
      </c>
      <c r="V39" s="72" t="s">
        <v>1937</v>
      </c>
      <c r="W39" s="72" t="s">
        <v>1945</v>
      </c>
      <c r="X39" s="72" t="s">
        <v>3073</v>
      </c>
      <c r="Y39" s="72" t="s">
        <v>3310</v>
      </c>
      <c r="Z39" s="72" t="s">
        <v>129</v>
      </c>
    </row>
    <row r="40" spans="1:31" ht="18.600000000000001" customHeight="1">
      <c r="A40" s="142">
        <f>IF(priority(Main[[#This Row],[Comments]])&lt;&gt;0, priority(Main[[#This Row],[Comments]]),"")</f>
        <v>8</v>
      </c>
      <c r="B40" s="90" t="s">
        <v>2633</v>
      </c>
      <c r="C40" s="72" t="s">
        <v>2784</v>
      </c>
      <c r="D40" s="73" t="s">
        <v>2634</v>
      </c>
      <c r="E40" s="74">
        <v>40885.703090277777</v>
      </c>
      <c r="F40" s="74">
        <v>41000</v>
      </c>
      <c r="G40" s="75">
        <f>IF(stdProdLT(Main[[#This Row],[Comments]])=0.1,"N/A",IF(stdProdLT(Main[[#This Row],[Comments]])=0,"",stdProdLT(Main[[#This Row],[Comments]])))</f>
        <v>168</v>
      </c>
      <c r="H40" s="76">
        <f>IF(AND(Main[[#This Row],[In Stock Date]]&lt;&gt;"",Main[[#This Row],[Revised Due Date]]&lt;&gt;""),Main[[#This Row],[In Stock Date]]-Main[[#This Row],[Revised Due Date]],"")</f>
        <v>58</v>
      </c>
      <c r="I40" s="72" t="s">
        <v>435</v>
      </c>
      <c r="J40" s="72" t="s">
        <v>52</v>
      </c>
      <c r="K40" s="72" t="s">
        <v>1950</v>
      </c>
      <c r="L40" s="74">
        <v>40899</v>
      </c>
      <c r="M40" s="77">
        <f>IF(Main[[#This Row],[Tech Start Date]]&lt;1/1/1990,"",IF(Main[[#This Row],[Class]]="C",WORKDAY(Main[[#This Row],[Tech Start Date]],9),IF(Main[[#This Row],[Class]]="B", WORKDAY(Main[[#This Row],[Tech Start Date]],6),IF(Main[[#This Row],[Class]]="A",WORKDAY(Main[[#This Row],[Tech Start Date]],2),""))))</f>
        <v>40912</v>
      </c>
      <c r="N40" s="77">
        <f>IF(Main[[#This Row],[Tech Start Date]]&lt;1/1/1990,"",IF(Main[[#This Row],[Class]]="C",WORKDAY(Main[[#This Row],[Tech Start Date]],19),IF(Main[[#This Row],[Class]]="B", WORKDAY(Main[[#This Row],[Tech Start Date]],12),IF(Main[[#This Row],[Class]]="A",WORKDAY(Main[[#This Row],[Tech Start Date]],4),""))))</f>
        <v>40926</v>
      </c>
      <c r="O40" s="77">
        <f>IF(Main[[#This Row],[Tech Start Date]]&lt;1/1/1990,"",IF(Main[[#This Row],[Class]]="C",WORKDAY(Main[[#This Row],[Tech Start Date]],23),IF(Main[[#This Row],[Class]]="B", WORKDAY(Main[[#This Row],[Tech Start Date]],15),IF(Main[[#This Row],[Class]]="A",WORKDAY(Main[[#This Row],[Tech Start Date]],5),""))))</f>
        <v>40932</v>
      </c>
      <c r="P40" s="77">
        <f>IF(Main[[#This Row],[Tech Start Date]]&lt;1/1/1990,"",IF(Main[[#This Row],[Class]]="C",WORKDAY(Main[[#This Row],[Tech Start Date]],28),IF(Main[[#This Row],[Class]]="B", WORKDAY(Main[[#This Row],[Tech Start Date]],19),IF(Main[[#This Row],[Class]]="A",WORKDAY(Main[[#This Row],[Tech Start Date]],9),""))))</f>
        <v>40939</v>
      </c>
      <c r="Q40" s="74">
        <v>40877</v>
      </c>
      <c r="R40" s="74">
        <v>40942</v>
      </c>
      <c r="S40" s="72" t="s">
        <v>11</v>
      </c>
      <c r="T40" s="80" t="s">
        <v>3515</v>
      </c>
      <c r="U40" s="72" t="s">
        <v>29</v>
      </c>
      <c r="V40" s="72" t="s">
        <v>1940</v>
      </c>
      <c r="W40" s="72" t="s">
        <v>1945</v>
      </c>
      <c r="X40" s="72" t="s">
        <v>3009</v>
      </c>
      <c r="Y40" s="72" t="s">
        <v>3156</v>
      </c>
      <c r="Z40" s="72" t="s">
        <v>81</v>
      </c>
    </row>
    <row r="41" spans="1:31" ht="18.600000000000001" customHeight="1">
      <c r="A41" s="142">
        <f>IF(priority(Main[[#This Row],[Comments]])&lt;&gt;0, priority(Main[[#This Row],[Comments]]),"")</f>
        <v>9</v>
      </c>
      <c r="B41" s="90" t="s">
        <v>2128</v>
      </c>
      <c r="C41" s="72" t="s">
        <v>53</v>
      </c>
      <c r="D41" s="73" t="s">
        <v>2129</v>
      </c>
      <c r="E41" s="74"/>
      <c r="F41" s="74">
        <v>40789</v>
      </c>
      <c r="G41" s="75">
        <f>IF(stdProdLT(Main[[#This Row],[Comments]])=0.1,"N/A",IF(stdProdLT(Main[[#This Row],[Comments]])=0,"",stdProdLT(Main[[#This Row],[Comments]])))</f>
        <v>42</v>
      </c>
      <c r="H41" s="76">
        <f>IF(AND(Main[[#This Row],[In Stock Date]]&lt;&gt;"",Main[[#This Row],[Revised Due Date]]&lt;&gt;""),Main[[#This Row],[In Stock Date]]-Main[[#This Row],[Revised Due Date]],"")</f>
        <v>1</v>
      </c>
      <c r="I41" s="72" t="s">
        <v>957</v>
      </c>
      <c r="J41" s="72" t="s">
        <v>28</v>
      </c>
      <c r="K41" s="72" t="s">
        <v>4</v>
      </c>
      <c r="L41" s="74"/>
      <c r="M41" s="77" t="str">
        <f>IF(Main[[#This Row],[Tech Start Date]]&lt;1/1/1990,"",IF(Main[[#This Row],[Class]]="C",WORKDAY(Main[[#This Row],[Tech Start Date]],9),IF(Main[[#This Row],[Class]]="B", WORKDAY(Main[[#This Row],[Tech Start Date]],6),IF(Main[[#This Row],[Class]]="A",WORKDAY(Main[[#This Row],[Tech Start Date]],2),""))))</f>
        <v/>
      </c>
      <c r="N41" s="77" t="str">
        <f>IF(Main[[#This Row],[Tech Start Date]]&lt;1/1/1990,"",IF(Main[[#This Row],[Class]]="C",WORKDAY(Main[[#This Row],[Tech Start Date]],19),IF(Main[[#This Row],[Class]]="B", WORKDAY(Main[[#This Row],[Tech Start Date]],12),IF(Main[[#This Row],[Class]]="A",WORKDAY(Main[[#This Row],[Tech Start Date]],4),""))))</f>
        <v/>
      </c>
      <c r="O41" s="77" t="str">
        <f>IF(Main[[#This Row],[Tech Start Date]]&lt;1/1/1990,"",IF(Main[[#This Row],[Class]]="C",WORKDAY(Main[[#This Row],[Tech Start Date]],23),IF(Main[[#This Row],[Class]]="B", WORKDAY(Main[[#This Row],[Tech Start Date]],15),IF(Main[[#This Row],[Class]]="A",WORKDAY(Main[[#This Row],[Tech Start Date]],5),""))))</f>
        <v/>
      </c>
      <c r="P41" s="77" t="str">
        <f>IF(Main[[#This Row],[Tech Start Date]]&lt;1/1/1990,"",IF(Main[[#This Row],[Class]]="C",WORKDAY(Main[[#This Row],[Tech Start Date]],28),IF(Main[[#This Row],[Class]]="B", WORKDAY(Main[[#This Row],[Tech Start Date]],19),IF(Main[[#This Row],[Class]]="A",WORKDAY(Main[[#This Row],[Tech Start Date]],9),""))))</f>
        <v/>
      </c>
      <c r="Q41" s="74"/>
      <c r="R41" s="74">
        <v>40788</v>
      </c>
      <c r="S41" s="72" t="s">
        <v>11</v>
      </c>
      <c r="T41" s="80" t="s">
        <v>2130</v>
      </c>
      <c r="U41" s="72" t="s">
        <v>14</v>
      </c>
      <c r="V41" s="72" t="s">
        <v>1938</v>
      </c>
      <c r="W41" s="72" t="s">
        <v>1939</v>
      </c>
      <c r="X41" s="72" t="s">
        <v>2967</v>
      </c>
      <c r="Y41" s="72" t="s">
        <v>3151</v>
      </c>
      <c r="Z41" s="72" t="s">
        <v>2080</v>
      </c>
    </row>
    <row r="42" spans="1:31" ht="18.600000000000001" customHeight="1">
      <c r="A42" s="142">
        <f>IF(priority(Main[[#This Row],[Comments]])&lt;&gt;0, priority(Main[[#This Row],[Comments]]),"")</f>
        <v>9</v>
      </c>
      <c r="B42" s="90" t="s">
        <v>2746</v>
      </c>
      <c r="C42" s="72" t="s">
        <v>2747</v>
      </c>
      <c r="D42" s="73" t="s">
        <v>3081</v>
      </c>
      <c r="E42" s="74">
        <v>40882.451157407406</v>
      </c>
      <c r="F42" s="74">
        <v>40913</v>
      </c>
      <c r="G42" s="75" t="str">
        <f>IF(stdProdLT(Main[[#This Row],[Comments]])=0.1,"N/A",IF(stdProdLT(Main[[#This Row],[Comments]])=0,"",stdProdLT(Main[[#This Row],[Comments]])))</f>
        <v/>
      </c>
      <c r="H42" s="76">
        <f>IF(AND(Main[[#This Row],[In Stock Date]]&lt;&gt;"",Main[[#This Row],[Revised Due Date]]&lt;&gt;""),Main[[#This Row],[In Stock Date]]-Main[[#This Row],[Revised Due Date]],"")</f>
        <v>-18</v>
      </c>
      <c r="I42" s="72" t="s">
        <v>2283</v>
      </c>
      <c r="J42" s="72" t="s">
        <v>28</v>
      </c>
      <c r="K42" s="72" t="s">
        <v>1950</v>
      </c>
      <c r="L42" s="74">
        <v>40882</v>
      </c>
      <c r="M42" s="77">
        <f>IF(Main[[#This Row],[Tech Start Date]]&lt;1/1/1990,"",IF(Main[[#This Row],[Class]]="C",WORKDAY(Main[[#This Row],[Tech Start Date]],9),IF(Main[[#This Row],[Class]]="B", WORKDAY(Main[[#This Row],[Tech Start Date]],6),IF(Main[[#This Row],[Class]]="A",WORKDAY(Main[[#This Row],[Tech Start Date]],2),""))))</f>
        <v>40893</v>
      </c>
      <c r="N42" s="77">
        <f>IF(Main[[#This Row],[Tech Start Date]]&lt;1/1/1990,"",IF(Main[[#This Row],[Class]]="C",WORKDAY(Main[[#This Row],[Tech Start Date]],19),IF(Main[[#This Row],[Class]]="B", WORKDAY(Main[[#This Row],[Tech Start Date]],12),IF(Main[[#This Row],[Class]]="A",WORKDAY(Main[[#This Row],[Tech Start Date]],4),""))))</f>
        <v>40907</v>
      </c>
      <c r="O42" s="77">
        <f>IF(Main[[#This Row],[Tech Start Date]]&lt;1/1/1990,"",IF(Main[[#This Row],[Class]]="C",WORKDAY(Main[[#This Row],[Tech Start Date]],23),IF(Main[[#This Row],[Class]]="B", WORKDAY(Main[[#This Row],[Tech Start Date]],15),IF(Main[[#This Row],[Class]]="A",WORKDAY(Main[[#This Row],[Tech Start Date]],5),""))))</f>
        <v>40913</v>
      </c>
      <c r="P42" s="77">
        <f>IF(Main[[#This Row],[Tech Start Date]]&lt;1/1/1990,"",IF(Main[[#This Row],[Class]]="C",WORKDAY(Main[[#This Row],[Tech Start Date]],28),IF(Main[[#This Row],[Class]]="B", WORKDAY(Main[[#This Row],[Tech Start Date]],19),IF(Main[[#This Row],[Class]]="A",WORKDAY(Main[[#This Row],[Tech Start Date]],9),""))))</f>
        <v>40920</v>
      </c>
      <c r="Q42" s="74"/>
      <c r="R42" s="74">
        <v>40931</v>
      </c>
      <c r="S42" s="72" t="s">
        <v>11</v>
      </c>
      <c r="T42" s="80" t="s">
        <v>3530</v>
      </c>
      <c r="U42" s="72" t="s">
        <v>29</v>
      </c>
      <c r="V42" s="72" t="s">
        <v>1938</v>
      </c>
      <c r="W42" s="72" t="s">
        <v>1945</v>
      </c>
      <c r="X42" s="72" t="s">
        <v>2967</v>
      </c>
      <c r="Y42" s="72" t="s">
        <v>3151</v>
      </c>
      <c r="Z42" s="72" t="s">
        <v>2080</v>
      </c>
    </row>
    <row r="43" spans="1:31" ht="18.600000000000001" customHeight="1">
      <c r="A43" s="142">
        <f>IF(priority(Main[[#This Row],[Comments]])&lt;&gt;0, priority(Main[[#This Row],[Comments]]),"")</f>
        <v>9</v>
      </c>
      <c r="B43" s="90" t="s">
        <v>2944</v>
      </c>
      <c r="C43" s="72" t="s">
        <v>2784</v>
      </c>
      <c r="D43" s="73" t="s">
        <v>2945</v>
      </c>
      <c r="E43" s="74">
        <v>40895.424409722225</v>
      </c>
      <c r="F43" s="74">
        <v>41000</v>
      </c>
      <c r="G43" s="75">
        <f>IF(stdProdLT(Main[[#This Row],[Comments]])=0.1,"N/A",IF(stdProdLT(Main[[#This Row],[Comments]])=0,"",stdProdLT(Main[[#This Row],[Comments]])))</f>
        <v>168</v>
      </c>
      <c r="H43" s="76">
        <f>IF(AND(Main[[#This Row],[In Stock Date]]&lt;&gt;"",Main[[#This Row],[Revised Due Date]]&lt;&gt;""),Main[[#This Row],[In Stock Date]]-Main[[#This Row],[Revised Due Date]],"")</f>
        <v>75</v>
      </c>
      <c r="I43" s="72" t="s">
        <v>44</v>
      </c>
      <c r="J43" s="72" t="s">
        <v>52</v>
      </c>
      <c r="K43" s="72" t="s">
        <v>1946</v>
      </c>
      <c r="L43" s="74">
        <v>40904</v>
      </c>
      <c r="M43" s="77">
        <f>IF(Main[[#This Row],[Tech Start Date]]&lt;1/1/1990,"",IF(Main[[#This Row],[Class]]="C",WORKDAY(Main[[#This Row],[Tech Start Date]],9),IF(Main[[#This Row],[Class]]="B", WORKDAY(Main[[#This Row],[Tech Start Date]],6),IF(Main[[#This Row],[Class]]="A",WORKDAY(Main[[#This Row],[Tech Start Date]],2),""))))</f>
        <v>40906</v>
      </c>
      <c r="N43" s="77">
        <f>IF(Main[[#This Row],[Tech Start Date]]&lt;1/1/1990,"",IF(Main[[#This Row],[Class]]="C",WORKDAY(Main[[#This Row],[Tech Start Date]],19),IF(Main[[#This Row],[Class]]="B", WORKDAY(Main[[#This Row],[Tech Start Date]],12),IF(Main[[#This Row],[Class]]="A",WORKDAY(Main[[#This Row],[Tech Start Date]],4),""))))</f>
        <v>40910</v>
      </c>
      <c r="O43" s="77">
        <f>IF(Main[[#This Row],[Tech Start Date]]&lt;1/1/1990,"",IF(Main[[#This Row],[Class]]="C",WORKDAY(Main[[#This Row],[Tech Start Date]],23),IF(Main[[#This Row],[Class]]="B", WORKDAY(Main[[#This Row],[Tech Start Date]],15),IF(Main[[#This Row],[Class]]="A",WORKDAY(Main[[#This Row],[Tech Start Date]],5),""))))</f>
        <v>40911</v>
      </c>
      <c r="P43" s="77">
        <f>IF(Main[[#This Row],[Tech Start Date]]&lt;1/1/1990,"",IF(Main[[#This Row],[Class]]="C",WORKDAY(Main[[#This Row],[Tech Start Date]],28),IF(Main[[#This Row],[Class]]="B", WORKDAY(Main[[#This Row],[Tech Start Date]],19),IF(Main[[#This Row],[Class]]="A",WORKDAY(Main[[#This Row],[Tech Start Date]],9),""))))</f>
        <v>40917</v>
      </c>
      <c r="Q43" s="74">
        <v>40910</v>
      </c>
      <c r="R43" s="74">
        <v>40925</v>
      </c>
      <c r="S43" s="72" t="s">
        <v>11</v>
      </c>
      <c r="T43" s="80" t="s">
        <v>3516</v>
      </c>
      <c r="U43" s="72" t="s">
        <v>29</v>
      </c>
      <c r="V43" s="72" t="s">
        <v>1940</v>
      </c>
      <c r="W43" s="72" t="s">
        <v>1945</v>
      </c>
      <c r="X43" s="72" t="s">
        <v>3009</v>
      </c>
      <c r="Y43" s="72" t="s">
        <v>3156</v>
      </c>
      <c r="Z43" s="72" t="s">
        <v>536</v>
      </c>
    </row>
    <row r="44" spans="1:31" ht="18.600000000000001" customHeight="1">
      <c r="A44" s="142">
        <f>IF(priority(Main[[#This Row],[Comments]])&lt;&gt;0, priority(Main[[#This Row],[Comments]]),"")</f>
        <v>9</v>
      </c>
      <c r="B44" s="90" t="s">
        <v>2805</v>
      </c>
      <c r="C44" s="72" t="s">
        <v>2854</v>
      </c>
      <c r="D44" s="73" t="s">
        <v>3535</v>
      </c>
      <c r="E44" s="74">
        <v>40910.283854166664</v>
      </c>
      <c r="F44" s="74">
        <v>41005</v>
      </c>
      <c r="G44" s="75">
        <f>IF(stdProdLT(Main[[#This Row],[Comments]])=0.1,"N/A",IF(stdProdLT(Main[[#This Row],[Comments]])=0,"",stdProdLT(Main[[#This Row],[Comments]])))</f>
        <v>112</v>
      </c>
      <c r="H44" s="76">
        <f>IF(AND(Main[[#This Row],[In Stock Date]]&lt;&gt;"",Main[[#This Row],[Revised Due Date]]&lt;&gt;""),Main[[#This Row],[In Stock Date]]-Main[[#This Row],[Revised Due Date]],"")</f>
        <v>57</v>
      </c>
      <c r="I44" s="72" t="s">
        <v>927</v>
      </c>
      <c r="J44" s="72" t="s">
        <v>52</v>
      </c>
      <c r="K44" s="72" t="s">
        <v>1944</v>
      </c>
      <c r="L44" s="74">
        <v>40919</v>
      </c>
      <c r="M44" s="77">
        <f>IF(Main[[#This Row],[Tech Start Date]]&lt;1/1/1990,"",IF(Main[[#This Row],[Class]]="C",WORKDAY(Main[[#This Row],[Tech Start Date]],9),IF(Main[[#This Row],[Class]]="B", WORKDAY(Main[[#This Row],[Tech Start Date]],6),IF(Main[[#This Row],[Class]]="A",WORKDAY(Main[[#This Row],[Tech Start Date]],2),""))))</f>
        <v>40927</v>
      </c>
      <c r="N44" s="77">
        <f>IF(Main[[#This Row],[Tech Start Date]]&lt;1/1/1990,"",IF(Main[[#This Row],[Class]]="C",WORKDAY(Main[[#This Row],[Tech Start Date]],19),IF(Main[[#This Row],[Class]]="B", WORKDAY(Main[[#This Row],[Tech Start Date]],12),IF(Main[[#This Row],[Class]]="A",WORKDAY(Main[[#This Row],[Tech Start Date]],4),""))))</f>
        <v>40935</v>
      </c>
      <c r="O44" s="77">
        <f>IF(Main[[#This Row],[Tech Start Date]]&lt;1/1/1990,"",IF(Main[[#This Row],[Class]]="C",WORKDAY(Main[[#This Row],[Tech Start Date]],23),IF(Main[[#This Row],[Class]]="B", WORKDAY(Main[[#This Row],[Tech Start Date]],15),IF(Main[[#This Row],[Class]]="A",WORKDAY(Main[[#This Row],[Tech Start Date]],5),""))))</f>
        <v>40940</v>
      </c>
      <c r="P44" s="77">
        <f>IF(Main[[#This Row],[Tech Start Date]]&lt;1/1/1990,"",IF(Main[[#This Row],[Class]]="C",WORKDAY(Main[[#This Row],[Tech Start Date]],28),IF(Main[[#This Row],[Class]]="B", WORKDAY(Main[[#This Row],[Tech Start Date]],19),IF(Main[[#This Row],[Class]]="A",WORKDAY(Main[[#This Row],[Tech Start Date]],9),""))))</f>
        <v>40946</v>
      </c>
      <c r="Q44" s="74">
        <v>40924</v>
      </c>
      <c r="R44" s="74">
        <v>40948</v>
      </c>
      <c r="S44" s="72" t="s">
        <v>11</v>
      </c>
      <c r="T44" s="80" t="s">
        <v>3536</v>
      </c>
      <c r="U44" s="72" t="s">
        <v>29</v>
      </c>
      <c r="V44" s="72" t="s">
        <v>1937</v>
      </c>
      <c r="W44" s="72" t="s">
        <v>1945</v>
      </c>
      <c r="X44" s="72" t="s">
        <v>3009</v>
      </c>
      <c r="Y44" s="72" t="s">
        <v>3156</v>
      </c>
      <c r="Z44" s="72" t="s">
        <v>129</v>
      </c>
    </row>
    <row r="45" spans="1:31" ht="18.600000000000001" customHeight="1">
      <c r="A45" s="142">
        <f>IF(priority(Main[[#This Row],[Comments]])&lt;&gt;0, priority(Main[[#This Row],[Comments]]),"")</f>
        <v>9.1</v>
      </c>
      <c r="B45" s="90" t="s">
        <v>2012</v>
      </c>
      <c r="C45" s="72" t="s">
        <v>2013</v>
      </c>
      <c r="D45" s="73" t="s">
        <v>2014</v>
      </c>
      <c r="E45" s="74"/>
      <c r="F45" s="74"/>
      <c r="G45" s="75" t="str">
        <f>IF(stdProdLT(Main[[#This Row],[Comments]])=0.1,"N/A",IF(stdProdLT(Main[[#This Row],[Comments]])=0,"",stdProdLT(Main[[#This Row],[Comments]])))</f>
        <v/>
      </c>
      <c r="H45" s="76" t="str">
        <f>IF(AND(Main[[#This Row],[In Stock Date]]&lt;&gt;"",Main[[#This Row],[Revised Due Date]]&lt;&gt;""),Main[[#This Row],[In Stock Date]]-Main[[#This Row],[Revised Due Date]],"")</f>
        <v/>
      </c>
      <c r="I45" s="72" t="s">
        <v>957</v>
      </c>
      <c r="J45" s="72" t="s">
        <v>28</v>
      </c>
      <c r="K45" s="81" t="s">
        <v>4</v>
      </c>
      <c r="L45" s="74">
        <v>40745</v>
      </c>
      <c r="M45" s="77" t="str">
        <f>IF(Main[[#This Row],[Tech Start Date]]&lt;1/1/1990,"",IF(Main[[#This Row],[Class]]="C",WORKDAY(Main[[#This Row],[Tech Start Date]],9),IF(Main[[#This Row],[Class]]="B", WORKDAY(Main[[#This Row],[Tech Start Date]],6),IF(Main[[#This Row],[Class]]="A",WORKDAY(Main[[#This Row],[Tech Start Date]],2),""))))</f>
        <v/>
      </c>
      <c r="N45" s="77" t="str">
        <f>IF(Main[[#This Row],[Tech Start Date]]&lt;1/1/1990,"",IF(Main[[#This Row],[Class]]="C",WORKDAY(Main[[#This Row],[Tech Start Date]],19),IF(Main[[#This Row],[Class]]="B", WORKDAY(Main[[#This Row],[Tech Start Date]],12),IF(Main[[#This Row],[Class]]="A",WORKDAY(Main[[#This Row],[Tech Start Date]],4),""))))</f>
        <v/>
      </c>
      <c r="O45" s="77" t="str">
        <f>IF(Main[[#This Row],[Tech Start Date]]&lt;1/1/1990,"",IF(Main[[#This Row],[Class]]="C",WORKDAY(Main[[#This Row],[Tech Start Date]],23),IF(Main[[#This Row],[Class]]="B", WORKDAY(Main[[#This Row],[Tech Start Date]],15),IF(Main[[#This Row],[Class]]="A",WORKDAY(Main[[#This Row],[Tech Start Date]],5),""))))</f>
        <v/>
      </c>
      <c r="P45" s="77" t="str">
        <f>IF(Main[[#This Row],[Tech Start Date]]&lt;1/1/1990,"",IF(Main[[#This Row],[Class]]="C",WORKDAY(Main[[#This Row],[Tech Start Date]],28),IF(Main[[#This Row],[Class]]="B", WORKDAY(Main[[#This Row],[Tech Start Date]],19),IF(Main[[#This Row],[Class]]="A",WORKDAY(Main[[#This Row],[Tech Start Date]],9),""))))</f>
        <v/>
      </c>
      <c r="Q45" s="74"/>
      <c r="R45" s="74"/>
      <c r="S45" s="72" t="s">
        <v>11</v>
      </c>
      <c r="T45" s="80" t="s">
        <v>2015</v>
      </c>
      <c r="U45" s="72" t="s">
        <v>14</v>
      </c>
      <c r="V45" s="72" t="s">
        <v>1938</v>
      </c>
      <c r="W45" s="72" t="s">
        <v>1939</v>
      </c>
      <c r="X45" s="72" t="s">
        <v>2967</v>
      </c>
      <c r="Y45" s="72" t="s">
        <v>3151</v>
      </c>
      <c r="Z45" s="72" t="s">
        <v>3322</v>
      </c>
    </row>
    <row r="46" spans="1:31" ht="18.600000000000001" customHeight="1">
      <c r="A46" s="142">
        <f>IF(priority(Main[[#This Row],[Comments]])&lt;&gt;0, priority(Main[[#This Row],[Comments]]),"")</f>
        <v>10</v>
      </c>
      <c r="B46" s="90" t="s">
        <v>2441</v>
      </c>
      <c r="C46" s="72" t="s">
        <v>2442</v>
      </c>
      <c r="D46" s="73" t="s">
        <v>2941</v>
      </c>
      <c r="E46" s="74">
        <v>40849.653923611113</v>
      </c>
      <c r="F46" s="74">
        <v>41061</v>
      </c>
      <c r="G46" s="75">
        <f>IF(stdProdLT(Main[[#This Row],[Comments]])=0.1,"N/A",IF(stdProdLT(Main[[#This Row],[Comments]])=0,"",stdProdLT(Main[[#This Row],[Comments]])))</f>
        <v>112</v>
      </c>
      <c r="H46" s="76">
        <f>IF(AND(Main[[#This Row],[In Stock Date]]&lt;&gt;"",Main[[#This Row],[Revised Due Date]]&lt;&gt;""),Main[[#This Row],[In Stock Date]]-Main[[#This Row],[Revised Due Date]],"")</f>
        <v>105</v>
      </c>
      <c r="I46" s="72" t="s">
        <v>927</v>
      </c>
      <c r="J46" s="72" t="s">
        <v>52</v>
      </c>
      <c r="K46" s="72" t="s">
        <v>1944</v>
      </c>
      <c r="L46" s="74">
        <v>40879</v>
      </c>
      <c r="M46" s="77">
        <f>IF(Main[[#This Row],[Tech Start Date]]&lt;1/1/1990,"",IF(Main[[#This Row],[Class]]="C",WORKDAY(Main[[#This Row],[Tech Start Date]],9),IF(Main[[#This Row],[Class]]="B", WORKDAY(Main[[#This Row],[Tech Start Date]],6),IF(Main[[#This Row],[Class]]="A",WORKDAY(Main[[#This Row],[Tech Start Date]],2),""))))</f>
        <v>40889</v>
      </c>
      <c r="N46" s="77">
        <f>IF(Main[[#This Row],[Tech Start Date]]&lt;1/1/1990,"",IF(Main[[#This Row],[Class]]="C",WORKDAY(Main[[#This Row],[Tech Start Date]],19),IF(Main[[#This Row],[Class]]="B", WORKDAY(Main[[#This Row],[Tech Start Date]],12),IF(Main[[#This Row],[Class]]="A",WORKDAY(Main[[#This Row],[Tech Start Date]],4),""))))</f>
        <v>40897</v>
      </c>
      <c r="O46" s="77">
        <f>IF(Main[[#This Row],[Tech Start Date]]&lt;1/1/1990,"",IF(Main[[#This Row],[Class]]="C",WORKDAY(Main[[#This Row],[Tech Start Date]],23),IF(Main[[#This Row],[Class]]="B", WORKDAY(Main[[#This Row],[Tech Start Date]],15),IF(Main[[#This Row],[Class]]="A",WORKDAY(Main[[#This Row],[Tech Start Date]],5),""))))</f>
        <v>40900</v>
      </c>
      <c r="P46" s="77">
        <f>IF(Main[[#This Row],[Tech Start Date]]&lt;1/1/1990,"",IF(Main[[#This Row],[Class]]="C",WORKDAY(Main[[#This Row],[Tech Start Date]],28),IF(Main[[#This Row],[Class]]="B", WORKDAY(Main[[#This Row],[Tech Start Date]],19),IF(Main[[#This Row],[Class]]="A",WORKDAY(Main[[#This Row],[Tech Start Date]],9),""))))</f>
        <v>40906</v>
      </c>
      <c r="Q46" s="74"/>
      <c r="R46" s="74">
        <v>40956</v>
      </c>
      <c r="S46" s="72" t="s">
        <v>11</v>
      </c>
      <c r="T46" s="80" t="s">
        <v>3471</v>
      </c>
      <c r="U46" s="72" t="s">
        <v>29</v>
      </c>
      <c r="V46" s="72" t="s">
        <v>1937</v>
      </c>
      <c r="W46" s="72" t="s">
        <v>1945</v>
      </c>
      <c r="X46" s="72" t="s">
        <v>50</v>
      </c>
      <c r="Y46" s="72" t="s">
        <v>3320</v>
      </c>
      <c r="Z46" s="72" t="s">
        <v>129</v>
      </c>
    </row>
    <row r="47" spans="1:31" ht="18.600000000000001" customHeight="1">
      <c r="A47" s="142">
        <f>IF(priority(Main[[#This Row],[Comments]])&lt;&gt;0, priority(Main[[#This Row],[Comments]]),"")</f>
        <v>10</v>
      </c>
      <c r="B47" s="90" t="s">
        <v>2951</v>
      </c>
      <c r="C47" s="72" t="s">
        <v>2952</v>
      </c>
      <c r="D47" s="73" t="s">
        <v>3362</v>
      </c>
      <c r="E47" s="74">
        <v>40889.938506944447</v>
      </c>
      <c r="F47" s="74">
        <v>41029</v>
      </c>
      <c r="G47" s="75">
        <f>IF(stdProdLT(Main[[#This Row],[Comments]])=0.1,"N/A",IF(stdProdLT(Main[[#This Row],[Comments]])=0,"",stdProdLT(Main[[#This Row],[Comments]])))</f>
        <v>154</v>
      </c>
      <c r="H47" s="76" t="str">
        <f>IF(AND(Main[[#This Row],[In Stock Date]]&lt;&gt;"",Main[[#This Row],[Revised Due Date]]&lt;&gt;""),Main[[#This Row],[In Stock Date]]-Main[[#This Row],[Revised Due Date]],"")</f>
        <v/>
      </c>
      <c r="I47" s="72" t="s">
        <v>777</v>
      </c>
      <c r="J47" s="72" t="s">
        <v>28</v>
      </c>
      <c r="K47" s="72" t="s">
        <v>1944</v>
      </c>
      <c r="L47" s="74">
        <v>40904</v>
      </c>
      <c r="M47" s="77">
        <f>IF(Main[[#This Row],[Tech Start Date]]&lt;1/1/1990,"",IF(Main[[#This Row],[Class]]="C",WORKDAY(Main[[#This Row],[Tech Start Date]],9),IF(Main[[#This Row],[Class]]="B", WORKDAY(Main[[#This Row],[Tech Start Date]],6),IF(Main[[#This Row],[Class]]="A",WORKDAY(Main[[#This Row],[Tech Start Date]],2),""))))</f>
        <v>40912</v>
      </c>
      <c r="N47" s="77">
        <f>IF(Main[[#This Row],[Tech Start Date]]&lt;1/1/1990,"",IF(Main[[#This Row],[Class]]="C",WORKDAY(Main[[#This Row],[Tech Start Date]],19),IF(Main[[#This Row],[Class]]="B", WORKDAY(Main[[#This Row],[Tech Start Date]],12),IF(Main[[#This Row],[Class]]="A",WORKDAY(Main[[#This Row],[Tech Start Date]],4),""))))</f>
        <v>40920</v>
      </c>
      <c r="O47" s="77">
        <f>IF(Main[[#This Row],[Tech Start Date]]&lt;1/1/1990,"",IF(Main[[#This Row],[Class]]="C",WORKDAY(Main[[#This Row],[Tech Start Date]],23),IF(Main[[#This Row],[Class]]="B", WORKDAY(Main[[#This Row],[Tech Start Date]],15),IF(Main[[#This Row],[Class]]="A",WORKDAY(Main[[#This Row],[Tech Start Date]],5),""))))</f>
        <v>40925</v>
      </c>
      <c r="P47" s="77">
        <f>IF(Main[[#This Row],[Tech Start Date]]&lt;1/1/1990,"",IF(Main[[#This Row],[Class]]="C",WORKDAY(Main[[#This Row],[Tech Start Date]],28),IF(Main[[#This Row],[Class]]="B", WORKDAY(Main[[#This Row],[Tech Start Date]],19),IF(Main[[#This Row],[Class]]="A",WORKDAY(Main[[#This Row],[Tech Start Date]],9),""))))</f>
        <v>40931</v>
      </c>
      <c r="Q47" s="74">
        <v>40924</v>
      </c>
      <c r="R47" s="74"/>
      <c r="S47" s="72" t="s">
        <v>11</v>
      </c>
      <c r="T47" s="80" t="s">
        <v>3517</v>
      </c>
      <c r="U47" s="72" t="s">
        <v>540</v>
      </c>
      <c r="V47" s="72" t="s">
        <v>1940</v>
      </c>
      <c r="W47" s="72" t="s">
        <v>1942</v>
      </c>
      <c r="X47" s="72" t="s">
        <v>3078</v>
      </c>
      <c r="Y47" s="72" t="s">
        <v>4</v>
      </c>
      <c r="Z47" s="72" t="s">
        <v>536</v>
      </c>
    </row>
    <row r="48" spans="1:31" ht="18.600000000000001" customHeight="1">
      <c r="A48" s="142">
        <f>IF(priority(Main[[#This Row],[Comments]])&lt;&gt;0, priority(Main[[#This Row],[Comments]]),"")</f>
        <v>10</v>
      </c>
      <c r="B48" s="90" t="s">
        <v>2897</v>
      </c>
      <c r="C48" s="72" t="s">
        <v>2241</v>
      </c>
      <c r="D48" s="73" t="s">
        <v>3448</v>
      </c>
      <c r="E48" s="74">
        <v>40900.384641203702</v>
      </c>
      <c r="F48" s="74">
        <v>40935</v>
      </c>
      <c r="G48" s="75" t="str">
        <f>IF(stdProdLT(Main[[#This Row],[Comments]])=0.1,"N/A",IF(stdProdLT(Main[[#This Row],[Comments]])=0,"",stdProdLT(Main[[#This Row],[Comments]])))</f>
        <v>N/A</v>
      </c>
      <c r="H48" s="76">
        <f>IF(AND(Main[[#This Row],[In Stock Date]]&lt;&gt;"",Main[[#This Row],[Revised Due Date]]&lt;&gt;""),Main[[#This Row],[In Stock Date]]-Main[[#This Row],[Revised Due Date]],"")</f>
        <v>-4</v>
      </c>
      <c r="I48" s="72" t="s">
        <v>956</v>
      </c>
      <c r="J48" s="72" t="s">
        <v>28</v>
      </c>
      <c r="K48" s="81" t="s">
        <v>1950</v>
      </c>
      <c r="L48" s="74">
        <v>40911</v>
      </c>
      <c r="M48" s="77">
        <f>IF(Main[[#This Row],[Tech Start Date]]&lt;1/1/1990,"",IF(Main[[#This Row],[Class]]="C",WORKDAY(Main[[#This Row],[Tech Start Date]],9),IF(Main[[#This Row],[Class]]="B", WORKDAY(Main[[#This Row],[Tech Start Date]],6),IF(Main[[#This Row],[Class]]="A",WORKDAY(Main[[#This Row],[Tech Start Date]],2),""))))</f>
        <v>40924</v>
      </c>
      <c r="N48" s="77">
        <f>IF(Main[[#This Row],[Tech Start Date]]&lt;1/1/1990,"",IF(Main[[#This Row],[Class]]="C",WORKDAY(Main[[#This Row],[Tech Start Date]],19),IF(Main[[#This Row],[Class]]="B", WORKDAY(Main[[#This Row],[Tech Start Date]],12),IF(Main[[#This Row],[Class]]="A",WORKDAY(Main[[#This Row],[Tech Start Date]],4),""))))</f>
        <v>40938</v>
      </c>
      <c r="O48" s="77">
        <f>IF(Main[[#This Row],[Tech Start Date]]&lt;1/1/1990,"",IF(Main[[#This Row],[Class]]="C",WORKDAY(Main[[#This Row],[Tech Start Date]],23),IF(Main[[#This Row],[Class]]="B", WORKDAY(Main[[#This Row],[Tech Start Date]],15),IF(Main[[#This Row],[Class]]="A",WORKDAY(Main[[#This Row],[Tech Start Date]],5),""))))</f>
        <v>40942</v>
      </c>
      <c r="P48" s="77">
        <f>IF(Main[[#This Row],[Tech Start Date]]&lt;1/1/1990,"",IF(Main[[#This Row],[Class]]="C",WORKDAY(Main[[#This Row],[Tech Start Date]],28),IF(Main[[#This Row],[Class]]="B", WORKDAY(Main[[#This Row],[Tech Start Date]],19),IF(Main[[#This Row],[Class]]="A",WORKDAY(Main[[#This Row],[Tech Start Date]],9),""))))</f>
        <v>40949</v>
      </c>
      <c r="Q48" s="74">
        <v>40935</v>
      </c>
      <c r="R48" s="74">
        <v>40939</v>
      </c>
      <c r="S48" s="72" t="s">
        <v>11</v>
      </c>
      <c r="T48" s="80" t="s">
        <v>3449</v>
      </c>
      <c r="U48" s="72" t="s">
        <v>29</v>
      </c>
      <c r="V48" s="72" t="s">
        <v>1938</v>
      </c>
      <c r="W48" s="72" t="s">
        <v>1939</v>
      </c>
      <c r="X48" s="72" t="s">
        <v>2967</v>
      </c>
      <c r="Y48" s="72" t="s">
        <v>4</v>
      </c>
      <c r="Z48" s="72" t="s">
        <v>2080</v>
      </c>
    </row>
    <row r="49" spans="1:26" ht="18.600000000000001" customHeight="1">
      <c r="A49" s="142">
        <f>IF(priority(Main[[#This Row],[Comments]])&lt;&gt;0, priority(Main[[#This Row],[Comments]]),"")</f>
        <v>11</v>
      </c>
      <c r="B49" s="90" t="s">
        <v>2439</v>
      </c>
      <c r="C49" s="72" t="s">
        <v>2440</v>
      </c>
      <c r="D49" s="73" t="s">
        <v>2940</v>
      </c>
      <c r="E49" s="74">
        <v>40864.56318287037</v>
      </c>
      <c r="F49" s="74"/>
      <c r="G49" s="75" t="str">
        <f>IF(stdProdLT(Main[[#This Row],[Comments]])=0.1,"N/A",IF(stdProdLT(Main[[#This Row],[Comments]])=0,"",stdProdLT(Main[[#This Row],[Comments]])))</f>
        <v>N/A</v>
      </c>
      <c r="H49" s="76" t="str">
        <f>IF(AND(Main[[#This Row],[In Stock Date]]&lt;&gt;"",Main[[#This Row],[Revised Due Date]]&lt;&gt;""),Main[[#This Row],[In Stock Date]]-Main[[#This Row],[Revised Due Date]],"")</f>
        <v/>
      </c>
      <c r="I49" s="72" t="s">
        <v>957</v>
      </c>
      <c r="J49" s="72" t="s">
        <v>28</v>
      </c>
      <c r="K49" s="72" t="s">
        <v>1944</v>
      </c>
      <c r="L49" s="74">
        <v>40878</v>
      </c>
      <c r="M49" s="77">
        <f>IF(Main[[#This Row],[Tech Start Date]]&lt;1/1/1990,"",IF(Main[[#This Row],[Class]]="C",WORKDAY(Main[[#This Row],[Tech Start Date]],9),IF(Main[[#This Row],[Class]]="B", WORKDAY(Main[[#This Row],[Tech Start Date]],6),IF(Main[[#This Row],[Class]]="A",WORKDAY(Main[[#This Row],[Tech Start Date]],2),""))))</f>
        <v>40886</v>
      </c>
      <c r="N49" s="77">
        <f>IF(Main[[#This Row],[Tech Start Date]]&lt;1/1/1990,"",IF(Main[[#This Row],[Class]]="C",WORKDAY(Main[[#This Row],[Tech Start Date]],19),IF(Main[[#This Row],[Class]]="B", WORKDAY(Main[[#This Row],[Tech Start Date]],12),IF(Main[[#This Row],[Class]]="A",WORKDAY(Main[[#This Row],[Tech Start Date]],4),""))))</f>
        <v>40896</v>
      </c>
      <c r="O49" s="77">
        <f>IF(Main[[#This Row],[Tech Start Date]]&lt;1/1/1990,"",IF(Main[[#This Row],[Class]]="C",WORKDAY(Main[[#This Row],[Tech Start Date]],23),IF(Main[[#This Row],[Class]]="B", WORKDAY(Main[[#This Row],[Tech Start Date]],15),IF(Main[[#This Row],[Class]]="A",WORKDAY(Main[[#This Row],[Tech Start Date]],5),""))))</f>
        <v>40899</v>
      </c>
      <c r="P49" s="77">
        <f>IF(Main[[#This Row],[Tech Start Date]]&lt;1/1/1990,"",IF(Main[[#This Row],[Class]]="C",WORKDAY(Main[[#This Row],[Tech Start Date]],28),IF(Main[[#This Row],[Class]]="B", WORKDAY(Main[[#This Row],[Tech Start Date]],19),IF(Main[[#This Row],[Class]]="A",WORKDAY(Main[[#This Row],[Tech Start Date]],9),""))))</f>
        <v>40905</v>
      </c>
      <c r="Q49" s="74"/>
      <c r="R49" s="74">
        <v>40939</v>
      </c>
      <c r="S49" s="72" t="s">
        <v>11</v>
      </c>
      <c r="T49" s="80" t="s">
        <v>3361</v>
      </c>
      <c r="U49" s="72" t="s">
        <v>540</v>
      </c>
      <c r="V49" s="72" t="s">
        <v>1938</v>
      </c>
      <c r="W49" s="72" t="s">
        <v>1939</v>
      </c>
      <c r="X49" s="72" t="s">
        <v>2967</v>
      </c>
      <c r="Y49" s="72" t="s">
        <v>3151</v>
      </c>
      <c r="Z49" s="72" t="s">
        <v>2080</v>
      </c>
    </row>
    <row r="50" spans="1:26" ht="18.600000000000001" customHeight="1">
      <c r="A50" s="142">
        <f>IF(priority(Main[[#This Row],[Comments]])&lt;&gt;0, priority(Main[[#This Row],[Comments]]),"")</f>
        <v>11</v>
      </c>
      <c r="B50" s="90" t="s">
        <v>2622</v>
      </c>
      <c r="C50" s="72" t="s">
        <v>2392</v>
      </c>
      <c r="D50" s="73" t="s">
        <v>3491</v>
      </c>
      <c r="E50" s="74">
        <v>40850.148009259261</v>
      </c>
      <c r="F50" s="74">
        <v>41044</v>
      </c>
      <c r="G50" s="75">
        <f>IF(stdProdLT(Main[[#This Row],[Comments]])=0.1,"N/A",IF(stdProdLT(Main[[#This Row],[Comments]])=0,"",stdProdLT(Main[[#This Row],[Comments]])))</f>
        <v>168</v>
      </c>
      <c r="H50" s="76">
        <f>IF(AND(Main[[#This Row],[In Stock Date]]&lt;&gt;"",Main[[#This Row],[Revised Due Date]]&lt;&gt;""),Main[[#This Row],[In Stock Date]]-Main[[#This Row],[Revised Due Date]],"")</f>
        <v>116</v>
      </c>
      <c r="I50" s="72" t="s">
        <v>777</v>
      </c>
      <c r="J50" s="72" t="s">
        <v>52</v>
      </c>
      <c r="K50" s="72" t="s">
        <v>1944</v>
      </c>
      <c r="L50" s="74">
        <v>40878</v>
      </c>
      <c r="M50" s="77">
        <f>IF(Main[[#This Row],[Tech Start Date]]&lt;1/1/1990,"",IF(Main[[#This Row],[Class]]="C",WORKDAY(Main[[#This Row],[Tech Start Date]],9),IF(Main[[#This Row],[Class]]="B", WORKDAY(Main[[#This Row],[Tech Start Date]],6),IF(Main[[#This Row],[Class]]="A",WORKDAY(Main[[#This Row],[Tech Start Date]],2),""))))</f>
        <v>40886</v>
      </c>
      <c r="N50" s="77">
        <f>IF(Main[[#This Row],[Tech Start Date]]&lt;1/1/1990,"",IF(Main[[#This Row],[Class]]="C",WORKDAY(Main[[#This Row],[Tech Start Date]],19),IF(Main[[#This Row],[Class]]="B", WORKDAY(Main[[#This Row],[Tech Start Date]],12),IF(Main[[#This Row],[Class]]="A",WORKDAY(Main[[#This Row],[Tech Start Date]],4),""))))</f>
        <v>40896</v>
      </c>
      <c r="O50" s="77">
        <f>IF(Main[[#This Row],[Tech Start Date]]&lt;1/1/1990,"",IF(Main[[#This Row],[Class]]="C",WORKDAY(Main[[#This Row],[Tech Start Date]],23),IF(Main[[#This Row],[Class]]="B", WORKDAY(Main[[#This Row],[Tech Start Date]],15),IF(Main[[#This Row],[Class]]="A",WORKDAY(Main[[#This Row],[Tech Start Date]],5),""))))</f>
        <v>40899</v>
      </c>
      <c r="P50" s="77">
        <f>IF(Main[[#This Row],[Tech Start Date]]&lt;1/1/1990,"",IF(Main[[#This Row],[Class]]="C",WORKDAY(Main[[#This Row],[Tech Start Date]],28),IF(Main[[#This Row],[Class]]="B", WORKDAY(Main[[#This Row],[Tech Start Date]],19),IF(Main[[#This Row],[Class]]="A",WORKDAY(Main[[#This Row],[Tech Start Date]],9),""))))</f>
        <v>40905</v>
      </c>
      <c r="Q50" s="74"/>
      <c r="R50" s="74">
        <v>40928</v>
      </c>
      <c r="S50" s="72" t="s">
        <v>11</v>
      </c>
      <c r="T50" s="80" t="s">
        <v>3514</v>
      </c>
      <c r="U50" s="72" t="s">
        <v>29</v>
      </c>
      <c r="V50" s="72" t="s">
        <v>1940</v>
      </c>
      <c r="W50" s="72" t="s">
        <v>1945</v>
      </c>
      <c r="X50" s="72" t="s">
        <v>2995</v>
      </c>
      <c r="Y50" s="72" t="s">
        <v>4</v>
      </c>
      <c r="Z50" s="72" t="s">
        <v>536</v>
      </c>
    </row>
    <row r="51" spans="1:26" ht="18.600000000000001" customHeight="1">
      <c r="A51" s="142">
        <f>IF(priority(Main[[#This Row],[Comments]])&lt;&gt;0, priority(Main[[#This Row],[Comments]]),"")</f>
        <v>11</v>
      </c>
      <c r="B51" s="90" t="s">
        <v>3384</v>
      </c>
      <c r="C51" s="72" t="s">
        <v>3385</v>
      </c>
      <c r="D51" s="73" t="s">
        <v>3479</v>
      </c>
      <c r="E51" s="74">
        <v>40920.45616898148</v>
      </c>
      <c r="F51" s="74">
        <v>41105</v>
      </c>
      <c r="G51" s="75">
        <f>IF(stdProdLT(Main[[#This Row],[Comments]])=0.1,"N/A",IF(stdProdLT(Main[[#This Row],[Comments]])=0,"",stdProdLT(Main[[#This Row],[Comments]])))</f>
        <v>126</v>
      </c>
      <c r="H51" s="76">
        <f>IF(AND(Main[[#This Row],[In Stock Date]]&lt;&gt;"",Main[[#This Row],[Revised Due Date]]&lt;&gt;""),Main[[#This Row],[In Stock Date]]-Main[[#This Row],[Revised Due Date]],"")</f>
        <v>146</v>
      </c>
      <c r="I51" s="72" t="s">
        <v>568</v>
      </c>
      <c r="J51" s="72" t="s">
        <v>21</v>
      </c>
      <c r="K51" s="72" t="s">
        <v>1944</v>
      </c>
      <c r="L51" s="74">
        <v>40924</v>
      </c>
      <c r="M51" s="77">
        <f>IF(Main[[#This Row],[Tech Start Date]]&lt;1/1/1990,"",IF(Main[[#This Row],[Class]]="C",WORKDAY(Main[[#This Row],[Tech Start Date]],9),IF(Main[[#This Row],[Class]]="B", WORKDAY(Main[[#This Row],[Tech Start Date]],6),IF(Main[[#This Row],[Class]]="A",WORKDAY(Main[[#This Row],[Tech Start Date]],2),""))))</f>
        <v>40932</v>
      </c>
      <c r="N51" s="77">
        <f>IF(Main[[#This Row],[Tech Start Date]]&lt;1/1/1990,"",IF(Main[[#This Row],[Class]]="C",WORKDAY(Main[[#This Row],[Tech Start Date]],19),IF(Main[[#This Row],[Class]]="B", WORKDAY(Main[[#This Row],[Tech Start Date]],12),IF(Main[[#This Row],[Class]]="A",WORKDAY(Main[[#This Row],[Tech Start Date]],4),""))))</f>
        <v>40940</v>
      </c>
      <c r="O51" s="77">
        <f>IF(Main[[#This Row],[Tech Start Date]]&lt;1/1/1990,"",IF(Main[[#This Row],[Class]]="C",WORKDAY(Main[[#This Row],[Tech Start Date]],23),IF(Main[[#This Row],[Class]]="B", WORKDAY(Main[[#This Row],[Tech Start Date]],15),IF(Main[[#This Row],[Class]]="A",WORKDAY(Main[[#This Row],[Tech Start Date]],5),""))))</f>
        <v>40945</v>
      </c>
      <c r="P51" s="77">
        <f>IF(Main[[#This Row],[Tech Start Date]]&lt;1/1/1990,"",IF(Main[[#This Row],[Class]]="C",WORKDAY(Main[[#This Row],[Tech Start Date]],28),IF(Main[[#This Row],[Class]]="B", WORKDAY(Main[[#This Row],[Tech Start Date]],19),IF(Main[[#This Row],[Class]]="A",WORKDAY(Main[[#This Row],[Tech Start Date]],9),""))))</f>
        <v>40949</v>
      </c>
      <c r="Q51" s="74">
        <v>41105</v>
      </c>
      <c r="R51" s="74">
        <v>40959</v>
      </c>
      <c r="S51" s="72" t="s">
        <v>11</v>
      </c>
      <c r="T51" s="80" t="s">
        <v>3586</v>
      </c>
      <c r="U51" s="72" t="s">
        <v>29</v>
      </c>
      <c r="V51" s="72" t="s">
        <v>1937</v>
      </c>
      <c r="W51" s="72" t="s">
        <v>1943</v>
      </c>
      <c r="X51" s="72" t="s">
        <v>3004</v>
      </c>
      <c r="Y51" s="72" t="s">
        <v>3148</v>
      </c>
      <c r="Z51" s="72" t="s">
        <v>129</v>
      </c>
    </row>
    <row r="52" spans="1:26" ht="18.600000000000001" customHeight="1">
      <c r="A52" s="142">
        <f>IF(priority(Main[[#This Row],[Comments]])&lt;&gt;0, priority(Main[[#This Row],[Comments]]),"")</f>
        <v>12</v>
      </c>
      <c r="B52" s="90" t="s">
        <v>2020</v>
      </c>
      <c r="C52" s="72" t="s">
        <v>53</v>
      </c>
      <c r="D52" s="73" t="s">
        <v>2923</v>
      </c>
      <c r="E52" s="74">
        <v>40735.69803240741</v>
      </c>
      <c r="F52" s="74">
        <v>40836</v>
      </c>
      <c r="G52" s="75" t="str">
        <f>IF(stdProdLT(Main[[#This Row],[Comments]])=0.1,"N/A",IF(stdProdLT(Main[[#This Row],[Comments]])=0,"",stdProdLT(Main[[#This Row],[Comments]])))</f>
        <v>N/A</v>
      </c>
      <c r="H52" s="76">
        <f>IF(AND(Main[[#This Row],[In Stock Date]]&lt;&gt;"",Main[[#This Row],[Revised Due Date]]&lt;&gt;""),Main[[#This Row],[In Stock Date]]-Main[[#This Row],[Revised Due Date]],"")</f>
        <v>-95</v>
      </c>
      <c r="I52" s="72" t="s">
        <v>957</v>
      </c>
      <c r="J52" s="72" t="s">
        <v>28</v>
      </c>
      <c r="K52" s="72" t="s">
        <v>1944</v>
      </c>
      <c r="L52" s="74">
        <v>40756</v>
      </c>
      <c r="M52" s="77">
        <f>IF(Main[[#This Row],[Tech Start Date]]&lt;1/1/1990,"",IF(Main[[#This Row],[Class]]="C",WORKDAY(Main[[#This Row],[Tech Start Date]],9),IF(Main[[#This Row],[Class]]="B", WORKDAY(Main[[#This Row],[Tech Start Date]],6),IF(Main[[#This Row],[Class]]="A",WORKDAY(Main[[#This Row],[Tech Start Date]],2),""))))</f>
        <v>40764</v>
      </c>
      <c r="N52" s="77">
        <f>IF(Main[[#This Row],[Tech Start Date]]&lt;1/1/1990,"",IF(Main[[#This Row],[Class]]="C",WORKDAY(Main[[#This Row],[Tech Start Date]],19),IF(Main[[#This Row],[Class]]="B", WORKDAY(Main[[#This Row],[Tech Start Date]],12),IF(Main[[#This Row],[Class]]="A",WORKDAY(Main[[#This Row],[Tech Start Date]],4),""))))</f>
        <v>40772</v>
      </c>
      <c r="O52" s="77">
        <f>IF(Main[[#This Row],[Tech Start Date]]&lt;1/1/1990,"",IF(Main[[#This Row],[Class]]="C",WORKDAY(Main[[#This Row],[Tech Start Date]],23),IF(Main[[#This Row],[Class]]="B", WORKDAY(Main[[#This Row],[Tech Start Date]],15),IF(Main[[#This Row],[Class]]="A",WORKDAY(Main[[#This Row],[Tech Start Date]],5),""))))</f>
        <v>40777</v>
      </c>
      <c r="P52" s="77">
        <f>IF(Main[[#This Row],[Tech Start Date]]&lt;1/1/1990,"",IF(Main[[#This Row],[Class]]="C",WORKDAY(Main[[#This Row],[Tech Start Date]],28),IF(Main[[#This Row],[Class]]="B", WORKDAY(Main[[#This Row],[Tech Start Date]],19),IF(Main[[#This Row],[Class]]="A",WORKDAY(Main[[#This Row],[Tech Start Date]],9),""))))</f>
        <v>40781</v>
      </c>
      <c r="Q52" s="74"/>
      <c r="R52" s="74">
        <v>40931</v>
      </c>
      <c r="S52" s="72" t="s">
        <v>11</v>
      </c>
      <c r="T52" s="80" t="s">
        <v>3462</v>
      </c>
      <c r="U52" s="72" t="s">
        <v>7</v>
      </c>
      <c r="V52" s="72" t="s">
        <v>1938</v>
      </c>
      <c r="W52" s="72" t="s">
        <v>1939</v>
      </c>
      <c r="X52" s="72" t="s">
        <v>2967</v>
      </c>
      <c r="Y52" s="72" t="s">
        <v>3151</v>
      </c>
      <c r="Z52" s="72" t="s">
        <v>2080</v>
      </c>
    </row>
    <row r="53" spans="1:26" ht="18.600000000000001" customHeight="1">
      <c r="A53" s="142">
        <f>IF(priority(Main[[#This Row],[Comments]])&lt;&gt;0, priority(Main[[#This Row],[Comments]]),"")</f>
        <v>12</v>
      </c>
      <c r="B53" s="90" t="s">
        <v>2543</v>
      </c>
      <c r="C53" s="72" t="s">
        <v>2392</v>
      </c>
      <c r="D53" s="73" t="s">
        <v>2544</v>
      </c>
      <c r="E53" s="74">
        <v>40850.123124999998</v>
      </c>
      <c r="F53" s="74">
        <v>41044</v>
      </c>
      <c r="G53" s="75">
        <f>IF(stdProdLT(Main[[#This Row],[Comments]])=0.1,"N/A",IF(stdProdLT(Main[[#This Row],[Comments]])=0,"",stdProdLT(Main[[#This Row],[Comments]])))</f>
        <v>168</v>
      </c>
      <c r="H53" s="76">
        <f>IF(AND(Main[[#This Row],[In Stock Date]]&lt;&gt;"",Main[[#This Row],[Revised Due Date]]&lt;&gt;""),Main[[#This Row],[In Stock Date]]-Main[[#This Row],[Revised Due Date]],"")</f>
        <v>111</v>
      </c>
      <c r="I53" s="72" t="s">
        <v>173</v>
      </c>
      <c r="J53" s="72" t="s">
        <v>70</v>
      </c>
      <c r="K53" s="72" t="s">
        <v>1944</v>
      </c>
      <c r="L53" s="74">
        <v>40878</v>
      </c>
      <c r="M53" s="77">
        <f>IF(Main[[#This Row],[Tech Start Date]]&lt;1/1/1990,"",IF(Main[[#This Row],[Class]]="C",WORKDAY(Main[[#This Row],[Tech Start Date]],9),IF(Main[[#This Row],[Class]]="B", WORKDAY(Main[[#This Row],[Tech Start Date]],6),IF(Main[[#This Row],[Class]]="A",WORKDAY(Main[[#This Row],[Tech Start Date]],2),""))))</f>
        <v>40886</v>
      </c>
      <c r="N53" s="77">
        <f>IF(Main[[#This Row],[Tech Start Date]]&lt;1/1/1990,"",IF(Main[[#This Row],[Class]]="C",WORKDAY(Main[[#This Row],[Tech Start Date]],19),IF(Main[[#This Row],[Class]]="B", WORKDAY(Main[[#This Row],[Tech Start Date]],12),IF(Main[[#This Row],[Class]]="A",WORKDAY(Main[[#This Row],[Tech Start Date]],4),""))))</f>
        <v>40896</v>
      </c>
      <c r="O53" s="77">
        <f>IF(Main[[#This Row],[Tech Start Date]]&lt;1/1/1990,"",IF(Main[[#This Row],[Class]]="C",WORKDAY(Main[[#This Row],[Tech Start Date]],23),IF(Main[[#This Row],[Class]]="B", WORKDAY(Main[[#This Row],[Tech Start Date]],15),IF(Main[[#This Row],[Class]]="A",WORKDAY(Main[[#This Row],[Tech Start Date]],5),""))))</f>
        <v>40899</v>
      </c>
      <c r="P53" s="77">
        <f>IF(Main[[#This Row],[Tech Start Date]]&lt;1/1/1990,"",IF(Main[[#This Row],[Class]]="C",WORKDAY(Main[[#This Row],[Tech Start Date]],28),IF(Main[[#This Row],[Class]]="B", WORKDAY(Main[[#This Row],[Tech Start Date]],19),IF(Main[[#This Row],[Class]]="A",WORKDAY(Main[[#This Row],[Tech Start Date]],9),""))))</f>
        <v>40905</v>
      </c>
      <c r="Q53" s="74">
        <v>40826</v>
      </c>
      <c r="R53" s="74">
        <v>40933</v>
      </c>
      <c r="S53" s="72" t="s">
        <v>11</v>
      </c>
      <c r="T53" s="80" t="s">
        <v>3513</v>
      </c>
      <c r="U53" s="72" t="s">
        <v>29</v>
      </c>
      <c r="V53" s="72" t="s">
        <v>1940</v>
      </c>
      <c r="W53" s="72" t="s">
        <v>1945</v>
      </c>
      <c r="X53" s="72" t="s">
        <v>2995</v>
      </c>
      <c r="Y53" s="72" t="s">
        <v>4</v>
      </c>
      <c r="Z53" s="72" t="s">
        <v>536</v>
      </c>
    </row>
    <row r="54" spans="1:26" ht="18.600000000000001" customHeight="1">
      <c r="A54" s="142">
        <f>IF(priority(Main[[#This Row],[Comments]])&lt;&gt;0, priority(Main[[#This Row],[Comments]]),"")</f>
        <v>12</v>
      </c>
      <c r="B54" s="90" t="s">
        <v>3339</v>
      </c>
      <c r="C54" s="72" t="s">
        <v>3584</v>
      </c>
      <c r="D54" s="73" t="s">
        <v>3478</v>
      </c>
      <c r="E54" s="74">
        <v>40919.660682870373</v>
      </c>
      <c r="F54" s="74">
        <v>41105</v>
      </c>
      <c r="G54" s="75">
        <f>IF(stdProdLT(Main[[#This Row],[Comments]])=0.1,"N/A",IF(stdProdLT(Main[[#This Row],[Comments]])=0,"",stdProdLT(Main[[#This Row],[Comments]])))</f>
        <v>126</v>
      </c>
      <c r="H54" s="76">
        <f>IF(AND(Main[[#This Row],[In Stock Date]]&lt;&gt;"",Main[[#This Row],[Revised Due Date]]&lt;&gt;""),Main[[#This Row],[In Stock Date]]-Main[[#This Row],[Revised Due Date]],"")</f>
        <v>149</v>
      </c>
      <c r="I54" s="72" t="s">
        <v>568</v>
      </c>
      <c r="J54" s="72" t="s">
        <v>21</v>
      </c>
      <c r="K54" s="72" t="s">
        <v>1944</v>
      </c>
      <c r="L54" s="74">
        <v>40921</v>
      </c>
      <c r="M54" s="77">
        <f>IF(Main[[#This Row],[Tech Start Date]]&lt;1/1/1990,"",IF(Main[[#This Row],[Class]]="C",WORKDAY(Main[[#This Row],[Tech Start Date]],9),IF(Main[[#This Row],[Class]]="B", WORKDAY(Main[[#This Row],[Tech Start Date]],6),IF(Main[[#This Row],[Class]]="A",WORKDAY(Main[[#This Row],[Tech Start Date]],2),""))))</f>
        <v>40931</v>
      </c>
      <c r="N54" s="77">
        <f>IF(Main[[#This Row],[Tech Start Date]]&lt;1/1/1990,"",IF(Main[[#This Row],[Class]]="C",WORKDAY(Main[[#This Row],[Tech Start Date]],19),IF(Main[[#This Row],[Class]]="B", WORKDAY(Main[[#This Row],[Tech Start Date]],12),IF(Main[[#This Row],[Class]]="A",WORKDAY(Main[[#This Row],[Tech Start Date]],4),""))))</f>
        <v>40939</v>
      </c>
      <c r="O54" s="77">
        <f>IF(Main[[#This Row],[Tech Start Date]]&lt;1/1/1990,"",IF(Main[[#This Row],[Class]]="C",WORKDAY(Main[[#This Row],[Tech Start Date]],23),IF(Main[[#This Row],[Class]]="B", WORKDAY(Main[[#This Row],[Tech Start Date]],15),IF(Main[[#This Row],[Class]]="A",WORKDAY(Main[[#This Row],[Tech Start Date]],5),""))))</f>
        <v>40942</v>
      </c>
      <c r="P54" s="77">
        <f>IF(Main[[#This Row],[Tech Start Date]]&lt;1/1/1990,"",IF(Main[[#This Row],[Class]]="C",WORKDAY(Main[[#This Row],[Tech Start Date]],28),IF(Main[[#This Row],[Class]]="B", WORKDAY(Main[[#This Row],[Tech Start Date]],19),IF(Main[[#This Row],[Class]]="A",WORKDAY(Main[[#This Row],[Tech Start Date]],9),""))))</f>
        <v>40948</v>
      </c>
      <c r="Q54" s="74">
        <v>41105</v>
      </c>
      <c r="R54" s="74">
        <v>40956</v>
      </c>
      <c r="S54" s="72" t="s">
        <v>11</v>
      </c>
      <c r="T54" s="80" t="s">
        <v>3585</v>
      </c>
      <c r="U54" s="72" t="s">
        <v>29</v>
      </c>
      <c r="V54" s="72" t="s">
        <v>1937</v>
      </c>
      <c r="W54" s="72" t="s">
        <v>1948</v>
      </c>
      <c r="X54" s="72" t="s">
        <v>3004</v>
      </c>
      <c r="Y54" s="72" t="s">
        <v>3148</v>
      </c>
      <c r="Z54" s="72" t="s">
        <v>129</v>
      </c>
    </row>
    <row r="55" spans="1:26" ht="18.600000000000001" customHeight="1">
      <c r="A55" s="142">
        <f>IF(priority(Main[[#This Row],[Comments]])&lt;&gt;0, priority(Main[[#This Row],[Comments]]),"")</f>
        <v>13</v>
      </c>
      <c r="B55" s="90" t="s">
        <v>2842</v>
      </c>
      <c r="C55" s="72" t="s">
        <v>2843</v>
      </c>
      <c r="D55" s="73" t="s">
        <v>2844</v>
      </c>
      <c r="E55" s="74">
        <v>40883.251331018517</v>
      </c>
      <c r="F55" s="74">
        <v>41000</v>
      </c>
      <c r="G55" s="75">
        <f>IF(stdProdLT(Main[[#This Row],[Comments]])=0.1,"N/A",IF(stdProdLT(Main[[#This Row],[Comments]])=0,"",stdProdLT(Main[[#This Row],[Comments]])))</f>
        <v>140</v>
      </c>
      <c r="H55" s="76" t="str">
        <f>IF(AND(Main[[#This Row],[In Stock Date]]&lt;&gt;"",Main[[#This Row],[Revised Due Date]]&lt;&gt;""),Main[[#This Row],[In Stock Date]]-Main[[#This Row],[Revised Due Date]],"")</f>
        <v/>
      </c>
      <c r="I55" s="72" t="s">
        <v>568</v>
      </c>
      <c r="J55" s="72" t="s">
        <v>21</v>
      </c>
      <c r="K55" s="81" t="s">
        <v>4</v>
      </c>
      <c r="L55" s="74"/>
      <c r="M55" s="77" t="str">
        <f>IF(Main[[#This Row],[Tech Start Date]]&lt;1/1/1990,"",IF(Main[[#This Row],[Class]]="C",WORKDAY(Main[[#This Row],[Tech Start Date]],9),IF(Main[[#This Row],[Class]]="B", WORKDAY(Main[[#This Row],[Tech Start Date]],6),IF(Main[[#This Row],[Class]]="A",WORKDAY(Main[[#This Row],[Tech Start Date]],2),""))))</f>
        <v/>
      </c>
      <c r="N55" s="77" t="str">
        <f>IF(Main[[#This Row],[Tech Start Date]]&lt;1/1/1990,"",IF(Main[[#This Row],[Class]]="C",WORKDAY(Main[[#This Row],[Tech Start Date]],19),IF(Main[[#This Row],[Class]]="B", WORKDAY(Main[[#This Row],[Tech Start Date]],12),IF(Main[[#This Row],[Class]]="A",WORKDAY(Main[[#This Row],[Tech Start Date]],4),""))))</f>
        <v/>
      </c>
      <c r="O55" s="77" t="str">
        <f>IF(Main[[#This Row],[Tech Start Date]]&lt;1/1/1990,"",IF(Main[[#This Row],[Class]]="C",WORKDAY(Main[[#This Row],[Tech Start Date]],23),IF(Main[[#This Row],[Class]]="B", WORKDAY(Main[[#This Row],[Tech Start Date]],15),IF(Main[[#This Row],[Class]]="A",WORKDAY(Main[[#This Row],[Tech Start Date]],5),""))))</f>
        <v/>
      </c>
      <c r="P55" s="77" t="str">
        <f>IF(Main[[#This Row],[Tech Start Date]]&lt;1/1/1990,"",IF(Main[[#This Row],[Class]]="C",WORKDAY(Main[[#This Row],[Tech Start Date]],28),IF(Main[[#This Row],[Class]]="B", WORKDAY(Main[[#This Row],[Tech Start Date]],19),IF(Main[[#This Row],[Class]]="A",WORKDAY(Main[[#This Row],[Tech Start Date]],9),""))))</f>
        <v/>
      </c>
      <c r="Q55" s="74">
        <v>40964</v>
      </c>
      <c r="R55" s="74"/>
      <c r="S55" s="72" t="s">
        <v>11</v>
      </c>
      <c r="T55" s="80" t="s">
        <v>2845</v>
      </c>
      <c r="U55" s="72" t="s">
        <v>704</v>
      </c>
      <c r="V55" s="72" t="s">
        <v>1937</v>
      </c>
      <c r="W55" s="72" t="s">
        <v>1945</v>
      </c>
      <c r="X55" s="72" t="s">
        <v>3027</v>
      </c>
      <c r="Y55" s="72" t="s">
        <v>3179</v>
      </c>
      <c r="Z55" s="72" t="s">
        <v>4</v>
      </c>
    </row>
    <row r="56" spans="1:26" ht="18.600000000000001" customHeight="1">
      <c r="A56" s="142">
        <f>IF(priority(Main[[#This Row],[Comments]])&lt;&gt;0, priority(Main[[#This Row],[Comments]]),"")</f>
        <v>13</v>
      </c>
      <c r="B56" s="90" t="s">
        <v>1918</v>
      </c>
      <c r="C56" s="72" t="s">
        <v>829</v>
      </c>
      <c r="D56" s="73" t="s">
        <v>1988</v>
      </c>
      <c r="E56" s="74"/>
      <c r="F56" s="74">
        <v>40767</v>
      </c>
      <c r="G56" s="75" t="str">
        <f>IF(stdProdLT(Main[[#This Row],[Comments]])=0.1,"N/A",IF(stdProdLT(Main[[#This Row],[Comments]])=0,"",stdProdLT(Main[[#This Row],[Comments]])))</f>
        <v/>
      </c>
      <c r="H56" s="76">
        <f>IF(AND(Main[[#This Row],[In Stock Date]]&lt;&gt;"",Main[[#This Row],[Revised Due Date]]&lt;&gt;""),Main[[#This Row],[In Stock Date]]-Main[[#This Row],[Revised Due Date]],"")</f>
        <v>21</v>
      </c>
      <c r="I56" s="72" t="s">
        <v>957</v>
      </c>
      <c r="J56" s="72" t="s">
        <v>28</v>
      </c>
      <c r="K56" s="72" t="s">
        <v>1946</v>
      </c>
      <c r="L56" s="74">
        <v>40704</v>
      </c>
      <c r="M56" s="77">
        <f>IF(Main[[#This Row],[Tech Start Date]]&lt;1/1/1990,"",IF(Main[[#This Row],[Class]]="C",WORKDAY(Main[[#This Row],[Tech Start Date]],9),IF(Main[[#This Row],[Class]]="B", WORKDAY(Main[[#This Row],[Tech Start Date]],6),IF(Main[[#This Row],[Class]]="A",WORKDAY(Main[[#This Row],[Tech Start Date]],2),""))))</f>
        <v>40708</v>
      </c>
      <c r="N56" s="77">
        <f>IF(Main[[#This Row],[Tech Start Date]]&lt;1/1/1990,"",IF(Main[[#This Row],[Class]]="C",WORKDAY(Main[[#This Row],[Tech Start Date]],19),IF(Main[[#This Row],[Class]]="B", WORKDAY(Main[[#This Row],[Tech Start Date]],12),IF(Main[[#This Row],[Class]]="A",WORKDAY(Main[[#This Row],[Tech Start Date]],4),""))))</f>
        <v>40710</v>
      </c>
      <c r="O56" s="77">
        <f>IF(Main[[#This Row],[Tech Start Date]]&lt;1/1/1990,"",IF(Main[[#This Row],[Class]]="C",WORKDAY(Main[[#This Row],[Tech Start Date]],23),IF(Main[[#This Row],[Class]]="B", WORKDAY(Main[[#This Row],[Tech Start Date]],15),IF(Main[[#This Row],[Class]]="A",WORKDAY(Main[[#This Row],[Tech Start Date]],5),""))))</f>
        <v>40711</v>
      </c>
      <c r="P56" s="77">
        <f>IF(Main[[#This Row],[Tech Start Date]]&lt;1/1/1990,"",IF(Main[[#This Row],[Class]]="C",WORKDAY(Main[[#This Row],[Tech Start Date]],28),IF(Main[[#This Row],[Class]]="B", WORKDAY(Main[[#This Row],[Tech Start Date]],19),IF(Main[[#This Row],[Class]]="A",WORKDAY(Main[[#This Row],[Tech Start Date]],9),""))))</f>
        <v>40717</v>
      </c>
      <c r="Q56" s="74"/>
      <c r="R56" s="74">
        <v>40746</v>
      </c>
      <c r="S56" s="72" t="s">
        <v>11</v>
      </c>
      <c r="T56" s="80" t="s">
        <v>2030</v>
      </c>
      <c r="U56" s="72" t="s">
        <v>14</v>
      </c>
      <c r="V56" s="72" t="s">
        <v>1938</v>
      </c>
      <c r="W56" s="72" t="s">
        <v>1945</v>
      </c>
      <c r="X56" s="72" t="s">
        <v>2080</v>
      </c>
      <c r="Y56" s="72" t="s">
        <v>3314</v>
      </c>
      <c r="Z56" s="72" t="s">
        <v>3322</v>
      </c>
    </row>
    <row r="57" spans="1:26" ht="18.600000000000001" customHeight="1">
      <c r="A57" s="142">
        <f>IF(priority(Main[[#This Row],[Comments]])&lt;&gt;0, priority(Main[[#This Row],[Comments]]),"")</f>
        <v>13</v>
      </c>
      <c r="B57" s="90" t="s">
        <v>2822</v>
      </c>
      <c r="C57" s="72" t="s">
        <v>3364</v>
      </c>
      <c r="D57" s="73" t="s">
        <v>3553</v>
      </c>
      <c r="E57" s="74">
        <v>40911.132465277777</v>
      </c>
      <c r="F57" s="74">
        <v>41041</v>
      </c>
      <c r="G57" s="75">
        <f>IF(stdProdLT(Main[[#This Row],[Comments]])=0.1,"N/A",IF(stdProdLT(Main[[#This Row],[Comments]])=0,"",stdProdLT(Main[[#This Row],[Comments]])))</f>
        <v>140</v>
      </c>
      <c r="H57" s="76">
        <f>IF(AND(Main[[#This Row],[In Stock Date]]&lt;&gt;"",Main[[#This Row],[Revised Due Date]]&lt;&gt;""),Main[[#This Row],[In Stock Date]]-Main[[#This Row],[Revised Due Date]],"")</f>
        <v>109</v>
      </c>
      <c r="I57" s="72" t="s">
        <v>102</v>
      </c>
      <c r="J57" s="72" t="s">
        <v>75</v>
      </c>
      <c r="K57" s="72" t="s">
        <v>1946</v>
      </c>
      <c r="L57" s="74">
        <v>40913</v>
      </c>
      <c r="M57" s="77">
        <f>IF(Main[[#This Row],[Tech Start Date]]&lt;1/1/1990,"",IF(Main[[#This Row],[Class]]="C",WORKDAY(Main[[#This Row],[Tech Start Date]],9),IF(Main[[#This Row],[Class]]="B", WORKDAY(Main[[#This Row],[Tech Start Date]],6),IF(Main[[#This Row],[Class]]="A",WORKDAY(Main[[#This Row],[Tech Start Date]],2),""))))</f>
        <v>40917</v>
      </c>
      <c r="N57" s="77">
        <f>IF(Main[[#This Row],[Tech Start Date]]&lt;1/1/1990,"",IF(Main[[#This Row],[Class]]="C",WORKDAY(Main[[#This Row],[Tech Start Date]],19),IF(Main[[#This Row],[Class]]="B", WORKDAY(Main[[#This Row],[Tech Start Date]],12),IF(Main[[#This Row],[Class]]="A",WORKDAY(Main[[#This Row],[Tech Start Date]],4),""))))</f>
        <v>40919</v>
      </c>
      <c r="O57" s="77">
        <f>IF(Main[[#This Row],[Tech Start Date]]&lt;1/1/1990,"",IF(Main[[#This Row],[Class]]="C",WORKDAY(Main[[#This Row],[Tech Start Date]],23),IF(Main[[#This Row],[Class]]="B", WORKDAY(Main[[#This Row],[Tech Start Date]],15),IF(Main[[#This Row],[Class]]="A",WORKDAY(Main[[#This Row],[Tech Start Date]],5),""))))</f>
        <v>40920</v>
      </c>
      <c r="P57" s="77">
        <f>IF(Main[[#This Row],[Tech Start Date]]&lt;1/1/1990,"",IF(Main[[#This Row],[Class]]="C",WORKDAY(Main[[#This Row],[Tech Start Date]],28),IF(Main[[#This Row],[Class]]="B", WORKDAY(Main[[#This Row],[Tech Start Date]],19),IF(Main[[#This Row],[Class]]="A",WORKDAY(Main[[#This Row],[Tech Start Date]],9),""))))</f>
        <v>40926</v>
      </c>
      <c r="Q57" s="74">
        <v>40890</v>
      </c>
      <c r="R57" s="74">
        <v>40932</v>
      </c>
      <c r="S57" s="72" t="s">
        <v>11</v>
      </c>
      <c r="T57" s="80" t="s">
        <v>3579</v>
      </c>
      <c r="U57" s="72" t="s">
        <v>29</v>
      </c>
      <c r="V57" s="72" t="s">
        <v>1947</v>
      </c>
      <c r="W57" s="72" t="s">
        <v>1943</v>
      </c>
      <c r="X57" s="72" t="s">
        <v>2998</v>
      </c>
      <c r="Y57" s="72" t="s">
        <v>4</v>
      </c>
      <c r="Z57" s="72" t="s">
        <v>311</v>
      </c>
    </row>
    <row r="58" spans="1:26" ht="18.600000000000001" customHeight="1">
      <c r="A58" s="142">
        <f>IF(priority(Main[[#This Row],[Comments]])&lt;&gt;0, priority(Main[[#This Row],[Comments]]),"")</f>
        <v>13</v>
      </c>
      <c r="B58" s="90" t="s">
        <v>3336</v>
      </c>
      <c r="C58" s="72" t="s">
        <v>3534</v>
      </c>
      <c r="D58" s="73" t="s">
        <v>3473</v>
      </c>
      <c r="E58" s="74">
        <v>40919.092164351852</v>
      </c>
      <c r="F58" s="74">
        <v>41122</v>
      </c>
      <c r="G58" s="75">
        <f>IF(stdProdLT(Main[[#This Row],[Comments]])=0.1,"N/A",IF(stdProdLT(Main[[#This Row],[Comments]])=0,"",stdProdLT(Main[[#This Row],[Comments]])))</f>
        <v>126</v>
      </c>
      <c r="H58" s="76">
        <f>IF(AND(Main[[#This Row],[In Stock Date]]&lt;&gt;"",Main[[#This Row],[Revised Due Date]]&lt;&gt;""),Main[[#This Row],[In Stock Date]]-Main[[#This Row],[Revised Due Date]],"")</f>
        <v>169</v>
      </c>
      <c r="I58" s="72" t="s">
        <v>927</v>
      </c>
      <c r="J58" s="72" t="s">
        <v>52</v>
      </c>
      <c r="K58" s="72" t="s">
        <v>1944</v>
      </c>
      <c r="L58" s="74">
        <v>40918</v>
      </c>
      <c r="M58" s="77">
        <f>IF(Main[[#This Row],[Tech Start Date]]&lt;1/1/1990,"",IF(Main[[#This Row],[Class]]="C",WORKDAY(Main[[#This Row],[Tech Start Date]],9),IF(Main[[#This Row],[Class]]="B", WORKDAY(Main[[#This Row],[Tech Start Date]],6),IF(Main[[#This Row],[Class]]="A",WORKDAY(Main[[#This Row],[Tech Start Date]],2),""))))</f>
        <v>40926</v>
      </c>
      <c r="N58" s="77">
        <f>IF(Main[[#This Row],[Tech Start Date]]&lt;1/1/1990,"",IF(Main[[#This Row],[Class]]="C",WORKDAY(Main[[#This Row],[Tech Start Date]],19),IF(Main[[#This Row],[Class]]="B", WORKDAY(Main[[#This Row],[Tech Start Date]],12),IF(Main[[#This Row],[Class]]="A",WORKDAY(Main[[#This Row],[Tech Start Date]],4),""))))</f>
        <v>40934</v>
      </c>
      <c r="O58" s="77">
        <f>IF(Main[[#This Row],[Tech Start Date]]&lt;1/1/1990,"",IF(Main[[#This Row],[Class]]="C",WORKDAY(Main[[#This Row],[Tech Start Date]],23),IF(Main[[#This Row],[Class]]="B", WORKDAY(Main[[#This Row],[Tech Start Date]],15),IF(Main[[#This Row],[Class]]="A",WORKDAY(Main[[#This Row],[Tech Start Date]],5),""))))</f>
        <v>40939</v>
      </c>
      <c r="P58" s="77">
        <f>IF(Main[[#This Row],[Tech Start Date]]&lt;1/1/1990,"",IF(Main[[#This Row],[Class]]="C",WORKDAY(Main[[#This Row],[Tech Start Date]],28),IF(Main[[#This Row],[Class]]="B", WORKDAY(Main[[#This Row],[Tech Start Date]],19),IF(Main[[#This Row],[Class]]="A",WORKDAY(Main[[#This Row],[Tech Start Date]],9),""))))</f>
        <v>40945</v>
      </c>
      <c r="Q58" s="74">
        <v>40954</v>
      </c>
      <c r="R58" s="74">
        <v>40953</v>
      </c>
      <c r="S58" s="72" t="s">
        <v>11</v>
      </c>
      <c r="T58" s="80" t="s">
        <v>3474</v>
      </c>
      <c r="U58" s="72" t="s">
        <v>29</v>
      </c>
      <c r="V58" s="72" t="s">
        <v>1937</v>
      </c>
      <c r="W58" s="72" t="s">
        <v>1943</v>
      </c>
      <c r="X58" s="72" t="s">
        <v>3000</v>
      </c>
      <c r="Y58" s="72" t="s">
        <v>3137</v>
      </c>
      <c r="Z58" s="72" t="s">
        <v>129</v>
      </c>
    </row>
    <row r="59" spans="1:26" ht="18.600000000000001" customHeight="1">
      <c r="A59" s="142">
        <f>IF(priority(Main[[#This Row],[Comments]])&lt;&gt;0, priority(Main[[#This Row],[Comments]]),"")</f>
        <v>14</v>
      </c>
      <c r="B59" s="90" t="s">
        <v>2853</v>
      </c>
      <c r="C59" s="72" t="s">
        <v>2854</v>
      </c>
      <c r="D59" s="73" t="s">
        <v>2855</v>
      </c>
      <c r="E59" s="74"/>
      <c r="F59" s="74">
        <v>41005</v>
      </c>
      <c r="G59" s="75">
        <f>IF(stdProdLT(Main[[#This Row],[Comments]])=0.1,"N/A",IF(stdProdLT(Main[[#This Row],[Comments]])=0,"",stdProdLT(Main[[#This Row],[Comments]])))</f>
        <v>112</v>
      </c>
      <c r="H59" s="76" t="str">
        <f>IF(AND(Main[[#This Row],[In Stock Date]]&lt;&gt;"",Main[[#This Row],[Revised Due Date]]&lt;&gt;""),Main[[#This Row],[In Stock Date]]-Main[[#This Row],[Revised Due Date]],"")</f>
        <v/>
      </c>
      <c r="I59" s="72" t="s">
        <v>126</v>
      </c>
      <c r="J59" s="72" t="s">
        <v>28</v>
      </c>
      <c r="K59" s="72" t="s">
        <v>1944</v>
      </c>
      <c r="L59" s="74"/>
      <c r="M59" s="77" t="str">
        <f>IF(Main[[#This Row],[Tech Start Date]]&lt;1/1/1990,"",IF(Main[[#This Row],[Class]]="C",WORKDAY(Main[[#This Row],[Tech Start Date]],9),IF(Main[[#This Row],[Class]]="B", WORKDAY(Main[[#This Row],[Tech Start Date]],6),IF(Main[[#This Row],[Class]]="A",WORKDAY(Main[[#This Row],[Tech Start Date]],2),""))))</f>
        <v/>
      </c>
      <c r="N59" s="77" t="str">
        <f>IF(Main[[#This Row],[Tech Start Date]]&lt;1/1/1990,"",IF(Main[[#This Row],[Class]]="C",WORKDAY(Main[[#This Row],[Tech Start Date]],19),IF(Main[[#This Row],[Class]]="B", WORKDAY(Main[[#This Row],[Tech Start Date]],12),IF(Main[[#This Row],[Class]]="A",WORKDAY(Main[[#This Row],[Tech Start Date]],4),""))))</f>
        <v/>
      </c>
      <c r="O59" s="77" t="str">
        <f>IF(Main[[#This Row],[Tech Start Date]]&lt;1/1/1990,"",IF(Main[[#This Row],[Class]]="C",WORKDAY(Main[[#This Row],[Tech Start Date]],23),IF(Main[[#This Row],[Class]]="B", WORKDAY(Main[[#This Row],[Tech Start Date]],15),IF(Main[[#This Row],[Class]]="A",WORKDAY(Main[[#This Row],[Tech Start Date]],5),""))))</f>
        <v/>
      </c>
      <c r="P59" s="77" t="str">
        <f>IF(Main[[#This Row],[Tech Start Date]]&lt;1/1/1990,"",IF(Main[[#This Row],[Class]]="C",WORKDAY(Main[[#This Row],[Tech Start Date]],28),IF(Main[[#This Row],[Class]]="B", WORKDAY(Main[[#This Row],[Tech Start Date]],19),IF(Main[[#This Row],[Class]]="A",WORKDAY(Main[[#This Row],[Tech Start Date]],9),""))))</f>
        <v/>
      </c>
      <c r="Q59" s="74">
        <v>40946</v>
      </c>
      <c r="R59" s="74"/>
      <c r="S59" s="72" t="s">
        <v>11</v>
      </c>
      <c r="T59" s="80" t="s">
        <v>2856</v>
      </c>
      <c r="U59" s="72" t="s">
        <v>14</v>
      </c>
      <c r="V59" s="72" t="s">
        <v>1937</v>
      </c>
      <c r="W59" s="72" t="s">
        <v>1945</v>
      </c>
      <c r="X59" s="72" t="s">
        <v>3009</v>
      </c>
      <c r="Y59" s="72" t="s">
        <v>3156</v>
      </c>
      <c r="Z59" s="72" t="s">
        <v>927</v>
      </c>
    </row>
    <row r="60" spans="1:26" ht="18.600000000000001" customHeight="1">
      <c r="A60" s="142">
        <f>IF(priority(Main[[#This Row],[Comments]])&lt;&gt;0, priority(Main[[#This Row],[Comments]]),"")</f>
        <v>14</v>
      </c>
      <c r="B60" s="90" t="s">
        <v>2894</v>
      </c>
      <c r="C60" s="72" t="s">
        <v>2895</v>
      </c>
      <c r="D60" s="73" t="s">
        <v>2896</v>
      </c>
      <c r="E60" s="74">
        <v>40896.408101851855</v>
      </c>
      <c r="F60" s="74"/>
      <c r="G60" s="75" t="str">
        <f>IF(stdProdLT(Main[[#This Row],[Comments]])=0.1,"N/A",IF(stdProdLT(Main[[#This Row],[Comments]])=0,"",stdProdLT(Main[[#This Row],[Comments]])))</f>
        <v/>
      </c>
      <c r="H60" s="76" t="str">
        <f>IF(AND(Main[[#This Row],[In Stock Date]]&lt;&gt;"",Main[[#This Row],[Revised Due Date]]&lt;&gt;""),Main[[#This Row],[In Stock Date]]-Main[[#This Row],[Revised Due Date]],"")</f>
        <v/>
      </c>
      <c r="I60" s="72" t="s">
        <v>4</v>
      </c>
      <c r="J60" s="72" t="s">
        <v>4</v>
      </c>
      <c r="K60" s="72" t="s">
        <v>4</v>
      </c>
      <c r="L60" s="74"/>
      <c r="M60" s="77" t="str">
        <f>IF(Main[[#This Row],[Tech Start Date]]&lt;1/1/1990,"",IF(Main[[#This Row],[Class]]="C",WORKDAY(Main[[#This Row],[Tech Start Date]],9),IF(Main[[#This Row],[Class]]="B", WORKDAY(Main[[#This Row],[Tech Start Date]],6),IF(Main[[#This Row],[Class]]="A",WORKDAY(Main[[#This Row],[Tech Start Date]],2),""))))</f>
        <v/>
      </c>
      <c r="N60" s="77" t="str">
        <f>IF(Main[[#This Row],[Tech Start Date]]&lt;1/1/1990,"",IF(Main[[#This Row],[Class]]="C",WORKDAY(Main[[#This Row],[Tech Start Date]],19),IF(Main[[#This Row],[Class]]="B", WORKDAY(Main[[#This Row],[Tech Start Date]],12),IF(Main[[#This Row],[Class]]="A",WORKDAY(Main[[#This Row],[Tech Start Date]],4),""))))</f>
        <v/>
      </c>
      <c r="O60" s="77" t="str">
        <f>IF(Main[[#This Row],[Tech Start Date]]&lt;1/1/1990,"",IF(Main[[#This Row],[Class]]="C",WORKDAY(Main[[#This Row],[Tech Start Date]],23),IF(Main[[#This Row],[Class]]="B", WORKDAY(Main[[#This Row],[Tech Start Date]],15),IF(Main[[#This Row],[Class]]="A",WORKDAY(Main[[#This Row],[Tech Start Date]],5),""))))</f>
        <v/>
      </c>
      <c r="P60" s="77" t="str">
        <f>IF(Main[[#This Row],[Tech Start Date]]&lt;1/1/1990,"",IF(Main[[#This Row],[Class]]="C",WORKDAY(Main[[#This Row],[Tech Start Date]],28),IF(Main[[#This Row],[Class]]="B", WORKDAY(Main[[#This Row],[Tech Start Date]],19),IF(Main[[#This Row],[Class]]="A",WORKDAY(Main[[#This Row],[Tech Start Date]],9),""))))</f>
        <v/>
      </c>
      <c r="Q60" s="74">
        <v>40903</v>
      </c>
      <c r="R60" s="74"/>
      <c r="S60" s="72" t="s">
        <v>11</v>
      </c>
      <c r="T60" s="80" t="s">
        <v>3450</v>
      </c>
      <c r="U60" s="72" t="s">
        <v>7</v>
      </c>
      <c r="V60" s="72" t="s">
        <v>1938</v>
      </c>
      <c r="W60" s="72" t="s">
        <v>1939</v>
      </c>
      <c r="X60" s="72" t="s">
        <v>2967</v>
      </c>
      <c r="Y60" s="72" t="s">
        <v>4</v>
      </c>
      <c r="Z60" s="72" t="s">
        <v>4</v>
      </c>
    </row>
    <row r="61" spans="1:26" ht="18.600000000000001" customHeight="1">
      <c r="A61" s="142">
        <f>IF(priority(Main[[#This Row],[Comments]])&lt;&gt;0, priority(Main[[#This Row],[Comments]]),"")</f>
        <v>14</v>
      </c>
      <c r="B61" s="90" t="s">
        <v>2862</v>
      </c>
      <c r="C61" s="72" t="s">
        <v>3364</v>
      </c>
      <c r="D61" s="73" t="s">
        <v>2863</v>
      </c>
      <c r="E61" s="74">
        <v>40911.138009259259</v>
      </c>
      <c r="F61" s="74">
        <v>41041</v>
      </c>
      <c r="G61" s="75">
        <f>IF(stdProdLT(Main[[#This Row],[Comments]])=0.1,"N/A",IF(stdProdLT(Main[[#This Row],[Comments]])=0,"",stdProdLT(Main[[#This Row],[Comments]])))</f>
        <v>140</v>
      </c>
      <c r="H61" s="76">
        <f>IF(AND(Main[[#This Row],[In Stock Date]]&lt;&gt;"",Main[[#This Row],[Revised Due Date]]&lt;&gt;""),Main[[#This Row],[In Stock Date]]-Main[[#This Row],[Revised Due Date]],"")</f>
        <v>107</v>
      </c>
      <c r="I61" s="72" t="s">
        <v>4</v>
      </c>
      <c r="J61" s="72" t="s">
        <v>4</v>
      </c>
      <c r="K61" s="72" t="s">
        <v>1944</v>
      </c>
      <c r="L61" s="74">
        <v>40913</v>
      </c>
      <c r="M61" s="77">
        <f>IF(Main[[#This Row],[Tech Start Date]]&lt;1/1/1990,"",IF(Main[[#This Row],[Class]]="C",WORKDAY(Main[[#This Row],[Tech Start Date]],9),IF(Main[[#This Row],[Class]]="B", WORKDAY(Main[[#This Row],[Tech Start Date]],6),IF(Main[[#This Row],[Class]]="A",WORKDAY(Main[[#This Row],[Tech Start Date]],2),""))))</f>
        <v>40921</v>
      </c>
      <c r="N61" s="77">
        <f>IF(Main[[#This Row],[Tech Start Date]]&lt;1/1/1990,"",IF(Main[[#This Row],[Class]]="C",WORKDAY(Main[[#This Row],[Tech Start Date]],19),IF(Main[[#This Row],[Class]]="B", WORKDAY(Main[[#This Row],[Tech Start Date]],12),IF(Main[[#This Row],[Class]]="A",WORKDAY(Main[[#This Row],[Tech Start Date]],4),""))))</f>
        <v>40931</v>
      </c>
      <c r="O61" s="77">
        <f>IF(Main[[#This Row],[Tech Start Date]]&lt;1/1/1990,"",IF(Main[[#This Row],[Class]]="C",WORKDAY(Main[[#This Row],[Tech Start Date]],23),IF(Main[[#This Row],[Class]]="B", WORKDAY(Main[[#This Row],[Tech Start Date]],15),IF(Main[[#This Row],[Class]]="A",WORKDAY(Main[[#This Row],[Tech Start Date]],5),""))))</f>
        <v>40934</v>
      </c>
      <c r="P61" s="77">
        <f>IF(Main[[#This Row],[Tech Start Date]]&lt;1/1/1990,"",IF(Main[[#This Row],[Class]]="C",WORKDAY(Main[[#This Row],[Tech Start Date]],28),IF(Main[[#This Row],[Class]]="B", WORKDAY(Main[[#This Row],[Tech Start Date]],19),IF(Main[[#This Row],[Class]]="A",WORKDAY(Main[[#This Row],[Tech Start Date]],9),""))))</f>
        <v>40940</v>
      </c>
      <c r="Q61" s="74">
        <v>40890</v>
      </c>
      <c r="R61" s="74">
        <v>40934</v>
      </c>
      <c r="S61" s="72" t="s">
        <v>11</v>
      </c>
      <c r="T61" s="80" t="s">
        <v>3580</v>
      </c>
      <c r="U61" s="72" t="s">
        <v>29</v>
      </c>
      <c r="V61" s="72" t="s">
        <v>1947</v>
      </c>
      <c r="W61" s="72" t="s">
        <v>1943</v>
      </c>
      <c r="X61" s="72" t="s">
        <v>2998</v>
      </c>
      <c r="Y61" s="72" t="s">
        <v>4</v>
      </c>
      <c r="Z61" s="72" t="s">
        <v>4</v>
      </c>
    </row>
    <row r="62" spans="1:26" ht="18.600000000000001" customHeight="1">
      <c r="A62" s="142">
        <f>IF(priority(Main[[#This Row],[Comments]])&lt;&gt;0, priority(Main[[#This Row],[Comments]]),"")</f>
        <v>14</v>
      </c>
      <c r="B62" s="90" t="s">
        <v>3334</v>
      </c>
      <c r="C62" s="72" t="s">
        <v>3582</v>
      </c>
      <c r="D62" s="73" t="s">
        <v>3475</v>
      </c>
      <c r="E62" s="74">
        <v>40919.068414351852</v>
      </c>
      <c r="F62" s="74">
        <v>41122</v>
      </c>
      <c r="G62" s="75">
        <f>IF(stdProdLT(Main[[#This Row],[Comments]])=0.1,"N/A",IF(stdProdLT(Main[[#This Row],[Comments]])=0,"",stdProdLT(Main[[#This Row],[Comments]])))</f>
        <v>126</v>
      </c>
      <c r="H62" s="76">
        <f>IF(AND(Main[[#This Row],[In Stock Date]]&lt;&gt;"",Main[[#This Row],[Revised Due Date]]&lt;&gt;""),Main[[#This Row],[In Stock Date]]-Main[[#This Row],[Revised Due Date]],"")</f>
        <v>169</v>
      </c>
      <c r="I62" s="72" t="s">
        <v>927</v>
      </c>
      <c r="J62" s="72" t="s">
        <v>52</v>
      </c>
      <c r="K62" s="81" t="s">
        <v>1944</v>
      </c>
      <c r="L62" s="74">
        <v>40918</v>
      </c>
      <c r="M62" s="77">
        <f>IF(Main[[#This Row],[Tech Start Date]]&lt;1/1/1990,"",IF(Main[[#This Row],[Class]]="C",WORKDAY(Main[[#This Row],[Tech Start Date]],9),IF(Main[[#This Row],[Class]]="B", WORKDAY(Main[[#This Row],[Tech Start Date]],6),IF(Main[[#This Row],[Class]]="A",WORKDAY(Main[[#This Row],[Tech Start Date]],2),""))))</f>
        <v>40926</v>
      </c>
      <c r="N62" s="77">
        <f>IF(Main[[#This Row],[Tech Start Date]]&lt;1/1/1990,"",IF(Main[[#This Row],[Class]]="C",WORKDAY(Main[[#This Row],[Tech Start Date]],19),IF(Main[[#This Row],[Class]]="B", WORKDAY(Main[[#This Row],[Tech Start Date]],12),IF(Main[[#This Row],[Class]]="A",WORKDAY(Main[[#This Row],[Tech Start Date]],4),""))))</f>
        <v>40934</v>
      </c>
      <c r="O62" s="77">
        <f>IF(Main[[#This Row],[Tech Start Date]]&lt;1/1/1990,"",IF(Main[[#This Row],[Class]]="C",WORKDAY(Main[[#This Row],[Tech Start Date]],23),IF(Main[[#This Row],[Class]]="B", WORKDAY(Main[[#This Row],[Tech Start Date]],15),IF(Main[[#This Row],[Class]]="A",WORKDAY(Main[[#This Row],[Tech Start Date]],5),""))))</f>
        <v>40939</v>
      </c>
      <c r="P62" s="77">
        <f>IF(Main[[#This Row],[Tech Start Date]]&lt;1/1/1990,"",IF(Main[[#This Row],[Class]]="C",WORKDAY(Main[[#This Row],[Tech Start Date]],28),IF(Main[[#This Row],[Class]]="B", WORKDAY(Main[[#This Row],[Tech Start Date]],19),IF(Main[[#This Row],[Class]]="A",WORKDAY(Main[[#This Row],[Tech Start Date]],9),""))))</f>
        <v>40945</v>
      </c>
      <c r="Q62" s="74">
        <v>40954</v>
      </c>
      <c r="R62" s="74">
        <v>40953</v>
      </c>
      <c r="S62" s="72" t="s">
        <v>11</v>
      </c>
      <c r="T62" s="80" t="s">
        <v>3476</v>
      </c>
      <c r="U62" s="72" t="s">
        <v>29</v>
      </c>
      <c r="V62" s="72" t="s">
        <v>1937</v>
      </c>
      <c r="W62" s="72" t="s">
        <v>1943</v>
      </c>
      <c r="X62" s="72" t="s">
        <v>3000</v>
      </c>
      <c r="Y62" s="72" t="s">
        <v>3137</v>
      </c>
      <c r="Z62" s="72" t="s">
        <v>129</v>
      </c>
    </row>
    <row r="63" spans="1:26" ht="18.600000000000001" customHeight="1">
      <c r="A63" s="142">
        <f>IF(priority(Main[[#This Row],[Comments]])&lt;&gt;0, priority(Main[[#This Row],[Comments]]),"")</f>
        <v>15</v>
      </c>
      <c r="B63" s="90" t="s">
        <v>2818</v>
      </c>
      <c r="C63" s="72" t="s">
        <v>3364</v>
      </c>
      <c r="D63" s="73" t="s">
        <v>2819</v>
      </c>
      <c r="E63" s="74">
        <v>40911.202465277776</v>
      </c>
      <c r="F63" s="74">
        <v>41041</v>
      </c>
      <c r="G63" s="75">
        <f>IF(stdProdLT(Main[[#This Row],[Comments]])=0.1,"N/A",IF(stdProdLT(Main[[#This Row],[Comments]])=0,"",stdProdLT(Main[[#This Row],[Comments]])))</f>
        <v>140</v>
      </c>
      <c r="H63" s="76">
        <f>IF(AND(Main[[#This Row],[In Stock Date]]&lt;&gt;"",Main[[#This Row],[Revised Due Date]]&lt;&gt;""),Main[[#This Row],[In Stock Date]]-Main[[#This Row],[Revised Due Date]],"")</f>
        <v>107</v>
      </c>
      <c r="I63" s="72" t="s">
        <v>4</v>
      </c>
      <c r="J63" s="72" t="s">
        <v>4</v>
      </c>
      <c r="K63" s="72" t="s">
        <v>1944</v>
      </c>
      <c r="L63" s="74">
        <v>40913</v>
      </c>
      <c r="M63" s="77">
        <f>IF(Main[[#This Row],[Tech Start Date]]&lt;1/1/1990,"",IF(Main[[#This Row],[Class]]="C",WORKDAY(Main[[#This Row],[Tech Start Date]],9),IF(Main[[#This Row],[Class]]="B", WORKDAY(Main[[#This Row],[Tech Start Date]],6),IF(Main[[#This Row],[Class]]="A",WORKDAY(Main[[#This Row],[Tech Start Date]],2),""))))</f>
        <v>40921</v>
      </c>
      <c r="N63" s="77">
        <f>IF(Main[[#This Row],[Tech Start Date]]&lt;1/1/1990,"",IF(Main[[#This Row],[Class]]="C",WORKDAY(Main[[#This Row],[Tech Start Date]],19),IF(Main[[#This Row],[Class]]="B", WORKDAY(Main[[#This Row],[Tech Start Date]],12),IF(Main[[#This Row],[Class]]="A",WORKDAY(Main[[#This Row],[Tech Start Date]],4),""))))</f>
        <v>40931</v>
      </c>
      <c r="O63" s="77">
        <f>IF(Main[[#This Row],[Tech Start Date]]&lt;1/1/1990,"",IF(Main[[#This Row],[Class]]="C",WORKDAY(Main[[#This Row],[Tech Start Date]],23),IF(Main[[#This Row],[Class]]="B", WORKDAY(Main[[#This Row],[Tech Start Date]],15),IF(Main[[#This Row],[Class]]="A",WORKDAY(Main[[#This Row],[Tech Start Date]],5),""))))</f>
        <v>40934</v>
      </c>
      <c r="P63" s="77">
        <f>IF(Main[[#This Row],[Tech Start Date]]&lt;1/1/1990,"",IF(Main[[#This Row],[Class]]="C",WORKDAY(Main[[#This Row],[Tech Start Date]],28),IF(Main[[#This Row],[Class]]="B", WORKDAY(Main[[#This Row],[Tech Start Date]],19),IF(Main[[#This Row],[Class]]="A",WORKDAY(Main[[#This Row],[Tech Start Date]],9),""))))</f>
        <v>40940</v>
      </c>
      <c r="Q63" s="74">
        <v>40890</v>
      </c>
      <c r="R63" s="74">
        <v>40934</v>
      </c>
      <c r="S63" s="72" t="s">
        <v>11</v>
      </c>
      <c r="T63" s="80" t="s">
        <v>3578</v>
      </c>
      <c r="U63" s="72" t="s">
        <v>29</v>
      </c>
      <c r="V63" s="72" t="s">
        <v>1947</v>
      </c>
      <c r="W63" s="72" t="s">
        <v>1943</v>
      </c>
      <c r="X63" s="72" t="s">
        <v>2998</v>
      </c>
      <c r="Y63" s="72" t="s">
        <v>4</v>
      </c>
      <c r="Z63" s="72" t="s">
        <v>4</v>
      </c>
    </row>
    <row r="64" spans="1:26" ht="18.600000000000001" customHeight="1">
      <c r="A64" s="142">
        <f>IF(priority(Main[[#This Row],[Comments]])&lt;&gt;0, priority(Main[[#This Row],[Comments]]),"")</f>
        <v>15</v>
      </c>
      <c r="B64" s="90" t="s">
        <v>3337</v>
      </c>
      <c r="C64" s="72" t="s">
        <v>3342</v>
      </c>
      <c r="D64" s="73" t="s">
        <v>3518</v>
      </c>
      <c r="E64" s="74">
        <v>40919.073576388888</v>
      </c>
      <c r="F64" s="74">
        <v>41153</v>
      </c>
      <c r="G64" s="75">
        <f>IF(stdProdLT(Main[[#This Row],[Comments]])=0.1,"N/A",IF(stdProdLT(Main[[#This Row],[Comments]])=0,"",stdProdLT(Main[[#This Row],[Comments]])))</f>
        <v>126</v>
      </c>
      <c r="H64" s="76">
        <f>IF(AND(Main[[#This Row],[In Stock Date]]&lt;&gt;"",Main[[#This Row],[Revised Due Date]]&lt;&gt;""),Main[[#This Row],[In Stock Date]]-Main[[#This Row],[Revised Due Date]],"")</f>
        <v>198</v>
      </c>
      <c r="I64" s="72" t="s">
        <v>568</v>
      </c>
      <c r="J64" s="72" t="s">
        <v>21</v>
      </c>
      <c r="K64" s="72" t="s">
        <v>1944</v>
      </c>
      <c r="L64" s="74">
        <v>40920</v>
      </c>
      <c r="M64" s="77">
        <f>IF(Main[[#This Row],[Tech Start Date]]&lt;1/1/1990,"",IF(Main[[#This Row],[Class]]="C",WORKDAY(Main[[#This Row],[Tech Start Date]],9),IF(Main[[#This Row],[Class]]="B", WORKDAY(Main[[#This Row],[Tech Start Date]],6),IF(Main[[#This Row],[Class]]="A",WORKDAY(Main[[#This Row],[Tech Start Date]],2),""))))</f>
        <v>40928</v>
      </c>
      <c r="N64" s="77">
        <f>IF(Main[[#This Row],[Tech Start Date]]&lt;1/1/1990,"",IF(Main[[#This Row],[Class]]="C",WORKDAY(Main[[#This Row],[Tech Start Date]],19),IF(Main[[#This Row],[Class]]="B", WORKDAY(Main[[#This Row],[Tech Start Date]],12),IF(Main[[#This Row],[Class]]="A",WORKDAY(Main[[#This Row],[Tech Start Date]],4),""))))</f>
        <v>40938</v>
      </c>
      <c r="O64" s="77">
        <f>IF(Main[[#This Row],[Tech Start Date]]&lt;1/1/1990,"",IF(Main[[#This Row],[Class]]="C",WORKDAY(Main[[#This Row],[Tech Start Date]],23),IF(Main[[#This Row],[Class]]="B", WORKDAY(Main[[#This Row],[Tech Start Date]],15),IF(Main[[#This Row],[Class]]="A",WORKDAY(Main[[#This Row],[Tech Start Date]],5),""))))</f>
        <v>40941</v>
      </c>
      <c r="P64" s="77">
        <f>IF(Main[[#This Row],[Tech Start Date]]&lt;1/1/1990,"",IF(Main[[#This Row],[Class]]="C",WORKDAY(Main[[#This Row],[Tech Start Date]],28),IF(Main[[#This Row],[Class]]="B", WORKDAY(Main[[#This Row],[Tech Start Date]],19),IF(Main[[#This Row],[Class]]="A",WORKDAY(Main[[#This Row],[Tech Start Date]],9),""))))</f>
        <v>40947</v>
      </c>
      <c r="Q64" s="74">
        <v>40926</v>
      </c>
      <c r="R64" s="74">
        <v>40955</v>
      </c>
      <c r="S64" s="72" t="s">
        <v>11</v>
      </c>
      <c r="T64" s="80" t="s">
        <v>3477</v>
      </c>
      <c r="U64" s="72" t="s">
        <v>29</v>
      </c>
      <c r="V64" s="72" t="s">
        <v>1937</v>
      </c>
      <c r="W64" s="72" t="s">
        <v>1948</v>
      </c>
      <c r="X64" s="72" t="s">
        <v>2998</v>
      </c>
      <c r="Y64" s="72" t="s">
        <v>4</v>
      </c>
      <c r="Z64" s="72" t="s">
        <v>129</v>
      </c>
    </row>
    <row r="65" spans="1:26" ht="18.600000000000001" customHeight="1">
      <c r="A65" s="142">
        <f>IF(priority(Main[[#This Row],[Comments]])&lt;&gt;0, priority(Main[[#This Row],[Comments]]),"")</f>
        <v>16</v>
      </c>
      <c r="B65" s="90" t="s">
        <v>2900</v>
      </c>
      <c r="C65" s="72" t="s">
        <v>3364</v>
      </c>
      <c r="D65" s="73" t="s">
        <v>2901</v>
      </c>
      <c r="E65" s="74">
        <v>40911.305891203701</v>
      </c>
      <c r="F65" s="74">
        <v>41041</v>
      </c>
      <c r="G65" s="75">
        <f>IF(stdProdLT(Main[[#This Row],[Comments]])=0.1,"N/A",IF(stdProdLT(Main[[#This Row],[Comments]])=0,"",stdProdLT(Main[[#This Row],[Comments]])))</f>
        <v>140</v>
      </c>
      <c r="H65" s="76">
        <f>IF(AND(Main[[#This Row],[In Stock Date]]&lt;&gt;"",Main[[#This Row],[Revised Due Date]]&lt;&gt;""),Main[[#This Row],[In Stock Date]]-Main[[#This Row],[Revised Due Date]],"")</f>
        <v>107</v>
      </c>
      <c r="I65" s="72" t="s">
        <v>777</v>
      </c>
      <c r="J65" s="72" t="s">
        <v>21</v>
      </c>
      <c r="K65" s="72" t="s">
        <v>1944</v>
      </c>
      <c r="L65" s="74">
        <v>40913</v>
      </c>
      <c r="M65" s="77">
        <f>IF(Main[[#This Row],[Tech Start Date]]&lt;1/1/1990,"",IF(Main[[#This Row],[Class]]="C",WORKDAY(Main[[#This Row],[Tech Start Date]],9),IF(Main[[#This Row],[Class]]="B", WORKDAY(Main[[#This Row],[Tech Start Date]],6),IF(Main[[#This Row],[Class]]="A",WORKDAY(Main[[#This Row],[Tech Start Date]],2),""))))</f>
        <v>40921</v>
      </c>
      <c r="N65" s="77">
        <f>IF(Main[[#This Row],[Tech Start Date]]&lt;1/1/1990,"",IF(Main[[#This Row],[Class]]="C",WORKDAY(Main[[#This Row],[Tech Start Date]],19),IF(Main[[#This Row],[Class]]="B", WORKDAY(Main[[#This Row],[Tech Start Date]],12),IF(Main[[#This Row],[Class]]="A",WORKDAY(Main[[#This Row],[Tech Start Date]],4),""))))</f>
        <v>40931</v>
      </c>
      <c r="O65" s="77">
        <f>IF(Main[[#This Row],[Tech Start Date]]&lt;1/1/1990,"",IF(Main[[#This Row],[Class]]="C",WORKDAY(Main[[#This Row],[Tech Start Date]],23),IF(Main[[#This Row],[Class]]="B", WORKDAY(Main[[#This Row],[Tech Start Date]],15),IF(Main[[#This Row],[Class]]="A",WORKDAY(Main[[#This Row],[Tech Start Date]],5),""))))</f>
        <v>40934</v>
      </c>
      <c r="P65" s="77">
        <f>IF(Main[[#This Row],[Tech Start Date]]&lt;1/1/1990,"",IF(Main[[#This Row],[Class]]="C",WORKDAY(Main[[#This Row],[Tech Start Date]],28),IF(Main[[#This Row],[Class]]="B", WORKDAY(Main[[#This Row],[Tech Start Date]],19),IF(Main[[#This Row],[Class]]="A",WORKDAY(Main[[#This Row],[Tech Start Date]],9),""))))</f>
        <v>40940</v>
      </c>
      <c r="Q65" s="74">
        <v>40890</v>
      </c>
      <c r="R65" s="74">
        <v>40934</v>
      </c>
      <c r="S65" s="72" t="s">
        <v>11</v>
      </c>
      <c r="T65" s="80" t="s">
        <v>3581</v>
      </c>
      <c r="U65" s="72" t="s">
        <v>29</v>
      </c>
      <c r="V65" s="72" t="s">
        <v>1947</v>
      </c>
      <c r="W65" s="72" t="s">
        <v>1943</v>
      </c>
      <c r="X65" s="72" t="s">
        <v>2998</v>
      </c>
      <c r="Y65" s="72" t="s">
        <v>4</v>
      </c>
      <c r="Z65" s="72" t="s">
        <v>777</v>
      </c>
    </row>
    <row r="66" spans="1:26" ht="18.600000000000001" customHeight="1">
      <c r="A66" s="142">
        <f>IF(priority(Main[[#This Row],[Comments]])&lt;&gt;0, priority(Main[[#This Row],[Comments]]),"")</f>
        <v>16</v>
      </c>
      <c r="B66" s="90" t="s">
        <v>3404</v>
      </c>
      <c r="C66" s="72" t="s">
        <v>3405</v>
      </c>
      <c r="D66" s="73" t="s">
        <v>3492</v>
      </c>
      <c r="E66" s="74">
        <v>40920.494050925925</v>
      </c>
      <c r="F66" s="74">
        <v>41197</v>
      </c>
      <c r="G66" s="75">
        <f>IF(stdProdLT(Main[[#This Row],[Comments]])=0.1,"N/A",IF(stdProdLT(Main[[#This Row],[Comments]])=0,"",stdProdLT(Main[[#This Row],[Comments]])))</f>
        <v>126</v>
      </c>
      <c r="H66" s="76">
        <f>IF(AND(Main[[#This Row],[In Stock Date]]&lt;&gt;"",Main[[#This Row],[Revised Due Date]]&lt;&gt;""),Main[[#This Row],[In Stock Date]]-Main[[#This Row],[Revised Due Date]],"")</f>
        <v>241</v>
      </c>
      <c r="I66" s="72" t="s">
        <v>568</v>
      </c>
      <c r="J66" s="72" t="s">
        <v>21</v>
      </c>
      <c r="K66" s="81" t="s">
        <v>1944</v>
      </c>
      <c r="L66" s="74">
        <v>40921</v>
      </c>
      <c r="M66" s="77">
        <f>IF(Main[[#This Row],[Tech Start Date]]&lt;1/1/1990,"",IF(Main[[#This Row],[Class]]="C",WORKDAY(Main[[#This Row],[Tech Start Date]],9),IF(Main[[#This Row],[Class]]="B", WORKDAY(Main[[#This Row],[Tech Start Date]],6),IF(Main[[#This Row],[Class]]="A",WORKDAY(Main[[#This Row],[Tech Start Date]],2),""))))</f>
        <v>40931</v>
      </c>
      <c r="N66" s="77">
        <f>IF(Main[[#This Row],[Tech Start Date]]&lt;1/1/1990,"",IF(Main[[#This Row],[Class]]="C",WORKDAY(Main[[#This Row],[Tech Start Date]],19),IF(Main[[#This Row],[Class]]="B", WORKDAY(Main[[#This Row],[Tech Start Date]],12),IF(Main[[#This Row],[Class]]="A",WORKDAY(Main[[#This Row],[Tech Start Date]],4),""))))</f>
        <v>40939</v>
      </c>
      <c r="O66" s="77">
        <f>IF(Main[[#This Row],[Tech Start Date]]&lt;1/1/1990,"",IF(Main[[#This Row],[Class]]="C",WORKDAY(Main[[#This Row],[Tech Start Date]],23),IF(Main[[#This Row],[Class]]="B", WORKDAY(Main[[#This Row],[Tech Start Date]],15),IF(Main[[#This Row],[Class]]="A",WORKDAY(Main[[#This Row],[Tech Start Date]],5),""))))</f>
        <v>40942</v>
      </c>
      <c r="P66" s="77">
        <f>IF(Main[[#This Row],[Tech Start Date]]&lt;1/1/1990,"",IF(Main[[#This Row],[Class]]="C",WORKDAY(Main[[#This Row],[Tech Start Date]],28),IF(Main[[#This Row],[Class]]="B", WORKDAY(Main[[#This Row],[Tech Start Date]],19),IF(Main[[#This Row],[Class]]="A",WORKDAY(Main[[#This Row],[Tech Start Date]],9),""))))</f>
        <v>40948</v>
      </c>
      <c r="Q66" s="74">
        <v>41197</v>
      </c>
      <c r="R66" s="74">
        <v>40956</v>
      </c>
      <c r="S66" s="72" t="s">
        <v>11</v>
      </c>
      <c r="T66" s="80" t="s">
        <v>3583</v>
      </c>
      <c r="U66" s="72" t="s">
        <v>29</v>
      </c>
      <c r="V66" s="72" t="s">
        <v>1937</v>
      </c>
      <c r="W66" s="72" t="s">
        <v>1943</v>
      </c>
      <c r="X66" s="72" t="s">
        <v>3004</v>
      </c>
      <c r="Y66" s="72" t="s">
        <v>3148</v>
      </c>
      <c r="Z66" s="72" t="s">
        <v>129</v>
      </c>
    </row>
    <row r="67" spans="1:26" ht="18.600000000000001" customHeight="1">
      <c r="A67" s="142">
        <f>IF(priority(Main[[#This Row],[Comments]])&lt;&gt;0, priority(Main[[#This Row],[Comments]]),"")</f>
        <v>16</v>
      </c>
      <c r="B67" s="90" t="s">
        <v>2881</v>
      </c>
      <c r="C67" s="72" t="s">
        <v>2882</v>
      </c>
      <c r="D67" s="73" t="s">
        <v>2883</v>
      </c>
      <c r="E67" s="74">
        <v>40912.61923611111</v>
      </c>
      <c r="F67" s="74"/>
      <c r="G67" s="75" t="str">
        <f>IF(stdProdLT(Main[[#This Row],[Comments]])=0.1,"N/A",IF(stdProdLT(Main[[#This Row],[Comments]])=0,"",stdProdLT(Main[[#This Row],[Comments]])))</f>
        <v>N/A</v>
      </c>
      <c r="H67" s="76" t="str">
        <f>IF(AND(Main[[#This Row],[In Stock Date]]&lt;&gt;"",Main[[#This Row],[Revised Due Date]]&lt;&gt;""),Main[[#This Row],[In Stock Date]]-Main[[#This Row],[Revised Due Date]],"")</f>
        <v/>
      </c>
      <c r="I67" s="72" t="s">
        <v>956</v>
      </c>
      <c r="J67" s="72" t="s">
        <v>28</v>
      </c>
      <c r="K67" s="72" t="s">
        <v>1944</v>
      </c>
      <c r="L67" s="74">
        <v>40925</v>
      </c>
      <c r="M67" s="77">
        <f>IF(Main[[#This Row],[Tech Start Date]]&lt;1/1/1990,"",IF(Main[[#This Row],[Class]]="C",WORKDAY(Main[[#This Row],[Tech Start Date]],9),IF(Main[[#This Row],[Class]]="B", WORKDAY(Main[[#This Row],[Tech Start Date]],6),IF(Main[[#This Row],[Class]]="A",WORKDAY(Main[[#This Row],[Tech Start Date]],2),""))))</f>
        <v>40933</v>
      </c>
      <c r="N67" s="77">
        <f>IF(Main[[#This Row],[Tech Start Date]]&lt;1/1/1990,"",IF(Main[[#This Row],[Class]]="C",WORKDAY(Main[[#This Row],[Tech Start Date]],19),IF(Main[[#This Row],[Class]]="B", WORKDAY(Main[[#This Row],[Tech Start Date]],12),IF(Main[[#This Row],[Class]]="A",WORKDAY(Main[[#This Row],[Tech Start Date]],4),""))))</f>
        <v>40941</v>
      </c>
      <c r="O67" s="77">
        <f>IF(Main[[#This Row],[Tech Start Date]]&lt;1/1/1990,"",IF(Main[[#This Row],[Class]]="C",WORKDAY(Main[[#This Row],[Tech Start Date]],23),IF(Main[[#This Row],[Class]]="B", WORKDAY(Main[[#This Row],[Tech Start Date]],15),IF(Main[[#This Row],[Class]]="A",WORKDAY(Main[[#This Row],[Tech Start Date]],5),""))))</f>
        <v>40946</v>
      </c>
      <c r="P67" s="77">
        <f>IF(Main[[#This Row],[Tech Start Date]]&lt;1/1/1990,"",IF(Main[[#This Row],[Class]]="C",WORKDAY(Main[[#This Row],[Tech Start Date]],28),IF(Main[[#This Row],[Class]]="B", WORKDAY(Main[[#This Row],[Tech Start Date]],19),IF(Main[[#This Row],[Class]]="A",WORKDAY(Main[[#This Row],[Tech Start Date]],9),""))))</f>
        <v>40952</v>
      </c>
      <c r="Q67" s="74">
        <v>40919</v>
      </c>
      <c r="R67" s="74">
        <v>40955</v>
      </c>
      <c r="S67" s="72" t="s">
        <v>11</v>
      </c>
      <c r="T67" s="80" t="s">
        <v>3538</v>
      </c>
      <c r="U67" s="72" t="s">
        <v>29</v>
      </c>
      <c r="V67" s="72" t="s">
        <v>1938</v>
      </c>
      <c r="W67" s="72" t="s">
        <v>1939</v>
      </c>
      <c r="X67" s="72" t="s">
        <v>2967</v>
      </c>
      <c r="Y67" s="72" t="s">
        <v>4</v>
      </c>
      <c r="Z67" s="72" t="s">
        <v>2080</v>
      </c>
    </row>
    <row r="68" spans="1:26" ht="18.600000000000001" customHeight="1">
      <c r="A68" s="142">
        <f>IF(priority(Main[[#This Row],[Comments]])&lt;&gt;0, priority(Main[[#This Row],[Comments]]),"")</f>
        <v>16.2</v>
      </c>
      <c r="B68" s="90" t="s">
        <v>2443</v>
      </c>
      <c r="C68" s="72" t="s">
        <v>31</v>
      </c>
      <c r="D68" s="73" t="s">
        <v>2444</v>
      </c>
      <c r="E68" s="74"/>
      <c r="F68" s="74">
        <v>41000</v>
      </c>
      <c r="G68" s="75">
        <f>IF(stdProdLT(Main[[#This Row],[Comments]])=0.1,"N/A",IF(stdProdLT(Main[[#This Row],[Comments]])=0,"",stdProdLT(Main[[#This Row],[Comments]])))</f>
        <v>140</v>
      </c>
      <c r="H68" s="76" t="str">
        <f>IF(AND(Main[[#This Row],[In Stock Date]]&lt;&gt;"",Main[[#This Row],[Revised Due Date]]&lt;&gt;""),Main[[#This Row],[In Stock Date]]-Main[[#This Row],[Revised Due Date]],"")</f>
        <v/>
      </c>
      <c r="I68" s="72" t="s">
        <v>4</v>
      </c>
      <c r="J68" s="72" t="s">
        <v>4</v>
      </c>
      <c r="K68" s="72" t="s">
        <v>4</v>
      </c>
      <c r="L68" s="74"/>
      <c r="M68" s="77" t="str">
        <f>IF(Main[[#This Row],[Tech Start Date]]&lt;1/1/1990,"",IF(Main[[#This Row],[Class]]="C",WORKDAY(Main[[#This Row],[Tech Start Date]],9),IF(Main[[#This Row],[Class]]="B", WORKDAY(Main[[#This Row],[Tech Start Date]],6),IF(Main[[#This Row],[Class]]="A",WORKDAY(Main[[#This Row],[Tech Start Date]],2),""))))</f>
        <v/>
      </c>
      <c r="N68" s="77" t="str">
        <f>IF(Main[[#This Row],[Tech Start Date]]&lt;1/1/1990,"",IF(Main[[#This Row],[Class]]="C",WORKDAY(Main[[#This Row],[Tech Start Date]],19),IF(Main[[#This Row],[Class]]="B", WORKDAY(Main[[#This Row],[Tech Start Date]],12),IF(Main[[#This Row],[Class]]="A",WORKDAY(Main[[#This Row],[Tech Start Date]],4),""))))</f>
        <v/>
      </c>
      <c r="O68" s="77" t="str">
        <f>IF(Main[[#This Row],[Tech Start Date]]&lt;1/1/1990,"",IF(Main[[#This Row],[Class]]="C",WORKDAY(Main[[#This Row],[Tech Start Date]],23),IF(Main[[#This Row],[Class]]="B", WORKDAY(Main[[#This Row],[Tech Start Date]],15),IF(Main[[#This Row],[Class]]="A",WORKDAY(Main[[#This Row],[Tech Start Date]],5),""))))</f>
        <v/>
      </c>
      <c r="P68" s="77" t="str">
        <f>IF(Main[[#This Row],[Tech Start Date]]&lt;1/1/1990,"",IF(Main[[#This Row],[Class]]="C",WORKDAY(Main[[#This Row],[Tech Start Date]],28),IF(Main[[#This Row],[Class]]="B", WORKDAY(Main[[#This Row],[Tech Start Date]],19),IF(Main[[#This Row],[Class]]="A",WORKDAY(Main[[#This Row],[Tech Start Date]],9),""))))</f>
        <v/>
      </c>
      <c r="Q68" s="74">
        <v>40916</v>
      </c>
      <c r="R68" s="74"/>
      <c r="S68" s="72" t="s">
        <v>11</v>
      </c>
      <c r="T68" s="80" t="s">
        <v>2445</v>
      </c>
      <c r="U68" s="72" t="s">
        <v>14</v>
      </c>
      <c r="V68" s="72" t="s">
        <v>1947</v>
      </c>
      <c r="W68" s="72" t="s">
        <v>1943</v>
      </c>
      <c r="X68" s="72" t="s">
        <v>2992</v>
      </c>
      <c r="Y68" s="72" t="s">
        <v>3248</v>
      </c>
      <c r="Z68" s="72" t="s">
        <v>4</v>
      </c>
    </row>
    <row r="69" spans="1:26" ht="18.600000000000001" customHeight="1">
      <c r="A69" s="142">
        <f>IF(priority(Main[[#This Row],[Comments]])&lt;&gt;0, priority(Main[[#This Row],[Comments]]),"")</f>
        <v>17</v>
      </c>
      <c r="B69" s="90" t="s">
        <v>1240</v>
      </c>
      <c r="C69" s="72" t="s">
        <v>33</v>
      </c>
      <c r="D69" s="73" t="s">
        <v>331</v>
      </c>
      <c r="E69" s="74"/>
      <c r="F69" s="74">
        <v>40695</v>
      </c>
      <c r="G69" s="75" t="str">
        <f>IF(stdProdLT(Main[[#This Row],[Comments]])=0.1,"N/A",IF(stdProdLT(Main[[#This Row],[Comments]])=0,"",stdProdLT(Main[[#This Row],[Comments]])))</f>
        <v/>
      </c>
      <c r="H69" s="76" t="str">
        <f>IF(AND(Main[[#This Row],[In Stock Date]]&lt;&gt;"",Main[[#This Row],[Revised Due Date]]&lt;&gt;""),Main[[#This Row],[In Stock Date]]-Main[[#This Row],[Revised Due Date]],"")</f>
        <v/>
      </c>
      <c r="I69" s="72" t="s">
        <v>108</v>
      </c>
      <c r="J69" s="72" t="s">
        <v>28</v>
      </c>
      <c r="K69" s="72" t="s">
        <v>4</v>
      </c>
      <c r="L69" s="74"/>
      <c r="M69" s="77" t="str">
        <f>IF(Main[[#This Row],[Tech Start Date]]&lt;1/1/1990,"",IF(Main[[#This Row],[Class]]="C",WORKDAY(Main[[#This Row],[Tech Start Date]],9),IF(Main[[#This Row],[Class]]="B", WORKDAY(Main[[#This Row],[Tech Start Date]],6),IF(Main[[#This Row],[Class]]="A",WORKDAY(Main[[#This Row],[Tech Start Date]],2),""))))</f>
        <v/>
      </c>
      <c r="N69" s="77" t="str">
        <f>IF(Main[[#This Row],[Tech Start Date]]&lt;1/1/1990,"",IF(Main[[#This Row],[Class]]="C",WORKDAY(Main[[#This Row],[Tech Start Date]],19),IF(Main[[#This Row],[Class]]="B", WORKDAY(Main[[#This Row],[Tech Start Date]],12),IF(Main[[#This Row],[Class]]="A",WORKDAY(Main[[#This Row],[Tech Start Date]],4),""))))</f>
        <v/>
      </c>
      <c r="O69" s="77" t="str">
        <f>IF(Main[[#This Row],[Tech Start Date]]&lt;1/1/1990,"",IF(Main[[#This Row],[Class]]="C",WORKDAY(Main[[#This Row],[Tech Start Date]],23),IF(Main[[#This Row],[Class]]="B", WORKDAY(Main[[#This Row],[Tech Start Date]],15),IF(Main[[#This Row],[Class]]="A",WORKDAY(Main[[#This Row],[Tech Start Date]],5),""))))</f>
        <v/>
      </c>
      <c r="P69" s="77" t="str">
        <f>IF(Main[[#This Row],[Tech Start Date]]&lt;1/1/1990,"",IF(Main[[#This Row],[Class]]="C",WORKDAY(Main[[#This Row],[Tech Start Date]],28),IF(Main[[#This Row],[Class]]="B", WORKDAY(Main[[#This Row],[Tech Start Date]],19),IF(Main[[#This Row],[Class]]="A",WORKDAY(Main[[#This Row],[Tech Start Date]],9),""))))</f>
        <v/>
      </c>
      <c r="Q69" s="74">
        <v>40695</v>
      </c>
      <c r="R69" s="74"/>
      <c r="S69" s="72" t="s">
        <v>11</v>
      </c>
      <c r="T69" s="80" t="s">
        <v>332</v>
      </c>
      <c r="U69" s="72" t="s">
        <v>14</v>
      </c>
      <c r="V69" s="72" t="s">
        <v>1938</v>
      </c>
      <c r="W69" s="72" t="s">
        <v>1942</v>
      </c>
      <c r="X69" s="72" t="s">
        <v>3027</v>
      </c>
      <c r="Y69" s="72" t="s">
        <v>3179</v>
      </c>
      <c r="Z69" s="72" t="s">
        <v>3322</v>
      </c>
    </row>
    <row r="70" spans="1:26" ht="18.600000000000001" customHeight="1">
      <c r="A70" s="142">
        <f>IF(priority(Main[[#This Row],[Comments]])&lt;&gt;0, priority(Main[[#This Row],[Comments]]),"")</f>
        <v>17</v>
      </c>
      <c r="B70" s="90" t="s">
        <v>2050</v>
      </c>
      <c r="C70" s="72" t="s">
        <v>2051</v>
      </c>
      <c r="D70" s="73" t="s">
        <v>2166</v>
      </c>
      <c r="E70" s="74"/>
      <c r="F70" s="74">
        <v>40752</v>
      </c>
      <c r="G70" s="75">
        <f>IF(stdProdLT(Main[[#This Row],[Comments]])=0.1,"N/A",IF(stdProdLT(Main[[#This Row],[Comments]])=0,"",stdProdLT(Main[[#This Row],[Comments]])))</f>
        <v>42</v>
      </c>
      <c r="H70" s="76">
        <f>IF(AND(Main[[#This Row],[In Stock Date]]&lt;&gt;"",Main[[#This Row],[Revised Due Date]]&lt;&gt;""),Main[[#This Row],[In Stock Date]]-Main[[#This Row],[Revised Due Date]],"")</f>
        <v>-32</v>
      </c>
      <c r="I70" s="72" t="s">
        <v>972</v>
      </c>
      <c r="J70" s="72" t="s">
        <v>28</v>
      </c>
      <c r="K70" s="72" t="s">
        <v>1944</v>
      </c>
      <c r="L70" s="74">
        <v>40745</v>
      </c>
      <c r="M70" s="77">
        <f>IF(Main[[#This Row],[Tech Start Date]]&lt;1/1/1990,"",IF(Main[[#This Row],[Class]]="C",WORKDAY(Main[[#This Row],[Tech Start Date]],9),IF(Main[[#This Row],[Class]]="B", WORKDAY(Main[[#This Row],[Tech Start Date]],6),IF(Main[[#This Row],[Class]]="A",WORKDAY(Main[[#This Row],[Tech Start Date]],2),""))))</f>
        <v>40753</v>
      </c>
      <c r="N70" s="77">
        <f>IF(Main[[#This Row],[Tech Start Date]]&lt;1/1/1990,"",IF(Main[[#This Row],[Class]]="C",WORKDAY(Main[[#This Row],[Tech Start Date]],19),IF(Main[[#This Row],[Class]]="B", WORKDAY(Main[[#This Row],[Tech Start Date]],12),IF(Main[[#This Row],[Class]]="A",WORKDAY(Main[[#This Row],[Tech Start Date]],4),""))))</f>
        <v>40763</v>
      </c>
      <c r="O70" s="77">
        <f>IF(Main[[#This Row],[Tech Start Date]]&lt;1/1/1990,"",IF(Main[[#This Row],[Class]]="C",WORKDAY(Main[[#This Row],[Tech Start Date]],23),IF(Main[[#This Row],[Class]]="B", WORKDAY(Main[[#This Row],[Tech Start Date]],15),IF(Main[[#This Row],[Class]]="A",WORKDAY(Main[[#This Row],[Tech Start Date]],5),""))))</f>
        <v>40766</v>
      </c>
      <c r="P70" s="77">
        <f>IF(Main[[#This Row],[Tech Start Date]]&lt;1/1/1990,"",IF(Main[[#This Row],[Class]]="C",WORKDAY(Main[[#This Row],[Tech Start Date]],28),IF(Main[[#This Row],[Class]]="B", WORKDAY(Main[[#This Row],[Tech Start Date]],19),IF(Main[[#This Row],[Class]]="A",WORKDAY(Main[[#This Row],[Tech Start Date]],9),""))))</f>
        <v>40772</v>
      </c>
      <c r="Q70" s="74">
        <v>40752</v>
      </c>
      <c r="R70" s="74">
        <v>40784</v>
      </c>
      <c r="S70" s="72" t="s">
        <v>11</v>
      </c>
      <c r="T70" s="80" t="s">
        <v>2167</v>
      </c>
      <c r="U70" s="72" t="s">
        <v>14</v>
      </c>
      <c r="V70" s="72" t="s">
        <v>1938</v>
      </c>
      <c r="W70" s="72" t="s">
        <v>1939</v>
      </c>
      <c r="X70" s="72" t="s">
        <v>2967</v>
      </c>
      <c r="Y70" s="72" t="s">
        <v>3085</v>
      </c>
      <c r="Z70" s="72" t="s">
        <v>2080</v>
      </c>
    </row>
    <row r="71" spans="1:26" ht="18.600000000000001" customHeight="1">
      <c r="A71" s="142">
        <f>IF(priority(Main[[#This Row],[Comments]])&lt;&gt;0, priority(Main[[#This Row],[Comments]]),"")</f>
        <v>17</v>
      </c>
      <c r="B71" s="90" t="s">
        <v>2282</v>
      </c>
      <c r="C71" s="72" t="s">
        <v>149</v>
      </c>
      <c r="D71" s="73" t="s">
        <v>2728</v>
      </c>
      <c r="E71" s="74">
        <v>40794.58861111111</v>
      </c>
      <c r="F71" s="74">
        <v>41064</v>
      </c>
      <c r="G71" s="75">
        <f>IF(stdProdLT(Main[[#This Row],[Comments]])=0.1,"N/A",IF(stdProdLT(Main[[#This Row],[Comments]])=0,"",stdProdLT(Main[[#This Row],[Comments]])))</f>
        <v>168</v>
      </c>
      <c r="H71" s="76">
        <f>IF(AND(Main[[#This Row],[In Stock Date]]&lt;&gt;"",Main[[#This Row],[Revised Due Date]]&lt;&gt;""),Main[[#This Row],[In Stock Date]]-Main[[#This Row],[Revised Due Date]],"")</f>
        <v>124</v>
      </c>
      <c r="I71" s="72" t="s">
        <v>81</v>
      </c>
      <c r="J71" s="72" t="s">
        <v>52</v>
      </c>
      <c r="K71" s="72" t="s">
        <v>1950</v>
      </c>
      <c r="L71" s="74">
        <v>40795</v>
      </c>
      <c r="M71" s="77">
        <f>IF(Main[[#This Row],[Tech Start Date]]&lt;1/1/1990,"",IF(Main[[#This Row],[Class]]="C",WORKDAY(Main[[#This Row],[Tech Start Date]],9),IF(Main[[#This Row],[Class]]="B", WORKDAY(Main[[#This Row],[Tech Start Date]],6),IF(Main[[#This Row],[Class]]="A",WORKDAY(Main[[#This Row],[Tech Start Date]],2),""))))</f>
        <v>40808</v>
      </c>
      <c r="N71" s="77">
        <f>IF(Main[[#This Row],[Tech Start Date]]&lt;1/1/1990,"",IF(Main[[#This Row],[Class]]="C",WORKDAY(Main[[#This Row],[Tech Start Date]],19),IF(Main[[#This Row],[Class]]="B", WORKDAY(Main[[#This Row],[Tech Start Date]],12),IF(Main[[#This Row],[Class]]="A",WORKDAY(Main[[#This Row],[Tech Start Date]],4),""))))</f>
        <v>40822</v>
      </c>
      <c r="O71" s="77">
        <f>IF(Main[[#This Row],[Tech Start Date]]&lt;1/1/1990,"",IF(Main[[#This Row],[Class]]="C",WORKDAY(Main[[#This Row],[Tech Start Date]],23),IF(Main[[#This Row],[Class]]="B", WORKDAY(Main[[#This Row],[Tech Start Date]],15),IF(Main[[#This Row],[Class]]="A",WORKDAY(Main[[#This Row],[Tech Start Date]],5),""))))</f>
        <v>40828</v>
      </c>
      <c r="P71" s="77">
        <f>IF(Main[[#This Row],[Tech Start Date]]&lt;1/1/1990,"",IF(Main[[#This Row],[Class]]="C",WORKDAY(Main[[#This Row],[Tech Start Date]],28),IF(Main[[#This Row],[Class]]="B", WORKDAY(Main[[#This Row],[Tech Start Date]],19),IF(Main[[#This Row],[Class]]="A",WORKDAY(Main[[#This Row],[Tech Start Date]],9),""))))</f>
        <v>40835</v>
      </c>
      <c r="Q71" s="74">
        <v>40840</v>
      </c>
      <c r="R71" s="74">
        <v>40940</v>
      </c>
      <c r="S71" s="72" t="s">
        <v>11</v>
      </c>
      <c r="T71" s="80" t="s">
        <v>3509</v>
      </c>
      <c r="U71" s="72" t="s">
        <v>29</v>
      </c>
      <c r="V71" s="72" t="s">
        <v>1940</v>
      </c>
      <c r="W71" s="72" t="s">
        <v>1942</v>
      </c>
      <c r="X71" s="72" t="s">
        <v>3043</v>
      </c>
      <c r="Y71" s="72" t="s">
        <v>3262</v>
      </c>
      <c r="Z71" s="72" t="s">
        <v>777</v>
      </c>
    </row>
    <row r="72" spans="1:26" ht="18.600000000000001" customHeight="1">
      <c r="A72" s="142">
        <f>IF(priority(Main[[#This Row],[Comments]])&lt;&gt;0, priority(Main[[#This Row],[Comments]]),"")</f>
        <v>17</v>
      </c>
      <c r="B72" s="90" t="s">
        <v>1180</v>
      </c>
      <c r="C72" s="72" t="s">
        <v>1991</v>
      </c>
      <c r="D72" s="73" t="s">
        <v>220</v>
      </c>
      <c r="E72" s="74"/>
      <c r="F72" s="74">
        <v>40724</v>
      </c>
      <c r="G72" s="75" t="str">
        <f>IF(stdProdLT(Main[[#This Row],[Comments]])=0.1,"N/A",IF(stdProdLT(Main[[#This Row],[Comments]])=0,"",stdProdLT(Main[[#This Row],[Comments]])))</f>
        <v/>
      </c>
      <c r="H72" s="76">
        <f>IF(AND(Main[[#This Row],[In Stock Date]]&lt;&gt;"",Main[[#This Row],[Revised Due Date]]&lt;&gt;""),Main[[#This Row],[In Stock Date]]-Main[[#This Row],[Revised Due Date]],"")</f>
        <v>-176</v>
      </c>
      <c r="I72" s="72" t="s">
        <v>958</v>
      </c>
      <c r="J72" s="72" t="s">
        <v>28</v>
      </c>
      <c r="K72" s="72" t="s">
        <v>1944</v>
      </c>
      <c r="L72" s="74">
        <v>40835</v>
      </c>
      <c r="M72" s="77">
        <f>IF(Main[[#This Row],[Tech Start Date]]&lt;1/1/1990,"",IF(Main[[#This Row],[Class]]="C",WORKDAY(Main[[#This Row],[Tech Start Date]],9),IF(Main[[#This Row],[Class]]="B", WORKDAY(Main[[#This Row],[Tech Start Date]],6),IF(Main[[#This Row],[Class]]="A",WORKDAY(Main[[#This Row],[Tech Start Date]],2),""))))</f>
        <v>40843</v>
      </c>
      <c r="N72" s="77">
        <f>IF(Main[[#This Row],[Tech Start Date]]&lt;1/1/1990,"",IF(Main[[#This Row],[Class]]="C",WORKDAY(Main[[#This Row],[Tech Start Date]],19),IF(Main[[#This Row],[Class]]="B", WORKDAY(Main[[#This Row],[Tech Start Date]],12),IF(Main[[#This Row],[Class]]="A",WORKDAY(Main[[#This Row],[Tech Start Date]],4),""))))</f>
        <v>40851</v>
      </c>
      <c r="O72" s="77">
        <f>IF(Main[[#This Row],[Tech Start Date]]&lt;1/1/1990,"",IF(Main[[#This Row],[Class]]="C",WORKDAY(Main[[#This Row],[Tech Start Date]],23),IF(Main[[#This Row],[Class]]="B", WORKDAY(Main[[#This Row],[Tech Start Date]],15),IF(Main[[#This Row],[Class]]="A",WORKDAY(Main[[#This Row],[Tech Start Date]],5),""))))</f>
        <v>40856</v>
      </c>
      <c r="P72" s="77">
        <f>IF(Main[[#This Row],[Tech Start Date]]&lt;1/1/1990,"",IF(Main[[#This Row],[Class]]="C",WORKDAY(Main[[#This Row],[Tech Start Date]],28),IF(Main[[#This Row],[Class]]="B", WORKDAY(Main[[#This Row],[Tech Start Date]],19),IF(Main[[#This Row],[Class]]="A",WORKDAY(Main[[#This Row],[Tech Start Date]],9),""))))</f>
        <v>40862</v>
      </c>
      <c r="Q72" s="74">
        <v>40724</v>
      </c>
      <c r="R72" s="74">
        <v>40900</v>
      </c>
      <c r="S72" s="72" t="s">
        <v>11</v>
      </c>
      <c r="T72" s="80" t="s">
        <v>2934</v>
      </c>
      <c r="U72" s="72" t="s">
        <v>14</v>
      </c>
      <c r="V72" s="72" t="s">
        <v>1938</v>
      </c>
      <c r="W72" s="72" t="s">
        <v>1945</v>
      </c>
      <c r="X72" s="72" t="s">
        <v>3009</v>
      </c>
      <c r="Y72" s="72" t="s">
        <v>3156</v>
      </c>
      <c r="Z72" s="72" t="s">
        <v>2080</v>
      </c>
    </row>
    <row r="73" spans="1:26" ht="18.600000000000001" customHeight="1">
      <c r="A73" s="142">
        <f>IF(priority(Main[[#This Row],[Comments]])&lt;&gt;0, priority(Main[[#This Row],[Comments]]),"")</f>
        <v>18</v>
      </c>
      <c r="B73" s="90" t="s">
        <v>1251</v>
      </c>
      <c r="C73" s="72" t="s">
        <v>299</v>
      </c>
      <c r="D73" s="73" t="s">
        <v>2344</v>
      </c>
      <c r="E73" s="74">
        <v>40466.671342592592</v>
      </c>
      <c r="F73" s="74"/>
      <c r="G73" s="75" t="str">
        <f>IF(stdProdLT(Main[[#This Row],[Comments]])=0.1,"N/A",IF(stdProdLT(Main[[#This Row],[Comments]])=0,"",stdProdLT(Main[[#This Row],[Comments]])))</f>
        <v/>
      </c>
      <c r="H73" s="76" t="str">
        <f>IF(AND(Main[[#This Row],[In Stock Date]]&lt;&gt;"",Main[[#This Row],[Revised Due Date]]&lt;&gt;""),Main[[#This Row],[In Stock Date]]-Main[[#This Row],[Revised Due Date]],"")</f>
        <v/>
      </c>
      <c r="I73" s="72" t="s">
        <v>4</v>
      </c>
      <c r="J73" s="72" t="s">
        <v>28</v>
      </c>
      <c r="K73" s="72" t="s">
        <v>4</v>
      </c>
      <c r="L73" s="74"/>
      <c r="M73" s="77" t="str">
        <f>IF(Main[[#This Row],[Tech Start Date]]&lt;1/1/1990,"",IF(Main[[#This Row],[Class]]="C",WORKDAY(Main[[#This Row],[Tech Start Date]],9),IF(Main[[#This Row],[Class]]="B", WORKDAY(Main[[#This Row],[Tech Start Date]],6),IF(Main[[#This Row],[Class]]="A",WORKDAY(Main[[#This Row],[Tech Start Date]],2),""))))</f>
        <v/>
      </c>
      <c r="N73" s="77" t="str">
        <f>IF(Main[[#This Row],[Tech Start Date]]&lt;1/1/1990,"",IF(Main[[#This Row],[Class]]="C",WORKDAY(Main[[#This Row],[Tech Start Date]],19),IF(Main[[#This Row],[Class]]="B", WORKDAY(Main[[#This Row],[Tech Start Date]],12),IF(Main[[#This Row],[Class]]="A",WORKDAY(Main[[#This Row],[Tech Start Date]],4),""))))</f>
        <v/>
      </c>
      <c r="O73" s="77" t="str">
        <f>IF(Main[[#This Row],[Tech Start Date]]&lt;1/1/1990,"",IF(Main[[#This Row],[Class]]="C",WORKDAY(Main[[#This Row],[Tech Start Date]],23),IF(Main[[#This Row],[Class]]="B", WORKDAY(Main[[#This Row],[Tech Start Date]],15),IF(Main[[#This Row],[Class]]="A",WORKDAY(Main[[#This Row],[Tech Start Date]],5),""))))</f>
        <v/>
      </c>
      <c r="P73" s="77" t="str">
        <f>IF(Main[[#This Row],[Tech Start Date]]&lt;1/1/1990,"",IF(Main[[#This Row],[Class]]="C",WORKDAY(Main[[#This Row],[Tech Start Date]],28),IF(Main[[#This Row],[Class]]="B", WORKDAY(Main[[#This Row],[Tech Start Date]],19),IF(Main[[#This Row],[Class]]="A",WORKDAY(Main[[#This Row],[Tech Start Date]],9),""))))</f>
        <v/>
      </c>
      <c r="Q73" s="74"/>
      <c r="R73" s="74"/>
      <c r="S73" s="72" t="s">
        <v>6</v>
      </c>
      <c r="T73" s="80" t="s">
        <v>2726</v>
      </c>
      <c r="U73" s="72" t="s">
        <v>7</v>
      </c>
      <c r="V73" s="72" t="s">
        <v>1937</v>
      </c>
      <c r="W73" s="72" t="s">
        <v>1945</v>
      </c>
      <c r="X73" s="72" t="s">
        <v>897</v>
      </c>
      <c r="Y73" s="72" t="s">
        <v>3121</v>
      </c>
      <c r="Z73" s="72" t="s">
        <v>129</v>
      </c>
    </row>
    <row r="74" spans="1:26" ht="18.600000000000001" customHeight="1">
      <c r="A74" s="142">
        <f>IF(priority(Main[[#This Row],[Comments]])&lt;&gt;0, priority(Main[[#This Row],[Comments]]),"")</f>
        <v>18</v>
      </c>
      <c r="B74" s="90" t="s">
        <v>2104</v>
      </c>
      <c r="C74" s="72" t="s">
        <v>33</v>
      </c>
      <c r="D74" s="73" t="s">
        <v>2928</v>
      </c>
      <c r="E74" s="74">
        <v>40776.124837962961</v>
      </c>
      <c r="F74" s="74">
        <v>41007</v>
      </c>
      <c r="G74" s="75">
        <f>IF(stdProdLT(Main[[#This Row],[Comments]])=0.1,"N/A",IF(stdProdLT(Main[[#This Row],[Comments]])=0,"",stdProdLT(Main[[#This Row],[Comments]])))</f>
        <v>112</v>
      </c>
      <c r="H74" s="76">
        <f>IF(AND(Main[[#This Row],[In Stock Date]]&lt;&gt;"",Main[[#This Row],[Revised Due Date]]&lt;&gt;""),Main[[#This Row],[In Stock Date]]-Main[[#This Row],[Revised Due Date]],"")</f>
        <v>68</v>
      </c>
      <c r="I74" s="72" t="s">
        <v>927</v>
      </c>
      <c r="J74" s="72" t="s">
        <v>52</v>
      </c>
      <c r="K74" s="72" t="s">
        <v>1950</v>
      </c>
      <c r="L74" s="74">
        <v>40805</v>
      </c>
      <c r="M74" s="77">
        <f>IF(Main[[#This Row],[Tech Start Date]]&lt;1/1/1990,"",IF(Main[[#This Row],[Class]]="C",WORKDAY(Main[[#This Row],[Tech Start Date]],9),IF(Main[[#This Row],[Class]]="B", WORKDAY(Main[[#This Row],[Tech Start Date]],6),IF(Main[[#This Row],[Class]]="A",WORKDAY(Main[[#This Row],[Tech Start Date]],2),""))))</f>
        <v>40816</v>
      </c>
      <c r="N74" s="77">
        <f>IF(Main[[#This Row],[Tech Start Date]]&lt;1/1/1990,"",IF(Main[[#This Row],[Class]]="C",WORKDAY(Main[[#This Row],[Tech Start Date]],19),IF(Main[[#This Row],[Class]]="B", WORKDAY(Main[[#This Row],[Tech Start Date]],12),IF(Main[[#This Row],[Class]]="A",WORKDAY(Main[[#This Row],[Tech Start Date]],4),""))))</f>
        <v>40830</v>
      </c>
      <c r="O74" s="77">
        <f>IF(Main[[#This Row],[Tech Start Date]]&lt;1/1/1990,"",IF(Main[[#This Row],[Class]]="C",WORKDAY(Main[[#This Row],[Tech Start Date]],23),IF(Main[[#This Row],[Class]]="B", WORKDAY(Main[[#This Row],[Tech Start Date]],15),IF(Main[[#This Row],[Class]]="A",WORKDAY(Main[[#This Row],[Tech Start Date]],5),""))))</f>
        <v>40836</v>
      </c>
      <c r="P74" s="77">
        <f>IF(Main[[#This Row],[Tech Start Date]]&lt;1/1/1990,"",IF(Main[[#This Row],[Class]]="C",WORKDAY(Main[[#This Row],[Tech Start Date]],28),IF(Main[[#This Row],[Class]]="B", WORKDAY(Main[[#This Row],[Tech Start Date]],19),IF(Main[[#This Row],[Class]]="A",WORKDAY(Main[[#This Row],[Tech Start Date]],9),""))))</f>
        <v>40843</v>
      </c>
      <c r="Q74" s="74">
        <v>40811</v>
      </c>
      <c r="R74" s="74">
        <v>40939</v>
      </c>
      <c r="S74" s="72" t="s">
        <v>11</v>
      </c>
      <c r="T74" s="80" t="s">
        <v>3465</v>
      </c>
      <c r="U74" s="72" t="s">
        <v>29</v>
      </c>
      <c r="V74" s="72" t="s">
        <v>1937</v>
      </c>
      <c r="W74" s="72" t="s">
        <v>1942</v>
      </c>
      <c r="X74" s="72" t="s">
        <v>2978</v>
      </c>
      <c r="Y74" s="72" t="s">
        <v>3104</v>
      </c>
      <c r="Z74" s="72" t="s">
        <v>129</v>
      </c>
    </row>
    <row r="75" spans="1:26" ht="18.600000000000001" customHeight="1">
      <c r="A75" s="142">
        <f>IF(priority(Main[[#This Row],[Comments]])&lt;&gt;0, priority(Main[[#This Row],[Comments]]),"")</f>
        <v>18</v>
      </c>
      <c r="B75" s="90" t="s">
        <v>2249</v>
      </c>
      <c r="C75" s="72" t="s">
        <v>33</v>
      </c>
      <c r="D75" s="73" t="s">
        <v>2250</v>
      </c>
      <c r="E75" s="74">
        <v>40799.635092592594</v>
      </c>
      <c r="F75" s="74">
        <v>41091</v>
      </c>
      <c r="G75" s="75">
        <f>IF(stdProdLT(Main[[#This Row],[Comments]])=0.1,"N/A",IF(stdProdLT(Main[[#This Row],[Comments]])=0,"",stdProdLT(Main[[#This Row],[Comments]])))</f>
        <v>168</v>
      </c>
      <c r="H75" s="76">
        <f>IF(AND(Main[[#This Row],[In Stock Date]]&lt;&gt;"",Main[[#This Row],[Revised Due Date]]&lt;&gt;""),Main[[#This Row],[In Stock Date]]-Main[[#This Row],[Revised Due Date]],"")</f>
        <v>108</v>
      </c>
      <c r="I75" s="72" t="s">
        <v>81</v>
      </c>
      <c r="J75" s="72" t="s">
        <v>21</v>
      </c>
      <c r="K75" s="72" t="s">
        <v>1950</v>
      </c>
      <c r="L75" s="74">
        <v>40813</v>
      </c>
      <c r="M75" s="77">
        <f>IF(Main[[#This Row],[Tech Start Date]]&lt;1/1/1990,"",IF(Main[[#This Row],[Class]]="C",WORKDAY(Main[[#This Row],[Tech Start Date]],9),IF(Main[[#This Row],[Class]]="B", WORKDAY(Main[[#This Row],[Tech Start Date]],6),IF(Main[[#This Row],[Class]]="A",WORKDAY(Main[[#This Row],[Tech Start Date]],2),""))))</f>
        <v>40826</v>
      </c>
      <c r="N75" s="77">
        <f>IF(Main[[#This Row],[Tech Start Date]]&lt;1/1/1990,"",IF(Main[[#This Row],[Class]]="C",WORKDAY(Main[[#This Row],[Tech Start Date]],19),IF(Main[[#This Row],[Class]]="B", WORKDAY(Main[[#This Row],[Tech Start Date]],12),IF(Main[[#This Row],[Class]]="A",WORKDAY(Main[[#This Row],[Tech Start Date]],4),""))))</f>
        <v>40840</v>
      </c>
      <c r="O75" s="77">
        <f>IF(Main[[#This Row],[Tech Start Date]]&lt;1/1/1990,"",IF(Main[[#This Row],[Class]]="C",WORKDAY(Main[[#This Row],[Tech Start Date]],23),IF(Main[[#This Row],[Class]]="B", WORKDAY(Main[[#This Row],[Tech Start Date]],15),IF(Main[[#This Row],[Class]]="A",WORKDAY(Main[[#This Row],[Tech Start Date]],5),""))))</f>
        <v>40844</v>
      </c>
      <c r="P75" s="77">
        <f>IF(Main[[#This Row],[Tech Start Date]]&lt;1/1/1990,"",IF(Main[[#This Row],[Class]]="C",WORKDAY(Main[[#This Row],[Tech Start Date]],28),IF(Main[[#This Row],[Class]]="B", WORKDAY(Main[[#This Row],[Tech Start Date]],19),IF(Main[[#This Row],[Class]]="A",WORKDAY(Main[[#This Row],[Tech Start Date]],9),""))))</f>
        <v>40851</v>
      </c>
      <c r="Q75" s="74">
        <v>40907</v>
      </c>
      <c r="R75" s="74">
        <v>40983</v>
      </c>
      <c r="S75" s="72" t="s">
        <v>11</v>
      </c>
      <c r="T75" s="80" t="s">
        <v>3510</v>
      </c>
      <c r="U75" s="72" t="s">
        <v>29</v>
      </c>
      <c r="V75" s="72" t="s">
        <v>1940</v>
      </c>
      <c r="W75" s="72" t="s">
        <v>1942</v>
      </c>
      <c r="X75" s="72" t="s">
        <v>3043</v>
      </c>
      <c r="Y75" s="72" t="s">
        <v>3262</v>
      </c>
      <c r="Z75" s="72" t="s">
        <v>81</v>
      </c>
    </row>
    <row r="76" spans="1:26" ht="18.600000000000001" customHeight="1">
      <c r="A76" s="142">
        <f>IF(priority(Main[[#This Row],[Comments]])&lt;&gt;0, priority(Main[[#This Row],[Comments]]),"")</f>
        <v>19</v>
      </c>
      <c r="B76" s="90" t="s">
        <v>1602</v>
      </c>
      <c r="C76" s="72" t="s">
        <v>122</v>
      </c>
      <c r="D76" s="73" t="s">
        <v>670</v>
      </c>
      <c r="E76" s="74"/>
      <c r="F76" s="74">
        <v>40704</v>
      </c>
      <c r="G76" s="75" t="str">
        <f>IF(stdProdLT(Main[[#This Row],[Comments]])=0.1,"N/A",IF(stdProdLT(Main[[#This Row],[Comments]])=0,"",stdProdLT(Main[[#This Row],[Comments]])))</f>
        <v/>
      </c>
      <c r="H76" s="76" t="str">
        <f>IF(AND(Main[[#This Row],[In Stock Date]]&lt;&gt;"",Main[[#This Row],[Revised Due Date]]&lt;&gt;""),Main[[#This Row],[In Stock Date]]-Main[[#This Row],[Revised Due Date]],"")</f>
        <v/>
      </c>
      <c r="I76" s="72" t="s">
        <v>4</v>
      </c>
      <c r="J76" s="72" t="s">
        <v>28</v>
      </c>
      <c r="K76" s="81" t="s">
        <v>1946</v>
      </c>
      <c r="L76" s="74"/>
      <c r="M76" s="77" t="str">
        <f>IF(Main[[#This Row],[Tech Start Date]]&lt;1/1/1990,"",IF(Main[[#This Row],[Class]]="C",WORKDAY(Main[[#This Row],[Tech Start Date]],9),IF(Main[[#This Row],[Class]]="B", WORKDAY(Main[[#This Row],[Tech Start Date]],6),IF(Main[[#This Row],[Class]]="A",WORKDAY(Main[[#This Row],[Tech Start Date]],2),""))))</f>
        <v/>
      </c>
      <c r="N76" s="77" t="str">
        <f>IF(Main[[#This Row],[Tech Start Date]]&lt;1/1/1990,"",IF(Main[[#This Row],[Class]]="C",WORKDAY(Main[[#This Row],[Tech Start Date]],19),IF(Main[[#This Row],[Class]]="B", WORKDAY(Main[[#This Row],[Tech Start Date]],12),IF(Main[[#This Row],[Class]]="A",WORKDAY(Main[[#This Row],[Tech Start Date]],4),""))))</f>
        <v/>
      </c>
      <c r="O76" s="77" t="str">
        <f>IF(Main[[#This Row],[Tech Start Date]]&lt;1/1/1990,"",IF(Main[[#This Row],[Class]]="C",WORKDAY(Main[[#This Row],[Tech Start Date]],23),IF(Main[[#This Row],[Class]]="B", WORKDAY(Main[[#This Row],[Tech Start Date]],15),IF(Main[[#This Row],[Class]]="A",WORKDAY(Main[[#This Row],[Tech Start Date]],5),""))))</f>
        <v/>
      </c>
      <c r="P76" s="77" t="str">
        <f>IF(Main[[#This Row],[Tech Start Date]]&lt;1/1/1990,"",IF(Main[[#This Row],[Class]]="C",WORKDAY(Main[[#This Row],[Tech Start Date]],28),IF(Main[[#This Row],[Class]]="B", WORKDAY(Main[[#This Row],[Tech Start Date]],19),IF(Main[[#This Row],[Class]]="A",WORKDAY(Main[[#This Row],[Tech Start Date]],9),""))))</f>
        <v/>
      </c>
      <c r="Q76" s="74">
        <v>40704</v>
      </c>
      <c r="R76" s="74"/>
      <c r="S76" s="72" t="s">
        <v>11</v>
      </c>
      <c r="T76" s="80" t="s">
        <v>2004</v>
      </c>
      <c r="U76" s="72" t="s">
        <v>14</v>
      </c>
      <c r="V76" s="72" t="s">
        <v>1937</v>
      </c>
      <c r="W76" s="72" t="s">
        <v>1939</v>
      </c>
      <c r="X76" s="72" t="s">
        <v>3004</v>
      </c>
      <c r="Y76" s="72" t="s">
        <v>3148</v>
      </c>
      <c r="Z76" s="72" t="s">
        <v>129</v>
      </c>
    </row>
    <row r="77" spans="1:26" ht="18.600000000000001" customHeight="1">
      <c r="A77" s="142">
        <f>IF(priority(Main[[#This Row],[Comments]])&lt;&gt;0, priority(Main[[#This Row],[Comments]]),"")</f>
        <v>19</v>
      </c>
      <c r="B77" s="90" t="s">
        <v>2324</v>
      </c>
      <c r="C77" s="72" t="s">
        <v>2325</v>
      </c>
      <c r="D77" s="73" t="s">
        <v>2930</v>
      </c>
      <c r="E77" s="74">
        <v>40814.583657407406</v>
      </c>
      <c r="F77" s="74">
        <v>41150</v>
      </c>
      <c r="G77" s="75">
        <f>IF(stdProdLT(Main[[#This Row],[Comments]])=0.1,"N/A",IF(stdProdLT(Main[[#This Row],[Comments]])=0,"",stdProdLT(Main[[#This Row],[Comments]])))</f>
        <v>112</v>
      </c>
      <c r="H77" s="76">
        <f>IF(AND(Main[[#This Row],[In Stock Date]]&lt;&gt;"",Main[[#This Row],[Revised Due Date]]&lt;&gt;""),Main[[#This Row],[In Stock Date]]-Main[[#This Row],[Revised Due Date]],"")</f>
        <v>211</v>
      </c>
      <c r="I77" s="72" t="s">
        <v>568</v>
      </c>
      <c r="J77" s="72" t="s">
        <v>28</v>
      </c>
      <c r="K77" s="72" t="s">
        <v>1950</v>
      </c>
      <c r="L77" s="74">
        <v>40828</v>
      </c>
      <c r="M77" s="77">
        <f>IF(Main[[#This Row],[Tech Start Date]]&lt;1/1/1990,"",IF(Main[[#This Row],[Class]]="C",WORKDAY(Main[[#This Row],[Tech Start Date]],9),IF(Main[[#This Row],[Class]]="B", WORKDAY(Main[[#This Row],[Tech Start Date]],6),IF(Main[[#This Row],[Class]]="A",WORKDAY(Main[[#This Row],[Tech Start Date]],2),""))))</f>
        <v>40841</v>
      </c>
      <c r="N77" s="77">
        <f>IF(Main[[#This Row],[Tech Start Date]]&lt;1/1/1990,"",IF(Main[[#This Row],[Class]]="C",WORKDAY(Main[[#This Row],[Tech Start Date]],19),IF(Main[[#This Row],[Class]]="B", WORKDAY(Main[[#This Row],[Tech Start Date]],12),IF(Main[[#This Row],[Class]]="A",WORKDAY(Main[[#This Row],[Tech Start Date]],4),""))))</f>
        <v>40855</v>
      </c>
      <c r="O77" s="77">
        <f>IF(Main[[#This Row],[Tech Start Date]]&lt;1/1/1990,"",IF(Main[[#This Row],[Class]]="C",WORKDAY(Main[[#This Row],[Tech Start Date]],23),IF(Main[[#This Row],[Class]]="B", WORKDAY(Main[[#This Row],[Tech Start Date]],15),IF(Main[[#This Row],[Class]]="A",WORKDAY(Main[[#This Row],[Tech Start Date]],5),""))))</f>
        <v>40861</v>
      </c>
      <c r="P77" s="77">
        <f>IF(Main[[#This Row],[Tech Start Date]]&lt;1/1/1990,"",IF(Main[[#This Row],[Class]]="C",WORKDAY(Main[[#This Row],[Tech Start Date]],28),IF(Main[[#This Row],[Class]]="B", WORKDAY(Main[[#This Row],[Tech Start Date]],19),IF(Main[[#This Row],[Class]]="A",WORKDAY(Main[[#This Row],[Tech Start Date]],9),""))))</f>
        <v>40868</v>
      </c>
      <c r="Q77" s="74">
        <v>40876</v>
      </c>
      <c r="R77" s="74">
        <v>40939</v>
      </c>
      <c r="S77" s="72" t="s">
        <v>11</v>
      </c>
      <c r="T77" s="80" t="s">
        <v>3466</v>
      </c>
      <c r="U77" s="72" t="s">
        <v>29</v>
      </c>
      <c r="V77" s="72" t="s">
        <v>1937</v>
      </c>
      <c r="W77" s="72" t="s">
        <v>1943</v>
      </c>
      <c r="X77" s="72" t="s">
        <v>3076</v>
      </c>
      <c r="Y77" s="72" t="s">
        <v>4</v>
      </c>
      <c r="Z77" s="72" t="s">
        <v>129</v>
      </c>
    </row>
    <row r="78" spans="1:26" ht="18.600000000000001" customHeight="1">
      <c r="A78" s="142">
        <f>IF(priority(Main[[#This Row],[Comments]])&lt;&gt;0, priority(Main[[#This Row],[Comments]]),"")</f>
        <v>19</v>
      </c>
      <c r="B78" s="90" t="s">
        <v>3397</v>
      </c>
      <c r="C78" s="72" t="s">
        <v>3415</v>
      </c>
      <c r="D78" s="73" t="s">
        <v>3398</v>
      </c>
      <c r="E78" s="74">
        <v>40921.041666666664</v>
      </c>
      <c r="F78" s="74">
        <v>41122</v>
      </c>
      <c r="G78" s="75">
        <f>IF(stdProdLT(Main[[#This Row],[Comments]])=0.1,"N/A",IF(stdProdLT(Main[[#This Row],[Comments]])=0,"",stdProdLT(Main[[#This Row],[Comments]])))</f>
        <v>168</v>
      </c>
      <c r="H78" s="76">
        <f>IF(AND(Main[[#This Row],[In Stock Date]]&lt;&gt;"",Main[[#This Row],[Revised Due Date]]&lt;&gt;""),Main[[#This Row],[In Stock Date]]-Main[[#This Row],[Revised Due Date]],"")</f>
        <v>149</v>
      </c>
      <c r="I78" s="72" t="s">
        <v>777</v>
      </c>
      <c r="J78" s="72" t="s">
        <v>28</v>
      </c>
      <c r="K78" s="72" t="s">
        <v>1950</v>
      </c>
      <c r="L78" s="74">
        <v>40924</v>
      </c>
      <c r="M78" s="77">
        <f>IF(Main[[#This Row],[Tech Start Date]]&lt;1/1/1990,"",IF(Main[[#This Row],[Class]]="C",WORKDAY(Main[[#This Row],[Tech Start Date]],9),IF(Main[[#This Row],[Class]]="B", WORKDAY(Main[[#This Row],[Tech Start Date]],6),IF(Main[[#This Row],[Class]]="A",WORKDAY(Main[[#This Row],[Tech Start Date]],2),""))))</f>
        <v>40935</v>
      </c>
      <c r="N78" s="77">
        <f>IF(Main[[#This Row],[Tech Start Date]]&lt;1/1/1990,"",IF(Main[[#This Row],[Class]]="C",WORKDAY(Main[[#This Row],[Tech Start Date]],19),IF(Main[[#This Row],[Class]]="B", WORKDAY(Main[[#This Row],[Tech Start Date]],12),IF(Main[[#This Row],[Class]]="A",WORKDAY(Main[[#This Row],[Tech Start Date]],4),""))))</f>
        <v>40949</v>
      </c>
      <c r="O78" s="77">
        <f>IF(Main[[#This Row],[Tech Start Date]]&lt;1/1/1990,"",IF(Main[[#This Row],[Class]]="C",WORKDAY(Main[[#This Row],[Tech Start Date]],23),IF(Main[[#This Row],[Class]]="B", WORKDAY(Main[[#This Row],[Tech Start Date]],15),IF(Main[[#This Row],[Class]]="A",WORKDAY(Main[[#This Row],[Tech Start Date]],5),""))))</f>
        <v>40955</v>
      </c>
      <c r="P78" s="77">
        <f>IF(Main[[#This Row],[Tech Start Date]]&lt;1/1/1990,"",IF(Main[[#This Row],[Class]]="C",WORKDAY(Main[[#This Row],[Tech Start Date]],28),IF(Main[[#This Row],[Class]]="B", WORKDAY(Main[[#This Row],[Tech Start Date]],19),IF(Main[[#This Row],[Class]]="A",WORKDAY(Main[[#This Row],[Tech Start Date]],9),""))))</f>
        <v>40962</v>
      </c>
      <c r="Q78" s="74">
        <v>40973</v>
      </c>
      <c r="R78" s="74">
        <v>40973</v>
      </c>
      <c r="S78" s="72" t="s">
        <v>11</v>
      </c>
      <c r="T78" s="80" t="s">
        <v>3556</v>
      </c>
      <c r="U78" s="72" t="s">
        <v>29</v>
      </c>
      <c r="V78" s="72" t="s">
        <v>1940</v>
      </c>
      <c r="W78" s="72" t="s">
        <v>1943</v>
      </c>
      <c r="X78" s="72" t="s">
        <v>3000</v>
      </c>
      <c r="Y78" s="72" t="s">
        <v>3137</v>
      </c>
      <c r="Z78" s="72" t="s">
        <v>536</v>
      </c>
    </row>
    <row r="79" spans="1:26" ht="18.600000000000001" customHeight="1">
      <c r="A79" s="142">
        <f>IF(priority(Main[[#This Row],[Comments]])&lt;&gt;0, priority(Main[[#This Row],[Comments]]),"")</f>
        <v>20</v>
      </c>
      <c r="B79" s="90" t="s">
        <v>2771</v>
      </c>
      <c r="C79" s="72" t="s">
        <v>2772</v>
      </c>
      <c r="D79" s="73" t="s">
        <v>3490</v>
      </c>
      <c r="E79" s="74">
        <v>40899.118032407408</v>
      </c>
      <c r="F79" s="74">
        <v>41030</v>
      </c>
      <c r="G79" s="75">
        <f>IF(stdProdLT(Main[[#This Row],[Comments]])=0.1,"N/A",IF(stdProdLT(Main[[#This Row],[Comments]])=0,"",stdProdLT(Main[[#This Row],[Comments]])))</f>
        <v>84</v>
      </c>
      <c r="H79" s="76">
        <f>IF(AND(Main[[#This Row],[In Stock Date]]&lt;&gt;"",Main[[#This Row],[Revised Due Date]]&lt;&gt;""),Main[[#This Row],[In Stock Date]]-Main[[#This Row],[Revised Due Date]],"")</f>
        <v>91</v>
      </c>
      <c r="I79" s="72" t="s">
        <v>927</v>
      </c>
      <c r="J79" s="72" t="s">
        <v>52</v>
      </c>
      <c r="K79" s="81" t="s">
        <v>1950</v>
      </c>
      <c r="L79" s="74"/>
      <c r="M79" s="77" t="str">
        <f>IF(Main[[#This Row],[Tech Start Date]]&lt;1/1/1990,"",IF(Main[[#This Row],[Class]]="C",WORKDAY(Main[[#This Row],[Tech Start Date]],9),IF(Main[[#This Row],[Class]]="B", WORKDAY(Main[[#This Row],[Tech Start Date]],6),IF(Main[[#This Row],[Class]]="A",WORKDAY(Main[[#This Row],[Tech Start Date]],2),""))))</f>
        <v/>
      </c>
      <c r="N79" s="77" t="str">
        <f>IF(Main[[#This Row],[Tech Start Date]]&lt;1/1/1990,"",IF(Main[[#This Row],[Class]]="C",WORKDAY(Main[[#This Row],[Tech Start Date]],19),IF(Main[[#This Row],[Class]]="B", WORKDAY(Main[[#This Row],[Tech Start Date]],12),IF(Main[[#This Row],[Class]]="A",WORKDAY(Main[[#This Row],[Tech Start Date]],4),""))))</f>
        <v/>
      </c>
      <c r="O79" s="77" t="str">
        <f>IF(Main[[#This Row],[Tech Start Date]]&lt;1/1/1990,"",IF(Main[[#This Row],[Class]]="C",WORKDAY(Main[[#This Row],[Tech Start Date]],23),IF(Main[[#This Row],[Class]]="B", WORKDAY(Main[[#This Row],[Tech Start Date]],15),IF(Main[[#This Row],[Class]]="A",WORKDAY(Main[[#This Row],[Tech Start Date]],5),""))))</f>
        <v/>
      </c>
      <c r="P79" s="77" t="str">
        <f>IF(Main[[#This Row],[Tech Start Date]]&lt;1/1/1990,"",IF(Main[[#This Row],[Class]]="C",WORKDAY(Main[[#This Row],[Tech Start Date]],28),IF(Main[[#This Row],[Class]]="B", WORKDAY(Main[[#This Row],[Tech Start Date]],19),IF(Main[[#This Row],[Class]]="A",WORKDAY(Main[[#This Row],[Tech Start Date]],9),""))))</f>
        <v/>
      </c>
      <c r="Q79" s="74">
        <v>40960</v>
      </c>
      <c r="R79" s="74">
        <v>40939</v>
      </c>
      <c r="S79" s="72" t="s">
        <v>11</v>
      </c>
      <c r="T79" s="80" t="s">
        <v>3440</v>
      </c>
      <c r="U79" s="72" t="s">
        <v>29</v>
      </c>
      <c r="V79" s="72" t="s">
        <v>1937</v>
      </c>
      <c r="W79" s="72" t="s">
        <v>1943</v>
      </c>
      <c r="X79" s="72" t="s">
        <v>2987</v>
      </c>
      <c r="Y79" s="72" t="s">
        <v>4</v>
      </c>
      <c r="Z79" s="72" t="s">
        <v>927</v>
      </c>
    </row>
    <row r="80" spans="1:26" ht="18.600000000000001" customHeight="1">
      <c r="A80" s="142">
        <f>IF(priority(Main[[#This Row],[Comments]])&lt;&gt;0, priority(Main[[#This Row],[Comments]]),"")</f>
        <v>20</v>
      </c>
      <c r="B80" s="90" t="s">
        <v>1924</v>
      </c>
      <c r="C80" s="72" t="s">
        <v>968</v>
      </c>
      <c r="D80" s="73" t="s">
        <v>2064</v>
      </c>
      <c r="E80" s="74"/>
      <c r="F80" s="74"/>
      <c r="G80" s="75">
        <f>IF(stdProdLT(Main[[#This Row],[Comments]])=0.1,"N/A",IF(stdProdLT(Main[[#This Row],[Comments]])=0,"",stdProdLT(Main[[#This Row],[Comments]])))</f>
        <v>112</v>
      </c>
      <c r="H80" s="76" t="str">
        <f>IF(AND(Main[[#This Row],[In Stock Date]]&lt;&gt;"",Main[[#This Row],[Revised Due Date]]&lt;&gt;""),Main[[#This Row],[In Stock Date]]-Main[[#This Row],[Revised Due Date]],"")</f>
        <v/>
      </c>
      <c r="I80" s="72" t="s">
        <v>50</v>
      </c>
      <c r="J80" s="72" t="s">
        <v>52</v>
      </c>
      <c r="K80" s="72" t="s">
        <v>1950</v>
      </c>
      <c r="L80" s="74"/>
      <c r="M80" s="77" t="str">
        <f>IF(Main[[#This Row],[Tech Start Date]]&lt;1/1/1990,"",IF(Main[[#This Row],[Class]]="C",WORKDAY(Main[[#This Row],[Tech Start Date]],9),IF(Main[[#This Row],[Class]]="B", WORKDAY(Main[[#This Row],[Tech Start Date]],6),IF(Main[[#This Row],[Class]]="A",WORKDAY(Main[[#This Row],[Tech Start Date]],2),""))))</f>
        <v/>
      </c>
      <c r="N80" s="77" t="str">
        <f>IF(Main[[#This Row],[Tech Start Date]]&lt;1/1/1990,"",IF(Main[[#This Row],[Class]]="C",WORKDAY(Main[[#This Row],[Tech Start Date]],19),IF(Main[[#This Row],[Class]]="B", WORKDAY(Main[[#This Row],[Tech Start Date]],12),IF(Main[[#This Row],[Class]]="A",WORKDAY(Main[[#This Row],[Tech Start Date]],4),""))))</f>
        <v/>
      </c>
      <c r="O80" s="77" t="str">
        <f>IF(Main[[#This Row],[Tech Start Date]]&lt;1/1/1990,"",IF(Main[[#This Row],[Class]]="C",WORKDAY(Main[[#This Row],[Tech Start Date]],23),IF(Main[[#This Row],[Class]]="B", WORKDAY(Main[[#This Row],[Tech Start Date]],15),IF(Main[[#This Row],[Class]]="A",WORKDAY(Main[[#This Row],[Tech Start Date]],5),""))))</f>
        <v/>
      </c>
      <c r="P80" s="77" t="str">
        <f>IF(Main[[#This Row],[Tech Start Date]]&lt;1/1/1990,"",IF(Main[[#This Row],[Class]]="C",WORKDAY(Main[[#This Row],[Tech Start Date]],28),IF(Main[[#This Row],[Class]]="B", WORKDAY(Main[[#This Row],[Tech Start Date]],19),IF(Main[[#This Row],[Class]]="A",WORKDAY(Main[[#This Row],[Tech Start Date]],9),""))))</f>
        <v/>
      </c>
      <c r="Q80" s="74">
        <v>40598</v>
      </c>
      <c r="R80" s="74">
        <v>40786</v>
      </c>
      <c r="S80" s="72" t="s">
        <v>11</v>
      </c>
      <c r="T80" s="80" t="s">
        <v>2153</v>
      </c>
      <c r="U80" s="72" t="s">
        <v>14</v>
      </c>
      <c r="V80" s="72" t="s">
        <v>1938</v>
      </c>
      <c r="W80" s="72" t="s">
        <v>1939</v>
      </c>
      <c r="X80" s="72" t="s">
        <v>2967</v>
      </c>
      <c r="Y80" s="72" t="s">
        <v>3085</v>
      </c>
      <c r="Z80" s="72" t="s">
        <v>2080</v>
      </c>
    </row>
    <row r="81" spans="1:26" ht="18.600000000000001" customHeight="1">
      <c r="A81" s="142">
        <f>IF(priority(Main[[#This Row],[Comments]])&lt;&gt;0, priority(Main[[#This Row],[Comments]]),"")</f>
        <v>20</v>
      </c>
      <c r="B81" s="90" t="s">
        <v>1978</v>
      </c>
      <c r="C81" s="72" t="s">
        <v>4</v>
      </c>
      <c r="D81" s="73" t="s">
        <v>2303</v>
      </c>
      <c r="E81" s="74">
        <v>40722.471516203703</v>
      </c>
      <c r="F81" s="74"/>
      <c r="G81" s="75" t="str">
        <f>IF(stdProdLT(Main[[#This Row],[Comments]])=0.1,"N/A",IF(stdProdLT(Main[[#This Row],[Comments]])=0,"",stdProdLT(Main[[#This Row],[Comments]])))</f>
        <v>N/A</v>
      </c>
      <c r="H81" s="76" t="str">
        <f>IF(AND(Main[[#This Row],[In Stock Date]]&lt;&gt;"",Main[[#This Row],[Revised Due Date]]&lt;&gt;""),Main[[#This Row],[In Stock Date]]-Main[[#This Row],[Revised Due Date]],"")</f>
        <v/>
      </c>
      <c r="I81" s="72" t="s">
        <v>927</v>
      </c>
      <c r="J81" s="72" t="s">
        <v>21</v>
      </c>
      <c r="K81" s="72" t="s">
        <v>1946</v>
      </c>
      <c r="L81" s="74"/>
      <c r="M81" s="77" t="str">
        <f>IF(Main[[#This Row],[Tech Start Date]]&lt;1/1/1990,"",IF(Main[[#This Row],[Class]]="C",WORKDAY(Main[[#This Row],[Tech Start Date]],9),IF(Main[[#This Row],[Class]]="B", WORKDAY(Main[[#This Row],[Tech Start Date]],6),IF(Main[[#This Row],[Class]]="A",WORKDAY(Main[[#This Row],[Tech Start Date]],2),""))))</f>
        <v/>
      </c>
      <c r="N81" s="77" t="str">
        <f>IF(Main[[#This Row],[Tech Start Date]]&lt;1/1/1990,"",IF(Main[[#This Row],[Class]]="C",WORKDAY(Main[[#This Row],[Tech Start Date]],19),IF(Main[[#This Row],[Class]]="B", WORKDAY(Main[[#This Row],[Tech Start Date]],12),IF(Main[[#This Row],[Class]]="A",WORKDAY(Main[[#This Row],[Tech Start Date]],4),""))))</f>
        <v/>
      </c>
      <c r="O81" s="77" t="str">
        <f>IF(Main[[#This Row],[Tech Start Date]]&lt;1/1/1990,"",IF(Main[[#This Row],[Class]]="C",WORKDAY(Main[[#This Row],[Tech Start Date]],23),IF(Main[[#This Row],[Class]]="B", WORKDAY(Main[[#This Row],[Tech Start Date]],15),IF(Main[[#This Row],[Class]]="A",WORKDAY(Main[[#This Row],[Tech Start Date]],5),""))))</f>
        <v/>
      </c>
      <c r="P81" s="77" t="str">
        <f>IF(Main[[#This Row],[Tech Start Date]]&lt;1/1/1990,"",IF(Main[[#This Row],[Class]]="C",WORKDAY(Main[[#This Row],[Tech Start Date]],28),IF(Main[[#This Row],[Class]]="B", WORKDAY(Main[[#This Row],[Tech Start Date]],19),IF(Main[[#This Row],[Class]]="A",WORKDAY(Main[[#This Row],[Tech Start Date]],9),""))))</f>
        <v/>
      </c>
      <c r="Q81" s="74">
        <v>40753</v>
      </c>
      <c r="R81" s="74">
        <v>40756</v>
      </c>
      <c r="S81" s="72" t="s">
        <v>6</v>
      </c>
      <c r="T81" s="80" t="s">
        <v>2725</v>
      </c>
      <c r="U81" s="72" t="s">
        <v>29</v>
      </c>
      <c r="V81" s="72" t="s">
        <v>1937</v>
      </c>
      <c r="W81" s="72" t="s">
        <v>1941</v>
      </c>
      <c r="X81" s="72" t="s">
        <v>2970</v>
      </c>
      <c r="Y81" s="72" t="s">
        <v>3087</v>
      </c>
      <c r="Z81" s="72" t="s">
        <v>129</v>
      </c>
    </row>
    <row r="82" spans="1:26" ht="18.600000000000001" customHeight="1">
      <c r="A82" s="142">
        <f>IF(priority(Main[[#This Row],[Comments]])&lt;&gt;0, priority(Main[[#This Row],[Comments]]),"")</f>
        <v>20</v>
      </c>
      <c r="B82" s="90" t="s">
        <v>2710</v>
      </c>
      <c r="C82" s="72" t="s">
        <v>53</v>
      </c>
      <c r="D82" s="73" t="s">
        <v>2711</v>
      </c>
      <c r="E82" s="74"/>
      <c r="F82" s="74"/>
      <c r="G82" s="75" t="str">
        <f>IF(stdProdLT(Main[[#This Row],[Comments]])=0.1,"N/A",IF(stdProdLT(Main[[#This Row],[Comments]])=0,"",stdProdLT(Main[[#This Row],[Comments]])))</f>
        <v>N/A</v>
      </c>
      <c r="H82" s="76" t="str">
        <f>IF(AND(Main[[#This Row],[In Stock Date]]&lt;&gt;"",Main[[#This Row],[Revised Due Date]]&lt;&gt;""),Main[[#This Row],[In Stock Date]]-Main[[#This Row],[Revised Due Date]],"")</f>
        <v/>
      </c>
      <c r="I82" s="72" t="s">
        <v>957</v>
      </c>
      <c r="J82" s="72" t="s">
        <v>28</v>
      </c>
      <c r="K82" s="81" t="s">
        <v>1944</v>
      </c>
      <c r="L82" s="74">
        <v>40854</v>
      </c>
      <c r="M82" s="77">
        <f>IF(Main[[#This Row],[Tech Start Date]]&lt;1/1/1990,"",IF(Main[[#This Row],[Class]]="C",WORKDAY(Main[[#This Row],[Tech Start Date]],9),IF(Main[[#This Row],[Class]]="B", WORKDAY(Main[[#This Row],[Tech Start Date]],6),IF(Main[[#This Row],[Class]]="A",WORKDAY(Main[[#This Row],[Tech Start Date]],2),""))))</f>
        <v>40862</v>
      </c>
      <c r="N82" s="77">
        <f>IF(Main[[#This Row],[Tech Start Date]]&lt;1/1/1990,"",IF(Main[[#This Row],[Class]]="C",WORKDAY(Main[[#This Row],[Tech Start Date]],19),IF(Main[[#This Row],[Class]]="B", WORKDAY(Main[[#This Row],[Tech Start Date]],12),IF(Main[[#This Row],[Class]]="A",WORKDAY(Main[[#This Row],[Tech Start Date]],4),""))))</f>
        <v>40870</v>
      </c>
      <c r="O82" s="77">
        <f>IF(Main[[#This Row],[Tech Start Date]]&lt;1/1/1990,"",IF(Main[[#This Row],[Class]]="C",WORKDAY(Main[[#This Row],[Tech Start Date]],23),IF(Main[[#This Row],[Class]]="B", WORKDAY(Main[[#This Row],[Tech Start Date]],15),IF(Main[[#This Row],[Class]]="A",WORKDAY(Main[[#This Row],[Tech Start Date]],5),""))))</f>
        <v>40875</v>
      </c>
      <c r="P82" s="77">
        <f>IF(Main[[#This Row],[Tech Start Date]]&lt;1/1/1990,"",IF(Main[[#This Row],[Class]]="C",WORKDAY(Main[[#This Row],[Tech Start Date]],28),IF(Main[[#This Row],[Class]]="B", WORKDAY(Main[[#This Row],[Tech Start Date]],19),IF(Main[[#This Row],[Class]]="A",WORKDAY(Main[[#This Row],[Tech Start Date]],9),""))))</f>
        <v>40879</v>
      </c>
      <c r="Q82" s="74">
        <v>40883</v>
      </c>
      <c r="R82" s="74">
        <v>40877</v>
      </c>
      <c r="S82" s="72" t="s">
        <v>11</v>
      </c>
      <c r="T82" s="80" t="s">
        <v>2712</v>
      </c>
      <c r="U82" s="72" t="s">
        <v>14</v>
      </c>
      <c r="V82" s="72" t="s">
        <v>1938</v>
      </c>
      <c r="W82" s="72" t="s">
        <v>1939</v>
      </c>
      <c r="X82" s="72" t="s">
        <v>2967</v>
      </c>
      <c r="Y82" s="72" t="s">
        <v>3151</v>
      </c>
      <c r="Z82" s="72" t="s">
        <v>2080</v>
      </c>
    </row>
    <row r="83" spans="1:26" ht="18.600000000000001" customHeight="1">
      <c r="A83" s="142">
        <f>IF(priority(Main[[#This Row],[Comments]])&lt;&gt;0, priority(Main[[#This Row],[Comments]]),"")</f>
        <v>20</v>
      </c>
      <c r="B83" s="90" t="s">
        <v>3395</v>
      </c>
      <c r="C83" s="72" t="s">
        <v>3415</v>
      </c>
      <c r="D83" s="73" t="s">
        <v>3396</v>
      </c>
      <c r="E83" s="74">
        <v>40921.060983796298</v>
      </c>
      <c r="F83" s="74">
        <v>41122</v>
      </c>
      <c r="G83" s="75">
        <f>IF(stdProdLT(Main[[#This Row],[Comments]])=0.1,"N/A",IF(stdProdLT(Main[[#This Row],[Comments]])=0,"",stdProdLT(Main[[#This Row],[Comments]])))</f>
        <v>168</v>
      </c>
      <c r="H83" s="76">
        <f>IF(AND(Main[[#This Row],[In Stock Date]]&lt;&gt;"",Main[[#This Row],[Revised Due Date]]&lt;&gt;""),Main[[#This Row],[In Stock Date]]-Main[[#This Row],[Revised Due Date]],"")</f>
        <v>149</v>
      </c>
      <c r="I83" s="72" t="s">
        <v>495</v>
      </c>
      <c r="J83" s="72" t="s">
        <v>70</v>
      </c>
      <c r="K83" s="72" t="s">
        <v>1950</v>
      </c>
      <c r="L83" s="74">
        <v>40925</v>
      </c>
      <c r="M83" s="77">
        <f>IF(Main[[#This Row],[Tech Start Date]]&lt;1/1/1990,"",IF(Main[[#This Row],[Class]]="C",WORKDAY(Main[[#This Row],[Tech Start Date]],9),IF(Main[[#This Row],[Class]]="B", WORKDAY(Main[[#This Row],[Tech Start Date]],6),IF(Main[[#This Row],[Class]]="A",WORKDAY(Main[[#This Row],[Tech Start Date]],2),""))))</f>
        <v>40938</v>
      </c>
      <c r="N83" s="77">
        <f>IF(Main[[#This Row],[Tech Start Date]]&lt;1/1/1990,"",IF(Main[[#This Row],[Class]]="C",WORKDAY(Main[[#This Row],[Tech Start Date]],19),IF(Main[[#This Row],[Class]]="B", WORKDAY(Main[[#This Row],[Tech Start Date]],12),IF(Main[[#This Row],[Class]]="A",WORKDAY(Main[[#This Row],[Tech Start Date]],4),""))))</f>
        <v>40952</v>
      </c>
      <c r="O83" s="77">
        <f>IF(Main[[#This Row],[Tech Start Date]]&lt;1/1/1990,"",IF(Main[[#This Row],[Class]]="C",WORKDAY(Main[[#This Row],[Tech Start Date]],23),IF(Main[[#This Row],[Class]]="B", WORKDAY(Main[[#This Row],[Tech Start Date]],15),IF(Main[[#This Row],[Class]]="A",WORKDAY(Main[[#This Row],[Tech Start Date]],5),""))))</f>
        <v>40956</v>
      </c>
      <c r="P83" s="77">
        <f>IF(Main[[#This Row],[Tech Start Date]]&lt;1/1/1990,"",IF(Main[[#This Row],[Class]]="C",WORKDAY(Main[[#This Row],[Tech Start Date]],28),IF(Main[[#This Row],[Class]]="B", WORKDAY(Main[[#This Row],[Tech Start Date]],19),IF(Main[[#This Row],[Class]]="A",WORKDAY(Main[[#This Row],[Tech Start Date]],9),""))))</f>
        <v>40963</v>
      </c>
      <c r="Q83" s="74">
        <v>40973</v>
      </c>
      <c r="R83" s="74">
        <v>40973</v>
      </c>
      <c r="S83" s="72" t="s">
        <v>11</v>
      </c>
      <c r="T83" s="80" t="s">
        <v>3567</v>
      </c>
      <c r="U83" s="72" t="s">
        <v>29</v>
      </c>
      <c r="V83" s="72" t="s">
        <v>1940</v>
      </c>
      <c r="W83" s="72" t="s">
        <v>1943</v>
      </c>
      <c r="X83" s="72" t="s">
        <v>3000</v>
      </c>
      <c r="Y83" s="72" t="s">
        <v>3137</v>
      </c>
      <c r="Z83" s="72" t="s">
        <v>536</v>
      </c>
    </row>
    <row r="84" spans="1:26" ht="18.600000000000001" customHeight="1">
      <c r="A84" s="142">
        <f>IF(priority(Main[[#This Row],[Comments]])&lt;&gt;0, priority(Main[[#This Row],[Comments]]),"")</f>
        <v>21</v>
      </c>
      <c r="B84" s="90" t="s">
        <v>1679</v>
      </c>
      <c r="C84" s="72" t="s">
        <v>122</v>
      </c>
      <c r="D84" s="73" t="s">
        <v>2913</v>
      </c>
      <c r="E84" s="74">
        <v>40828.408333333333</v>
      </c>
      <c r="F84" s="74">
        <v>41061</v>
      </c>
      <c r="G84" s="75">
        <f>IF(stdProdLT(Main[[#This Row],[Comments]])=0.1,"N/A",IF(stdProdLT(Main[[#This Row],[Comments]])=0,"",stdProdLT(Main[[#This Row],[Comments]])))</f>
        <v>126</v>
      </c>
      <c r="H84" s="76" t="str">
        <f>IF(AND(Main[[#This Row],[In Stock Date]]&lt;&gt;"",Main[[#This Row],[Revised Due Date]]&lt;&gt;""),Main[[#This Row],[In Stock Date]]-Main[[#This Row],[Revised Due Date]],"")</f>
        <v/>
      </c>
      <c r="I84" s="72" t="s">
        <v>4</v>
      </c>
      <c r="J84" s="72" t="s">
        <v>28</v>
      </c>
      <c r="K84" s="81" t="s">
        <v>1950</v>
      </c>
      <c r="L84" s="74"/>
      <c r="M84" s="77" t="str">
        <f>IF(Main[[#This Row],[Tech Start Date]]&lt;1/1/1990,"",IF(Main[[#This Row],[Class]]="C",WORKDAY(Main[[#This Row],[Tech Start Date]],9),IF(Main[[#This Row],[Class]]="B", WORKDAY(Main[[#This Row],[Tech Start Date]],6),IF(Main[[#This Row],[Class]]="A",WORKDAY(Main[[#This Row],[Tech Start Date]],2),""))))</f>
        <v/>
      </c>
      <c r="N84" s="77" t="str">
        <f>IF(Main[[#This Row],[Tech Start Date]]&lt;1/1/1990,"",IF(Main[[#This Row],[Class]]="C",WORKDAY(Main[[#This Row],[Tech Start Date]],19),IF(Main[[#This Row],[Class]]="B", WORKDAY(Main[[#This Row],[Tech Start Date]],12),IF(Main[[#This Row],[Class]]="A",WORKDAY(Main[[#This Row],[Tech Start Date]],4),""))))</f>
        <v/>
      </c>
      <c r="O84" s="77" t="str">
        <f>IF(Main[[#This Row],[Tech Start Date]]&lt;1/1/1990,"",IF(Main[[#This Row],[Class]]="C",WORKDAY(Main[[#This Row],[Tech Start Date]],23),IF(Main[[#This Row],[Class]]="B", WORKDAY(Main[[#This Row],[Tech Start Date]],15),IF(Main[[#This Row],[Class]]="A",WORKDAY(Main[[#This Row],[Tech Start Date]],5),""))))</f>
        <v/>
      </c>
      <c r="P84" s="77" t="str">
        <f>IF(Main[[#This Row],[Tech Start Date]]&lt;1/1/1990,"",IF(Main[[#This Row],[Class]]="C",WORKDAY(Main[[#This Row],[Tech Start Date]],28),IF(Main[[#This Row],[Class]]="B", WORKDAY(Main[[#This Row],[Tech Start Date]],19),IF(Main[[#This Row],[Class]]="A",WORKDAY(Main[[#This Row],[Tech Start Date]],9),""))))</f>
        <v/>
      </c>
      <c r="Q84" s="74">
        <v>40711</v>
      </c>
      <c r="R84" s="74"/>
      <c r="S84" s="72" t="s">
        <v>11</v>
      </c>
      <c r="T84" s="80" t="s">
        <v>3436</v>
      </c>
      <c r="U84" s="72" t="s">
        <v>704</v>
      </c>
      <c r="V84" s="72" t="s">
        <v>1937</v>
      </c>
      <c r="W84" s="72" t="s">
        <v>1939</v>
      </c>
      <c r="X84" s="72" t="s">
        <v>3004</v>
      </c>
      <c r="Y84" s="72" t="s">
        <v>3295</v>
      </c>
      <c r="Z84" s="72" t="s">
        <v>129</v>
      </c>
    </row>
    <row r="85" spans="1:26" ht="18.600000000000001" customHeight="1">
      <c r="A85" s="142">
        <f>IF(priority(Main[[#This Row],[Comments]])&lt;&gt;0, priority(Main[[#This Row],[Comments]]),"")</f>
        <v>21</v>
      </c>
      <c r="B85" s="90" t="s">
        <v>3393</v>
      </c>
      <c r="C85" s="72" t="s">
        <v>3415</v>
      </c>
      <c r="D85" s="73" t="s">
        <v>3394</v>
      </c>
      <c r="E85" s="74">
        <v>40921.084976851853</v>
      </c>
      <c r="F85" s="74">
        <v>41122</v>
      </c>
      <c r="G85" s="75">
        <f>IF(stdProdLT(Main[[#This Row],[Comments]])=0.1,"N/A",IF(stdProdLT(Main[[#This Row],[Comments]])=0,"",stdProdLT(Main[[#This Row],[Comments]])))</f>
        <v>168</v>
      </c>
      <c r="H85" s="76">
        <f>IF(AND(Main[[#This Row],[In Stock Date]]&lt;&gt;"",Main[[#This Row],[Revised Due Date]]&lt;&gt;""),Main[[#This Row],[In Stock Date]]-Main[[#This Row],[Revised Due Date]],"")</f>
        <v>149</v>
      </c>
      <c r="I85" s="72" t="s">
        <v>44</v>
      </c>
      <c r="J85" s="72" t="s">
        <v>28</v>
      </c>
      <c r="K85" s="72" t="s">
        <v>1950</v>
      </c>
      <c r="L85" s="74">
        <v>40925</v>
      </c>
      <c r="M85" s="77">
        <f>IF(Main[[#This Row],[Tech Start Date]]&lt;1/1/1990,"",IF(Main[[#This Row],[Class]]="C",WORKDAY(Main[[#This Row],[Tech Start Date]],9),IF(Main[[#This Row],[Class]]="B", WORKDAY(Main[[#This Row],[Tech Start Date]],6),IF(Main[[#This Row],[Class]]="A",WORKDAY(Main[[#This Row],[Tech Start Date]],2),""))))</f>
        <v>40938</v>
      </c>
      <c r="N85" s="77">
        <f>IF(Main[[#This Row],[Tech Start Date]]&lt;1/1/1990,"",IF(Main[[#This Row],[Class]]="C",WORKDAY(Main[[#This Row],[Tech Start Date]],19),IF(Main[[#This Row],[Class]]="B", WORKDAY(Main[[#This Row],[Tech Start Date]],12),IF(Main[[#This Row],[Class]]="A",WORKDAY(Main[[#This Row],[Tech Start Date]],4),""))))</f>
        <v>40952</v>
      </c>
      <c r="O85" s="77">
        <f>IF(Main[[#This Row],[Tech Start Date]]&lt;1/1/1990,"",IF(Main[[#This Row],[Class]]="C",WORKDAY(Main[[#This Row],[Tech Start Date]],23),IF(Main[[#This Row],[Class]]="B", WORKDAY(Main[[#This Row],[Tech Start Date]],15),IF(Main[[#This Row],[Class]]="A",WORKDAY(Main[[#This Row],[Tech Start Date]],5),""))))</f>
        <v>40956</v>
      </c>
      <c r="P85" s="77">
        <f>IF(Main[[#This Row],[Tech Start Date]]&lt;1/1/1990,"",IF(Main[[#This Row],[Class]]="C",WORKDAY(Main[[#This Row],[Tech Start Date]],28),IF(Main[[#This Row],[Class]]="B", WORKDAY(Main[[#This Row],[Tech Start Date]],19),IF(Main[[#This Row],[Class]]="A",WORKDAY(Main[[#This Row],[Tech Start Date]],9),""))))</f>
        <v>40963</v>
      </c>
      <c r="Q85" s="74">
        <v>40973</v>
      </c>
      <c r="R85" s="74">
        <v>40973</v>
      </c>
      <c r="S85" s="72" t="s">
        <v>11</v>
      </c>
      <c r="T85" s="80" t="s">
        <v>3557</v>
      </c>
      <c r="U85" s="72" t="s">
        <v>29</v>
      </c>
      <c r="V85" s="72" t="s">
        <v>1940</v>
      </c>
      <c r="W85" s="72" t="s">
        <v>1943</v>
      </c>
      <c r="X85" s="72" t="s">
        <v>3000</v>
      </c>
      <c r="Y85" s="72" t="s">
        <v>3137</v>
      </c>
      <c r="Z85" s="72" t="s">
        <v>536</v>
      </c>
    </row>
    <row r="86" spans="1:26" ht="18.600000000000001" customHeight="1">
      <c r="A86" s="142">
        <f>IF(priority(Main[[#This Row],[Comments]])&lt;&gt;0, priority(Main[[#This Row],[Comments]]),"")</f>
        <v>22</v>
      </c>
      <c r="B86" s="90" t="s">
        <v>1701</v>
      </c>
      <c r="C86" s="72" t="s">
        <v>4</v>
      </c>
      <c r="D86" s="73" t="s">
        <v>2342</v>
      </c>
      <c r="E86" s="74">
        <v>40715.570891203701</v>
      </c>
      <c r="F86" s="74"/>
      <c r="G86" s="75" t="str">
        <f>IF(stdProdLT(Main[[#This Row],[Comments]])=0.1,"N/A",IF(stdProdLT(Main[[#This Row],[Comments]])=0,"",stdProdLT(Main[[#This Row],[Comments]])))</f>
        <v>N/A</v>
      </c>
      <c r="H86" s="76" t="str">
        <f>IF(AND(Main[[#This Row],[In Stock Date]]&lt;&gt;"",Main[[#This Row],[Revised Due Date]]&lt;&gt;""),Main[[#This Row],[In Stock Date]]-Main[[#This Row],[Revised Due Date]],"")</f>
        <v/>
      </c>
      <c r="I86" s="72" t="s">
        <v>927</v>
      </c>
      <c r="J86" s="72" t="s">
        <v>52</v>
      </c>
      <c r="K86" s="72" t="s">
        <v>4</v>
      </c>
      <c r="L86" s="74"/>
      <c r="M86" s="77" t="str">
        <f>IF(Main[[#This Row],[Tech Start Date]]&lt;1/1/1990,"",IF(Main[[#This Row],[Class]]="C",WORKDAY(Main[[#This Row],[Tech Start Date]],9),IF(Main[[#This Row],[Class]]="B", WORKDAY(Main[[#This Row],[Tech Start Date]],6),IF(Main[[#This Row],[Class]]="A",WORKDAY(Main[[#This Row],[Tech Start Date]],2),""))))</f>
        <v/>
      </c>
      <c r="N86" s="77" t="str">
        <f>IF(Main[[#This Row],[Tech Start Date]]&lt;1/1/1990,"",IF(Main[[#This Row],[Class]]="C",WORKDAY(Main[[#This Row],[Tech Start Date]],19),IF(Main[[#This Row],[Class]]="B", WORKDAY(Main[[#This Row],[Tech Start Date]],12),IF(Main[[#This Row],[Class]]="A",WORKDAY(Main[[#This Row],[Tech Start Date]],4),""))))</f>
        <v/>
      </c>
      <c r="O86" s="77" t="str">
        <f>IF(Main[[#This Row],[Tech Start Date]]&lt;1/1/1990,"",IF(Main[[#This Row],[Class]]="C",WORKDAY(Main[[#This Row],[Tech Start Date]],23),IF(Main[[#This Row],[Class]]="B", WORKDAY(Main[[#This Row],[Tech Start Date]],15),IF(Main[[#This Row],[Class]]="A",WORKDAY(Main[[#This Row],[Tech Start Date]],5),""))))</f>
        <v/>
      </c>
      <c r="P86" s="77" t="str">
        <f>IF(Main[[#This Row],[Tech Start Date]]&lt;1/1/1990,"",IF(Main[[#This Row],[Class]]="C",WORKDAY(Main[[#This Row],[Tech Start Date]],28),IF(Main[[#This Row],[Class]]="B", WORKDAY(Main[[#This Row],[Tech Start Date]],19),IF(Main[[#This Row],[Class]]="A",WORKDAY(Main[[#This Row],[Tech Start Date]],9),""))))</f>
        <v/>
      </c>
      <c r="Q86" s="74">
        <v>40733</v>
      </c>
      <c r="R86" s="74">
        <v>40756</v>
      </c>
      <c r="S86" s="72" t="s">
        <v>6</v>
      </c>
      <c r="T86" s="80" t="s">
        <v>2621</v>
      </c>
      <c r="U86" s="72" t="s">
        <v>29</v>
      </c>
      <c r="V86" s="72" t="s">
        <v>1937</v>
      </c>
      <c r="W86" s="72" t="s">
        <v>1941</v>
      </c>
      <c r="X86" s="72" t="s">
        <v>2988</v>
      </c>
      <c r="Y86" s="72" t="s">
        <v>3123</v>
      </c>
      <c r="Z86" s="72" t="s">
        <v>4</v>
      </c>
    </row>
    <row r="87" spans="1:26" ht="18.600000000000001" customHeight="1">
      <c r="A87" s="142">
        <f>IF(priority(Main[[#This Row],[Comments]])&lt;&gt;0, priority(Main[[#This Row],[Comments]]),"")</f>
        <v>22</v>
      </c>
      <c r="B87" s="90" t="s">
        <v>2754</v>
      </c>
      <c r="C87" s="72" t="s">
        <v>116</v>
      </c>
      <c r="D87" s="73" t="s">
        <v>2960</v>
      </c>
      <c r="E87" s="74">
        <v>40763.500717592593</v>
      </c>
      <c r="F87" s="74">
        <v>41090</v>
      </c>
      <c r="G87" s="75" t="str">
        <f>IF(stdProdLT(Main[[#This Row],[Comments]])=0.1,"N/A",IF(stdProdLT(Main[[#This Row],[Comments]])=0,"",stdProdLT(Main[[#This Row],[Comments]])))</f>
        <v>N/A</v>
      </c>
      <c r="H87" s="76">
        <f>IF(AND(Main[[#This Row],[In Stock Date]]&lt;&gt;"",Main[[#This Row],[Revised Due Date]]&lt;&gt;""),Main[[#This Row],[In Stock Date]]-Main[[#This Row],[Revised Due Date]],"")</f>
        <v>135</v>
      </c>
      <c r="I87" s="72" t="s">
        <v>903</v>
      </c>
      <c r="J87" s="72" t="s">
        <v>28</v>
      </c>
      <c r="K87" s="72" t="s">
        <v>1950</v>
      </c>
      <c r="L87" s="74">
        <v>40772</v>
      </c>
      <c r="M87" s="77">
        <f>IF(Main[[#This Row],[Tech Start Date]]&lt;1/1/1990,"",IF(Main[[#This Row],[Class]]="C",WORKDAY(Main[[#This Row],[Tech Start Date]],9),IF(Main[[#This Row],[Class]]="B", WORKDAY(Main[[#This Row],[Tech Start Date]],6),IF(Main[[#This Row],[Class]]="A",WORKDAY(Main[[#This Row],[Tech Start Date]],2),""))))</f>
        <v>40785</v>
      </c>
      <c r="N87" s="77">
        <f>IF(Main[[#This Row],[Tech Start Date]]&lt;1/1/1990,"",IF(Main[[#This Row],[Class]]="C",WORKDAY(Main[[#This Row],[Tech Start Date]],19),IF(Main[[#This Row],[Class]]="B", WORKDAY(Main[[#This Row],[Tech Start Date]],12),IF(Main[[#This Row],[Class]]="A",WORKDAY(Main[[#This Row],[Tech Start Date]],4),""))))</f>
        <v>40799</v>
      </c>
      <c r="O87" s="77">
        <f>IF(Main[[#This Row],[Tech Start Date]]&lt;1/1/1990,"",IF(Main[[#This Row],[Class]]="C",WORKDAY(Main[[#This Row],[Tech Start Date]],23),IF(Main[[#This Row],[Class]]="B", WORKDAY(Main[[#This Row],[Tech Start Date]],15),IF(Main[[#This Row],[Class]]="A",WORKDAY(Main[[#This Row],[Tech Start Date]],5),""))))</f>
        <v>40805</v>
      </c>
      <c r="P87" s="77">
        <f>IF(Main[[#This Row],[Tech Start Date]]&lt;1/1/1990,"",IF(Main[[#This Row],[Class]]="C",WORKDAY(Main[[#This Row],[Tech Start Date]],28),IF(Main[[#This Row],[Class]]="B", WORKDAY(Main[[#This Row],[Tech Start Date]],19),IF(Main[[#This Row],[Class]]="A",WORKDAY(Main[[#This Row],[Tech Start Date]],9),""))))</f>
        <v>40812</v>
      </c>
      <c r="Q87" s="74">
        <v>40687</v>
      </c>
      <c r="R87" s="74">
        <v>40955</v>
      </c>
      <c r="S87" s="72" t="s">
        <v>11</v>
      </c>
      <c r="T87" s="80" t="s">
        <v>3488</v>
      </c>
      <c r="U87" s="72" t="s">
        <v>29</v>
      </c>
      <c r="V87" s="72" t="s">
        <v>1937</v>
      </c>
      <c r="W87" s="72" t="s">
        <v>1942</v>
      </c>
      <c r="X87" s="72" t="s">
        <v>2995</v>
      </c>
      <c r="Y87" s="72" t="s">
        <v>3316</v>
      </c>
      <c r="Z87" s="72" t="s">
        <v>891</v>
      </c>
    </row>
    <row r="88" spans="1:26" ht="18.600000000000001" customHeight="1">
      <c r="A88" s="142">
        <f>IF(priority(Main[[#This Row],[Comments]])&lt;&gt;0, priority(Main[[#This Row],[Comments]]),"")</f>
        <v>22</v>
      </c>
      <c r="B88" s="90" t="s">
        <v>3370</v>
      </c>
      <c r="C88" s="72" t="s">
        <v>3415</v>
      </c>
      <c r="D88" s="73" t="s">
        <v>3371</v>
      </c>
      <c r="E88" s="74">
        <v>40920.17900462963</v>
      </c>
      <c r="F88" s="74">
        <v>41122</v>
      </c>
      <c r="G88" s="75">
        <f>IF(stdProdLT(Main[[#This Row],[Comments]])=0.1,"N/A",IF(stdProdLT(Main[[#This Row],[Comments]])=0,"",stdProdLT(Main[[#This Row],[Comments]])))</f>
        <v>168</v>
      </c>
      <c r="H88" s="76">
        <f>IF(AND(Main[[#This Row],[In Stock Date]]&lt;&gt;"",Main[[#This Row],[Revised Due Date]]&lt;&gt;""),Main[[#This Row],[In Stock Date]]-Main[[#This Row],[Revised Due Date]],"")</f>
        <v>149</v>
      </c>
      <c r="I88" s="72" t="s">
        <v>242</v>
      </c>
      <c r="J88" s="72" t="s">
        <v>28</v>
      </c>
      <c r="K88" s="72" t="s">
        <v>1950</v>
      </c>
      <c r="L88" s="74">
        <v>40925</v>
      </c>
      <c r="M88" s="77">
        <f>IF(Main[[#This Row],[Tech Start Date]]&lt;1/1/1990,"",IF(Main[[#This Row],[Class]]="C",WORKDAY(Main[[#This Row],[Tech Start Date]],9),IF(Main[[#This Row],[Class]]="B", WORKDAY(Main[[#This Row],[Tech Start Date]],6),IF(Main[[#This Row],[Class]]="A",WORKDAY(Main[[#This Row],[Tech Start Date]],2),""))))</f>
        <v>40938</v>
      </c>
      <c r="N88" s="77">
        <f>IF(Main[[#This Row],[Tech Start Date]]&lt;1/1/1990,"",IF(Main[[#This Row],[Class]]="C",WORKDAY(Main[[#This Row],[Tech Start Date]],19),IF(Main[[#This Row],[Class]]="B", WORKDAY(Main[[#This Row],[Tech Start Date]],12),IF(Main[[#This Row],[Class]]="A",WORKDAY(Main[[#This Row],[Tech Start Date]],4),""))))</f>
        <v>40952</v>
      </c>
      <c r="O88" s="77">
        <f>IF(Main[[#This Row],[Tech Start Date]]&lt;1/1/1990,"",IF(Main[[#This Row],[Class]]="C",WORKDAY(Main[[#This Row],[Tech Start Date]],23),IF(Main[[#This Row],[Class]]="B", WORKDAY(Main[[#This Row],[Tech Start Date]],15),IF(Main[[#This Row],[Class]]="A",WORKDAY(Main[[#This Row],[Tech Start Date]],5),""))))</f>
        <v>40956</v>
      </c>
      <c r="P88" s="77">
        <f>IF(Main[[#This Row],[Tech Start Date]]&lt;1/1/1990,"",IF(Main[[#This Row],[Class]]="C",WORKDAY(Main[[#This Row],[Tech Start Date]],28),IF(Main[[#This Row],[Class]]="B", WORKDAY(Main[[#This Row],[Tech Start Date]],19),IF(Main[[#This Row],[Class]]="A",WORKDAY(Main[[#This Row],[Tech Start Date]],9),""))))</f>
        <v>40963</v>
      </c>
      <c r="Q88" s="74">
        <v>40973</v>
      </c>
      <c r="R88" s="74">
        <v>40973</v>
      </c>
      <c r="S88" s="72" t="s">
        <v>11</v>
      </c>
      <c r="T88" s="80" t="s">
        <v>3564</v>
      </c>
      <c r="U88" s="72" t="s">
        <v>29</v>
      </c>
      <c r="V88" s="72" t="s">
        <v>1940</v>
      </c>
      <c r="W88" s="72" t="s">
        <v>1943</v>
      </c>
      <c r="X88" s="72" t="s">
        <v>3000</v>
      </c>
      <c r="Y88" s="72" t="s">
        <v>3137</v>
      </c>
      <c r="Z88" s="72" t="s">
        <v>536</v>
      </c>
    </row>
    <row r="89" spans="1:26" ht="18.600000000000001" customHeight="1">
      <c r="A89" s="142">
        <f>IF(priority(Main[[#This Row],[Comments]])&lt;&gt;0, priority(Main[[#This Row],[Comments]]),"")</f>
        <v>23</v>
      </c>
      <c r="B89" s="90" t="s">
        <v>1926</v>
      </c>
      <c r="C89" s="72" t="s">
        <v>113</v>
      </c>
      <c r="D89" s="73" t="s">
        <v>2921</v>
      </c>
      <c r="E89" s="74">
        <v>40709.602083333331</v>
      </c>
      <c r="F89" s="74">
        <v>41091</v>
      </c>
      <c r="G89" s="75">
        <f>IF(stdProdLT(Main[[#This Row],[Comments]])=0.1,"N/A",IF(stdProdLT(Main[[#This Row],[Comments]])=0,"",stdProdLT(Main[[#This Row],[Comments]])))</f>
        <v>126</v>
      </c>
      <c r="H89" s="76">
        <f>IF(AND(Main[[#This Row],[In Stock Date]]&lt;&gt;"",Main[[#This Row],[Revised Due Date]]&lt;&gt;""),Main[[#This Row],[In Stock Date]]-Main[[#This Row],[Revised Due Date]],"")</f>
        <v>205</v>
      </c>
      <c r="I89" s="72" t="s">
        <v>568</v>
      </c>
      <c r="J89" s="72" t="s">
        <v>28</v>
      </c>
      <c r="K89" s="72" t="s">
        <v>1950</v>
      </c>
      <c r="L89" s="74">
        <v>40709</v>
      </c>
      <c r="M89" s="77">
        <f>IF(Main[[#This Row],[Tech Start Date]]&lt;1/1/1990,"",IF(Main[[#This Row],[Class]]="C",WORKDAY(Main[[#This Row],[Tech Start Date]],9),IF(Main[[#This Row],[Class]]="B", WORKDAY(Main[[#This Row],[Tech Start Date]],6),IF(Main[[#This Row],[Class]]="A",WORKDAY(Main[[#This Row],[Tech Start Date]],2),""))))</f>
        <v>40722</v>
      </c>
      <c r="N89" s="77">
        <f>IF(Main[[#This Row],[Tech Start Date]]&lt;1/1/1990,"",IF(Main[[#This Row],[Class]]="C",WORKDAY(Main[[#This Row],[Tech Start Date]],19),IF(Main[[#This Row],[Class]]="B", WORKDAY(Main[[#This Row],[Tech Start Date]],12),IF(Main[[#This Row],[Class]]="A",WORKDAY(Main[[#This Row],[Tech Start Date]],4),""))))</f>
        <v>40736</v>
      </c>
      <c r="O89" s="77">
        <f>IF(Main[[#This Row],[Tech Start Date]]&lt;1/1/1990,"",IF(Main[[#This Row],[Class]]="C",WORKDAY(Main[[#This Row],[Tech Start Date]],23),IF(Main[[#This Row],[Class]]="B", WORKDAY(Main[[#This Row],[Tech Start Date]],15),IF(Main[[#This Row],[Class]]="A",WORKDAY(Main[[#This Row],[Tech Start Date]],5),""))))</f>
        <v>40742</v>
      </c>
      <c r="P89" s="77">
        <f>IF(Main[[#This Row],[Tech Start Date]]&lt;1/1/1990,"",IF(Main[[#This Row],[Class]]="C",WORKDAY(Main[[#This Row],[Tech Start Date]],28),IF(Main[[#This Row],[Class]]="B", WORKDAY(Main[[#This Row],[Tech Start Date]],19),IF(Main[[#This Row],[Class]]="A",WORKDAY(Main[[#This Row],[Tech Start Date]],9),""))))</f>
        <v>40749</v>
      </c>
      <c r="Q89" s="74"/>
      <c r="R89" s="74">
        <v>40886</v>
      </c>
      <c r="S89" s="72" t="s">
        <v>11</v>
      </c>
      <c r="T89" s="80" t="s">
        <v>3460</v>
      </c>
      <c r="U89" s="72" t="s">
        <v>540</v>
      </c>
      <c r="V89" s="72" t="s">
        <v>1937</v>
      </c>
      <c r="W89" s="72" t="s">
        <v>1948</v>
      </c>
      <c r="X89" s="72" t="s">
        <v>2985</v>
      </c>
      <c r="Y89" s="72" t="s">
        <v>3097</v>
      </c>
      <c r="Z89" s="72" t="s">
        <v>129</v>
      </c>
    </row>
    <row r="90" spans="1:26" ht="18.600000000000001" customHeight="1">
      <c r="A90" s="142">
        <f>IF(priority(Main[[#This Row],[Comments]])&lt;&gt;0, priority(Main[[#This Row],[Comments]]),"")</f>
        <v>23</v>
      </c>
      <c r="B90" s="90" t="s">
        <v>3391</v>
      </c>
      <c r="C90" s="72" t="s">
        <v>3415</v>
      </c>
      <c r="D90" s="73" t="s">
        <v>3392</v>
      </c>
      <c r="E90" s="74">
        <v>40921.094768518517</v>
      </c>
      <c r="F90" s="74">
        <v>41122</v>
      </c>
      <c r="G90" s="75">
        <f>IF(stdProdLT(Main[[#This Row],[Comments]])=0.1,"N/A",IF(stdProdLT(Main[[#This Row],[Comments]])=0,"",stdProdLT(Main[[#This Row],[Comments]])))</f>
        <v>168</v>
      </c>
      <c r="H90" s="76">
        <f>IF(AND(Main[[#This Row],[In Stock Date]]&lt;&gt;"",Main[[#This Row],[Revised Due Date]]&lt;&gt;""),Main[[#This Row],[In Stock Date]]-Main[[#This Row],[Revised Due Date]],"")</f>
        <v>149</v>
      </c>
      <c r="I90" s="72" t="s">
        <v>777</v>
      </c>
      <c r="J90" s="72" t="s">
        <v>28</v>
      </c>
      <c r="K90" s="72" t="s">
        <v>1950</v>
      </c>
      <c r="L90" s="74">
        <v>40925</v>
      </c>
      <c r="M90" s="77">
        <f>IF(Main[[#This Row],[Tech Start Date]]&lt;1/1/1990,"",IF(Main[[#This Row],[Class]]="C",WORKDAY(Main[[#This Row],[Tech Start Date]],9),IF(Main[[#This Row],[Class]]="B", WORKDAY(Main[[#This Row],[Tech Start Date]],6),IF(Main[[#This Row],[Class]]="A",WORKDAY(Main[[#This Row],[Tech Start Date]],2),""))))</f>
        <v>40938</v>
      </c>
      <c r="N90" s="77">
        <f>IF(Main[[#This Row],[Tech Start Date]]&lt;1/1/1990,"",IF(Main[[#This Row],[Class]]="C",WORKDAY(Main[[#This Row],[Tech Start Date]],19),IF(Main[[#This Row],[Class]]="B", WORKDAY(Main[[#This Row],[Tech Start Date]],12),IF(Main[[#This Row],[Class]]="A",WORKDAY(Main[[#This Row],[Tech Start Date]],4),""))))</f>
        <v>40952</v>
      </c>
      <c r="O90" s="77">
        <f>IF(Main[[#This Row],[Tech Start Date]]&lt;1/1/1990,"",IF(Main[[#This Row],[Class]]="C",WORKDAY(Main[[#This Row],[Tech Start Date]],23),IF(Main[[#This Row],[Class]]="B", WORKDAY(Main[[#This Row],[Tech Start Date]],15),IF(Main[[#This Row],[Class]]="A",WORKDAY(Main[[#This Row],[Tech Start Date]],5),""))))</f>
        <v>40956</v>
      </c>
      <c r="P90" s="77">
        <f>IF(Main[[#This Row],[Tech Start Date]]&lt;1/1/1990,"",IF(Main[[#This Row],[Class]]="C",WORKDAY(Main[[#This Row],[Tech Start Date]],28),IF(Main[[#This Row],[Class]]="B", WORKDAY(Main[[#This Row],[Tech Start Date]],19),IF(Main[[#This Row],[Class]]="A",WORKDAY(Main[[#This Row],[Tech Start Date]],9),""))))</f>
        <v>40963</v>
      </c>
      <c r="Q90" s="74">
        <v>40973</v>
      </c>
      <c r="R90" s="74">
        <v>40973</v>
      </c>
      <c r="S90" s="72" t="s">
        <v>11</v>
      </c>
      <c r="T90" s="80" t="s">
        <v>3565</v>
      </c>
      <c r="U90" s="72" t="s">
        <v>29</v>
      </c>
      <c r="V90" s="72" t="s">
        <v>1940</v>
      </c>
      <c r="W90" s="72" t="s">
        <v>1943</v>
      </c>
      <c r="X90" s="72" t="s">
        <v>3000</v>
      </c>
      <c r="Y90" s="72" t="s">
        <v>3137</v>
      </c>
      <c r="Z90" s="72" t="s">
        <v>536</v>
      </c>
    </row>
    <row r="91" spans="1:26" ht="18.600000000000001" customHeight="1">
      <c r="A91" s="142">
        <f>IF(priority(Main[[#This Row],[Comments]])&lt;&gt;0, priority(Main[[#This Row],[Comments]]),"")</f>
        <v>24</v>
      </c>
      <c r="B91" s="90" t="s">
        <v>1577</v>
      </c>
      <c r="C91" s="72" t="s">
        <v>4</v>
      </c>
      <c r="D91" s="73" t="s">
        <v>2333</v>
      </c>
      <c r="E91" s="74">
        <v>40710.712175925924</v>
      </c>
      <c r="F91" s="74"/>
      <c r="G91" s="75" t="str">
        <f>IF(stdProdLT(Main[[#This Row],[Comments]])=0.1,"N/A",IF(stdProdLT(Main[[#This Row],[Comments]])=0,"",stdProdLT(Main[[#This Row],[Comments]])))</f>
        <v>N/A</v>
      </c>
      <c r="H91" s="76" t="str">
        <f>IF(AND(Main[[#This Row],[In Stock Date]]&lt;&gt;"",Main[[#This Row],[Revised Due Date]]&lt;&gt;""),Main[[#This Row],[In Stock Date]]-Main[[#This Row],[Revised Due Date]],"")</f>
        <v/>
      </c>
      <c r="I91" s="72" t="s">
        <v>927</v>
      </c>
      <c r="J91" s="72" t="s">
        <v>4</v>
      </c>
      <c r="K91" s="72" t="s">
        <v>4</v>
      </c>
      <c r="L91" s="74"/>
      <c r="M91" s="77" t="str">
        <f>IF(Main[[#This Row],[Tech Start Date]]&lt;1/1/1990,"",IF(Main[[#This Row],[Class]]="C",WORKDAY(Main[[#This Row],[Tech Start Date]],9),IF(Main[[#This Row],[Class]]="B", WORKDAY(Main[[#This Row],[Tech Start Date]],6),IF(Main[[#This Row],[Class]]="A",WORKDAY(Main[[#This Row],[Tech Start Date]],2),""))))</f>
        <v/>
      </c>
      <c r="N91" s="77" t="str">
        <f>IF(Main[[#This Row],[Tech Start Date]]&lt;1/1/1990,"",IF(Main[[#This Row],[Class]]="C",WORKDAY(Main[[#This Row],[Tech Start Date]],19),IF(Main[[#This Row],[Class]]="B", WORKDAY(Main[[#This Row],[Tech Start Date]],12),IF(Main[[#This Row],[Class]]="A",WORKDAY(Main[[#This Row],[Tech Start Date]],4),""))))</f>
        <v/>
      </c>
      <c r="O91" s="77" t="str">
        <f>IF(Main[[#This Row],[Tech Start Date]]&lt;1/1/1990,"",IF(Main[[#This Row],[Class]]="C",WORKDAY(Main[[#This Row],[Tech Start Date]],23),IF(Main[[#This Row],[Class]]="B", WORKDAY(Main[[#This Row],[Tech Start Date]],15),IF(Main[[#This Row],[Class]]="A",WORKDAY(Main[[#This Row],[Tech Start Date]],5),""))))</f>
        <v/>
      </c>
      <c r="P91" s="77" t="str">
        <f>IF(Main[[#This Row],[Tech Start Date]]&lt;1/1/1990,"",IF(Main[[#This Row],[Class]]="C",WORKDAY(Main[[#This Row],[Tech Start Date]],28),IF(Main[[#This Row],[Class]]="B", WORKDAY(Main[[#This Row],[Tech Start Date]],19),IF(Main[[#This Row],[Class]]="A",WORKDAY(Main[[#This Row],[Tech Start Date]],9),""))))</f>
        <v/>
      </c>
      <c r="Q91" s="74"/>
      <c r="R91" s="74">
        <v>40756</v>
      </c>
      <c r="S91" s="72" t="s">
        <v>6</v>
      </c>
      <c r="T91" s="80" t="s">
        <v>2295</v>
      </c>
      <c r="U91" s="72" t="s">
        <v>29</v>
      </c>
      <c r="V91" s="72" t="s">
        <v>1937</v>
      </c>
      <c r="W91" s="72" t="s">
        <v>1941</v>
      </c>
      <c r="X91" s="72" t="s">
        <v>3018</v>
      </c>
      <c r="Y91" s="72" t="s">
        <v>3158</v>
      </c>
      <c r="Z91" s="72" t="s">
        <v>4</v>
      </c>
    </row>
    <row r="92" spans="1:26" ht="18.600000000000001" customHeight="1">
      <c r="A92" s="142">
        <f>IF(priority(Main[[#This Row],[Comments]])&lt;&gt;0, priority(Main[[#This Row],[Comments]]),"")</f>
        <v>24</v>
      </c>
      <c r="B92" s="90" t="s">
        <v>2825</v>
      </c>
      <c r="C92" s="72" t="s">
        <v>2747</v>
      </c>
      <c r="D92" s="73" t="s">
        <v>3400</v>
      </c>
      <c r="E92" s="74">
        <v>40888.896631944444</v>
      </c>
      <c r="F92" s="74">
        <v>41047</v>
      </c>
      <c r="G92" s="75">
        <f>IF(stdProdLT(Main[[#This Row],[Comments]])=0.1,"N/A",IF(stdProdLT(Main[[#This Row],[Comments]])=0,"",stdProdLT(Main[[#This Row],[Comments]])))</f>
        <v>112</v>
      </c>
      <c r="H92" s="76">
        <f>IF(AND(Main[[#This Row],[In Stock Date]]&lt;&gt;"",Main[[#This Row],[Revised Due Date]]&lt;&gt;""),Main[[#This Row],[In Stock Date]]-Main[[#This Row],[Revised Due Date]],"")</f>
        <v>109</v>
      </c>
      <c r="I92" s="72" t="s">
        <v>927</v>
      </c>
      <c r="J92" s="72" t="s">
        <v>52</v>
      </c>
      <c r="K92" s="72" t="s">
        <v>1944</v>
      </c>
      <c r="L92" s="74">
        <v>40911</v>
      </c>
      <c r="M92" s="77">
        <f>IF(Main[[#This Row],[Tech Start Date]]&lt;1/1/1990,"",IF(Main[[#This Row],[Class]]="C",WORKDAY(Main[[#This Row],[Tech Start Date]],9),IF(Main[[#This Row],[Class]]="B", WORKDAY(Main[[#This Row],[Tech Start Date]],6),IF(Main[[#This Row],[Class]]="A",WORKDAY(Main[[#This Row],[Tech Start Date]],2),""))))</f>
        <v>40919</v>
      </c>
      <c r="N92" s="77">
        <f>IF(Main[[#This Row],[Tech Start Date]]&lt;1/1/1990,"",IF(Main[[#This Row],[Class]]="C",WORKDAY(Main[[#This Row],[Tech Start Date]],19),IF(Main[[#This Row],[Class]]="B", WORKDAY(Main[[#This Row],[Tech Start Date]],12),IF(Main[[#This Row],[Class]]="A",WORKDAY(Main[[#This Row],[Tech Start Date]],4),""))))</f>
        <v>40927</v>
      </c>
      <c r="O92" s="77">
        <f>IF(Main[[#This Row],[Tech Start Date]]&lt;1/1/1990,"",IF(Main[[#This Row],[Class]]="C",WORKDAY(Main[[#This Row],[Tech Start Date]],23),IF(Main[[#This Row],[Class]]="B", WORKDAY(Main[[#This Row],[Tech Start Date]],15),IF(Main[[#This Row],[Class]]="A",WORKDAY(Main[[#This Row],[Tech Start Date]],5),""))))</f>
        <v>40932</v>
      </c>
      <c r="P92" s="77">
        <f>IF(Main[[#This Row],[Tech Start Date]]&lt;1/1/1990,"",IF(Main[[#This Row],[Class]]="C",WORKDAY(Main[[#This Row],[Tech Start Date]],28),IF(Main[[#This Row],[Class]]="B", WORKDAY(Main[[#This Row],[Tech Start Date]],19),IF(Main[[#This Row],[Class]]="A",WORKDAY(Main[[#This Row],[Tech Start Date]],9),""))))</f>
        <v>40938</v>
      </c>
      <c r="Q92" s="74">
        <v>41042</v>
      </c>
      <c r="R92" s="74">
        <v>40938</v>
      </c>
      <c r="S92" s="72" t="s">
        <v>11</v>
      </c>
      <c r="T92" s="80" t="s">
        <v>3533</v>
      </c>
      <c r="U92" s="72" t="s">
        <v>29</v>
      </c>
      <c r="V92" s="72" t="s">
        <v>1937</v>
      </c>
      <c r="W92" s="72" t="s">
        <v>1945</v>
      </c>
      <c r="X92" s="72" t="s">
        <v>3056</v>
      </c>
      <c r="Y92" s="72" t="s">
        <v>4</v>
      </c>
      <c r="Z92" s="72" t="s">
        <v>3532</v>
      </c>
    </row>
    <row r="93" spans="1:26" ht="18.600000000000001" customHeight="1">
      <c r="A93" s="142">
        <f>IF(priority(Main[[#This Row],[Comments]])&lt;&gt;0, priority(Main[[#This Row],[Comments]]),"")</f>
        <v>24</v>
      </c>
      <c r="B93" s="90" t="s">
        <v>3355</v>
      </c>
      <c r="C93" s="72" t="s">
        <v>3415</v>
      </c>
      <c r="D93" s="73" t="s">
        <v>3356</v>
      </c>
      <c r="E93" s="74">
        <v>40919.129988425928</v>
      </c>
      <c r="F93" s="74">
        <v>41122</v>
      </c>
      <c r="G93" s="75">
        <f>IF(stdProdLT(Main[[#This Row],[Comments]])=0.1,"N/A",IF(stdProdLT(Main[[#This Row],[Comments]])=0,"",stdProdLT(Main[[#This Row],[Comments]])))</f>
        <v>140</v>
      </c>
      <c r="H93" s="76">
        <f>IF(AND(Main[[#This Row],[In Stock Date]]&lt;&gt;"",Main[[#This Row],[Revised Due Date]]&lt;&gt;""),Main[[#This Row],[In Stock Date]]-Main[[#This Row],[Revised Due Date]],"")</f>
        <v>163</v>
      </c>
      <c r="I93" s="72" t="s">
        <v>435</v>
      </c>
      <c r="J93" s="72" t="s">
        <v>70</v>
      </c>
      <c r="K93" s="81" t="s">
        <v>1944</v>
      </c>
      <c r="L93" s="74">
        <v>40925</v>
      </c>
      <c r="M93" s="77">
        <f>IF(Main[[#This Row],[Tech Start Date]]&lt;1/1/1990,"",IF(Main[[#This Row],[Class]]="C",WORKDAY(Main[[#This Row],[Tech Start Date]],9),IF(Main[[#This Row],[Class]]="B", WORKDAY(Main[[#This Row],[Tech Start Date]],6),IF(Main[[#This Row],[Class]]="A",WORKDAY(Main[[#This Row],[Tech Start Date]],2),""))))</f>
        <v>40933</v>
      </c>
      <c r="N93" s="77">
        <f>IF(Main[[#This Row],[Tech Start Date]]&lt;1/1/1990,"",IF(Main[[#This Row],[Class]]="C",WORKDAY(Main[[#This Row],[Tech Start Date]],19),IF(Main[[#This Row],[Class]]="B", WORKDAY(Main[[#This Row],[Tech Start Date]],12),IF(Main[[#This Row],[Class]]="A",WORKDAY(Main[[#This Row],[Tech Start Date]],4),""))))</f>
        <v>40941</v>
      </c>
      <c r="O93" s="77">
        <f>IF(Main[[#This Row],[Tech Start Date]]&lt;1/1/1990,"",IF(Main[[#This Row],[Class]]="C",WORKDAY(Main[[#This Row],[Tech Start Date]],23),IF(Main[[#This Row],[Class]]="B", WORKDAY(Main[[#This Row],[Tech Start Date]],15),IF(Main[[#This Row],[Class]]="A",WORKDAY(Main[[#This Row],[Tech Start Date]],5),""))))</f>
        <v>40946</v>
      </c>
      <c r="P93" s="77">
        <f>IF(Main[[#This Row],[Tech Start Date]]&lt;1/1/1990,"",IF(Main[[#This Row],[Class]]="C",WORKDAY(Main[[#This Row],[Tech Start Date]],28),IF(Main[[#This Row],[Class]]="B", WORKDAY(Main[[#This Row],[Tech Start Date]],19),IF(Main[[#This Row],[Class]]="A",WORKDAY(Main[[#This Row],[Tech Start Date]],9),""))))</f>
        <v>40952</v>
      </c>
      <c r="Q93" s="74">
        <v>40959</v>
      </c>
      <c r="R93" s="74">
        <v>40959</v>
      </c>
      <c r="S93" s="72" t="s">
        <v>11</v>
      </c>
      <c r="T93" s="80" t="s">
        <v>3563</v>
      </c>
      <c r="U93" s="72" t="s">
        <v>29</v>
      </c>
      <c r="V93" s="72" t="s">
        <v>1947</v>
      </c>
      <c r="W93" s="72" t="s">
        <v>1943</v>
      </c>
      <c r="X93" s="72" t="s">
        <v>3000</v>
      </c>
      <c r="Y93" s="72" t="s">
        <v>3137</v>
      </c>
      <c r="Z93" s="72" t="s">
        <v>536</v>
      </c>
    </row>
    <row r="94" spans="1:26" ht="18.600000000000001" customHeight="1">
      <c r="A94" s="142">
        <f>IF(priority(Main[[#This Row],[Comments]])&lt;&gt;0, priority(Main[[#This Row],[Comments]]),"")</f>
        <v>25</v>
      </c>
      <c r="B94" s="90" t="s">
        <v>3495</v>
      </c>
      <c r="C94" s="72" t="s">
        <v>2885</v>
      </c>
      <c r="D94" s="73" t="s">
        <v>2956</v>
      </c>
      <c r="E94" s="74"/>
      <c r="F94" s="74"/>
      <c r="G94" s="75">
        <f>IF(stdProdLT(Main[[#This Row],[Comments]])=0.1,"N/A",IF(stdProdLT(Main[[#This Row],[Comments]])=0,"",stdProdLT(Main[[#This Row],[Comments]])))</f>
        <v>98</v>
      </c>
      <c r="H94" s="76" t="str">
        <f>IF(AND(Main[[#This Row],[In Stock Date]]&lt;&gt;"",Main[[#This Row],[Revised Due Date]]&lt;&gt;""),Main[[#This Row],[In Stock Date]]-Main[[#This Row],[Revised Due Date]],"")</f>
        <v/>
      </c>
      <c r="I94" s="72" t="s">
        <v>4</v>
      </c>
      <c r="J94" s="72" t="s">
        <v>4</v>
      </c>
      <c r="K94" s="72" t="s">
        <v>4</v>
      </c>
      <c r="L94" s="74"/>
      <c r="M94" s="77" t="str">
        <f>IF(Main[[#This Row],[Tech Start Date]]&lt;1/1/1990,"",IF(Main[[#This Row],[Class]]="C",WORKDAY(Main[[#This Row],[Tech Start Date]],9),IF(Main[[#This Row],[Class]]="B", WORKDAY(Main[[#This Row],[Tech Start Date]],6),IF(Main[[#This Row],[Class]]="A",WORKDAY(Main[[#This Row],[Tech Start Date]],2),""))))</f>
        <v/>
      </c>
      <c r="N94" s="77" t="str">
        <f>IF(Main[[#This Row],[Tech Start Date]]&lt;1/1/1990,"",IF(Main[[#This Row],[Class]]="C",WORKDAY(Main[[#This Row],[Tech Start Date]],19),IF(Main[[#This Row],[Class]]="B", WORKDAY(Main[[#This Row],[Tech Start Date]],12),IF(Main[[#This Row],[Class]]="A",WORKDAY(Main[[#This Row],[Tech Start Date]],4),""))))</f>
        <v/>
      </c>
      <c r="O94" s="77" t="str">
        <f>IF(Main[[#This Row],[Tech Start Date]]&lt;1/1/1990,"",IF(Main[[#This Row],[Class]]="C",WORKDAY(Main[[#This Row],[Tech Start Date]],23),IF(Main[[#This Row],[Class]]="B", WORKDAY(Main[[#This Row],[Tech Start Date]],15),IF(Main[[#This Row],[Class]]="A",WORKDAY(Main[[#This Row],[Tech Start Date]],5),""))))</f>
        <v/>
      </c>
      <c r="P94" s="77" t="str">
        <f>IF(Main[[#This Row],[Tech Start Date]]&lt;1/1/1990,"",IF(Main[[#This Row],[Class]]="C",WORKDAY(Main[[#This Row],[Tech Start Date]],28),IF(Main[[#This Row],[Class]]="B", WORKDAY(Main[[#This Row],[Tech Start Date]],19),IF(Main[[#This Row],[Class]]="A",WORKDAY(Main[[#This Row],[Tech Start Date]],9),""))))</f>
        <v/>
      </c>
      <c r="Q94" s="74">
        <v>40889</v>
      </c>
      <c r="R94" s="74"/>
      <c r="S94" s="72" t="s">
        <v>11</v>
      </c>
      <c r="T94" s="80" t="s">
        <v>3457</v>
      </c>
      <c r="U94" s="72" t="s">
        <v>12</v>
      </c>
      <c r="V94" s="72" t="s">
        <v>1937</v>
      </c>
      <c r="W94" s="72" t="s">
        <v>1943</v>
      </c>
      <c r="X94" s="72" t="s">
        <v>3496</v>
      </c>
      <c r="Y94" s="72" t="s">
        <v>4</v>
      </c>
      <c r="Z94" s="72" t="s">
        <v>4</v>
      </c>
    </row>
    <row r="95" spans="1:26" ht="18.600000000000001" customHeight="1">
      <c r="A95" s="142">
        <f>IF(priority(Main[[#This Row],[Comments]])&lt;&gt;0, priority(Main[[#This Row],[Comments]]),"")</f>
        <v>25</v>
      </c>
      <c r="B95" s="90" t="s">
        <v>2884</v>
      </c>
      <c r="C95" s="72" t="s">
        <v>2885</v>
      </c>
      <c r="D95" s="73" t="s">
        <v>2956</v>
      </c>
      <c r="E95" s="74">
        <v>40885.00640046296</v>
      </c>
      <c r="F95" s="74"/>
      <c r="G95" s="75">
        <f>IF(stdProdLT(Main[[#This Row],[Comments]])=0.1,"N/A",IF(stdProdLT(Main[[#This Row],[Comments]])=0,"",stdProdLT(Main[[#This Row],[Comments]])))</f>
        <v>98</v>
      </c>
      <c r="H95" s="76" t="str">
        <f>IF(AND(Main[[#This Row],[In Stock Date]]&lt;&gt;"",Main[[#This Row],[Revised Due Date]]&lt;&gt;""),Main[[#This Row],[In Stock Date]]-Main[[#This Row],[Revised Due Date]],"")</f>
        <v/>
      </c>
      <c r="I95" s="72" t="s">
        <v>4</v>
      </c>
      <c r="J95" s="72" t="s">
        <v>4</v>
      </c>
      <c r="K95" s="72" t="s">
        <v>4</v>
      </c>
      <c r="L95" s="74"/>
      <c r="M95" s="77" t="str">
        <f>IF(Main[[#This Row],[Tech Start Date]]&lt;1/1/1990,"",IF(Main[[#This Row],[Class]]="C",WORKDAY(Main[[#This Row],[Tech Start Date]],9),IF(Main[[#This Row],[Class]]="B", WORKDAY(Main[[#This Row],[Tech Start Date]],6),IF(Main[[#This Row],[Class]]="A",WORKDAY(Main[[#This Row],[Tech Start Date]],2),""))))</f>
        <v/>
      </c>
      <c r="N95" s="77" t="str">
        <f>IF(Main[[#This Row],[Tech Start Date]]&lt;1/1/1990,"",IF(Main[[#This Row],[Class]]="C",WORKDAY(Main[[#This Row],[Tech Start Date]],19),IF(Main[[#This Row],[Class]]="B", WORKDAY(Main[[#This Row],[Tech Start Date]],12),IF(Main[[#This Row],[Class]]="A",WORKDAY(Main[[#This Row],[Tech Start Date]],4),""))))</f>
        <v/>
      </c>
      <c r="O95" s="77" t="str">
        <f>IF(Main[[#This Row],[Tech Start Date]]&lt;1/1/1990,"",IF(Main[[#This Row],[Class]]="C",WORKDAY(Main[[#This Row],[Tech Start Date]],23),IF(Main[[#This Row],[Class]]="B", WORKDAY(Main[[#This Row],[Tech Start Date]],15),IF(Main[[#This Row],[Class]]="A",WORKDAY(Main[[#This Row],[Tech Start Date]],5),""))))</f>
        <v/>
      </c>
      <c r="P95" s="77" t="str">
        <f>IF(Main[[#This Row],[Tech Start Date]]&lt;1/1/1990,"",IF(Main[[#This Row],[Class]]="C",WORKDAY(Main[[#This Row],[Tech Start Date]],28),IF(Main[[#This Row],[Class]]="B", WORKDAY(Main[[#This Row],[Tech Start Date]],19),IF(Main[[#This Row],[Class]]="A",WORKDAY(Main[[#This Row],[Tech Start Date]],9),""))))</f>
        <v/>
      </c>
      <c r="Q95" s="74">
        <v>40889</v>
      </c>
      <c r="R95" s="74"/>
      <c r="S95" s="72" t="s">
        <v>11</v>
      </c>
      <c r="T95" s="80" t="s">
        <v>3457</v>
      </c>
      <c r="U95" s="72" t="s">
        <v>7</v>
      </c>
      <c r="V95" s="72" t="s">
        <v>1937</v>
      </c>
      <c r="W95" s="72" t="s">
        <v>1943</v>
      </c>
      <c r="X95" s="72" t="s">
        <v>3006</v>
      </c>
      <c r="Y95" s="72" t="s">
        <v>4</v>
      </c>
      <c r="Z95" s="72" t="s">
        <v>4</v>
      </c>
    </row>
    <row r="96" spans="1:26" ht="18.600000000000001" customHeight="1">
      <c r="A96" s="142">
        <f>IF(priority(Main[[#This Row],[Comments]])&lt;&gt;0, priority(Main[[#This Row],[Comments]]),"")</f>
        <v>25</v>
      </c>
      <c r="B96" s="90" t="s">
        <v>3353</v>
      </c>
      <c r="C96" s="72" t="s">
        <v>3415</v>
      </c>
      <c r="D96" s="73" t="s">
        <v>3354</v>
      </c>
      <c r="E96" s="74">
        <v>40919.167511574073</v>
      </c>
      <c r="F96" s="74">
        <v>41122</v>
      </c>
      <c r="G96" s="75">
        <f>IF(stdProdLT(Main[[#This Row],[Comments]])=0.1,"N/A",IF(stdProdLT(Main[[#This Row],[Comments]])=0,"",stdProdLT(Main[[#This Row],[Comments]])))</f>
        <v>140</v>
      </c>
      <c r="H96" s="76">
        <f>IF(AND(Main[[#This Row],[In Stock Date]]&lt;&gt;"",Main[[#This Row],[Revised Due Date]]&lt;&gt;""),Main[[#This Row],[In Stock Date]]-Main[[#This Row],[Revised Due Date]],"")</f>
        <v>163</v>
      </c>
      <c r="I96" s="72" t="s">
        <v>435</v>
      </c>
      <c r="J96" s="72" t="s">
        <v>70</v>
      </c>
      <c r="K96" s="72" t="s">
        <v>1944</v>
      </c>
      <c r="L96" s="74">
        <v>40925</v>
      </c>
      <c r="M96" s="77">
        <f>IF(Main[[#This Row],[Tech Start Date]]&lt;1/1/1990,"",IF(Main[[#This Row],[Class]]="C",WORKDAY(Main[[#This Row],[Tech Start Date]],9),IF(Main[[#This Row],[Class]]="B", WORKDAY(Main[[#This Row],[Tech Start Date]],6),IF(Main[[#This Row],[Class]]="A",WORKDAY(Main[[#This Row],[Tech Start Date]],2),""))))</f>
        <v>40933</v>
      </c>
      <c r="N96" s="77">
        <f>IF(Main[[#This Row],[Tech Start Date]]&lt;1/1/1990,"",IF(Main[[#This Row],[Class]]="C",WORKDAY(Main[[#This Row],[Tech Start Date]],19),IF(Main[[#This Row],[Class]]="B", WORKDAY(Main[[#This Row],[Tech Start Date]],12),IF(Main[[#This Row],[Class]]="A",WORKDAY(Main[[#This Row],[Tech Start Date]],4),""))))</f>
        <v>40941</v>
      </c>
      <c r="O96" s="77">
        <f>IF(Main[[#This Row],[Tech Start Date]]&lt;1/1/1990,"",IF(Main[[#This Row],[Class]]="C",WORKDAY(Main[[#This Row],[Tech Start Date]],23),IF(Main[[#This Row],[Class]]="B", WORKDAY(Main[[#This Row],[Tech Start Date]],15),IF(Main[[#This Row],[Class]]="A",WORKDAY(Main[[#This Row],[Tech Start Date]],5),""))))</f>
        <v>40946</v>
      </c>
      <c r="P96" s="77">
        <f>IF(Main[[#This Row],[Tech Start Date]]&lt;1/1/1990,"",IF(Main[[#This Row],[Class]]="C",WORKDAY(Main[[#This Row],[Tech Start Date]],28),IF(Main[[#This Row],[Class]]="B", WORKDAY(Main[[#This Row],[Tech Start Date]],19),IF(Main[[#This Row],[Class]]="A",WORKDAY(Main[[#This Row],[Tech Start Date]],9),""))))</f>
        <v>40952</v>
      </c>
      <c r="Q96" s="74">
        <v>40959</v>
      </c>
      <c r="R96" s="74">
        <v>40959</v>
      </c>
      <c r="S96" s="72" t="s">
        <v>11</v>
      </c>
      <c r="T96" s="80" t="s">
        <v>3566</v>
      </c>
      <c r="U96" s="72" t="s">
        <v>29</v>
      </c>
      <c r="V96" s="72" t="s">
        <v>1947</v>
      </c>
      <c r="W96" s="72" t="s">
        <v>1943</v>
      </c>
      <c r="X96" s="72" t="s">
        <v>3000</v>
      </c>
      <c r="Y96" s="72" t="s">
        <v>3137</v>
      </c>
      <c r="Z96" s="72" t="s">
        <v>536</v>
      </c>
    </row>
    <row r="97" spans="1:26" ht="18.600000000000001" customHeight="1">
      <c r="A97" s="142">
        <f>IF(priority(Main[[#This Row],[Comments]])&lt;&gt;0, priority(Main[[#This Row],[Comments]]),"")</f>
        <v>26</v>
      </c>
      <c r="B97" s="90" t="s">
        <v>1480</v>
      </c>
      <c r="C97" s="72" t="s">
        <v>4</v>
      </c>
      <c r="D97" s="73" t="s">
        <v>2346</v>
      </c>
      <c r="E97" s="74">
        <v>40702.622164351851</v>
      </c>
      <c r="F97" s="74"/>
      <c r="G97" s="75" t="str">
        <f>IF(stdProdLT(Main[[#This Row],[Comments]])=0.1,"N/A",IF(stdProdLT(Main[[#This Row],[Comments]])=0,"",stdProdLT(Main[[#This Row],[Comments]])))</f>
        <v>N/A</v>
      </c>
      <c r="H97" s="76" t="str">
        <f>IF(AND(Main[[#This Row],[In Stock Date]]&lt;&gt;"",Main[[#This Row],[Revised Due Date]]&lt;&gt;""),Main[[#This Row],[In Stock Date]]-Main[[#This Row],[Revised Due Date]],"")</f>
        <v/>
      </c>
      <c r="I97" s="72" t="s">
        <v>927</v>
      </c>
      <c r="J97" s="72" t="s">
        <v>52</v>
      </c>
      <c r="K97" s="72" t="s">
        <v>4</v>
      </c>
      <c r="L97" s="74"/>
      <c r="M97" s="77" t="str">
        <f>IF(Main[[#This Row],[Tech Start Date]]&lt;1/1/1990,"",IF(Main[[#This Row],[Class]]="C",WORKDAY(Main[[#This Row],[Tech Start Date]],9),IF(Main[[#This Row],[Class]]="B", WORKDAY(Main[[#This Row],[Tech Start Date]],6),IF(Main[[#This Row],[Class]]="A",WORKDAY(Main[[#This Row],[Tech Start Date]],2),""))))</f>
        <v/>
      </c>
      <c r="N97" s="77" t="str">
        <f>IF(Main[[#This Row],[Tech Start Date]]&lt;1/1/1990,"",IF(Main[[#This Row],[Class]]="C",WORKDAY(Main[[#This Row],[Tech Start Date]],19),IF(Main[[#This Row],[Class]]="B", WORKDAY(Main[[#This Row],[Tech Start Date]],12),IF(Main[[#This Row],[Class]]="A",WORKDAY(Main[[#This Row],[Tech Start Date]],4),""))))</f>
        <v/>
      </c>
      <c r="O97" s="77" t="str">
        <f>IF(Main[[#This Row],[Tech Start Date]]&lt;1/1/1990,"",IF(Main[[#This Row],[Class]]="C",WORKDAY(Main[[#This Row],[Tech Start Date]],23),IF(Main[[#This Row],[Class]]="B", WORKDAY(Main[[#This Row],[Tech Start Date]],15),IF(Main[[#This Row],[Class]]="A",WORKDAY(Main[[#This Row],[Tech Start Date]],5),""))))</f>
        <v/>
      </c>
      <c r="P97" s="77" t="str">
        <f>IF(Main[[#This Row],[Tech Start Date]]&lt;1/1/1990,"",IF(Main[[#This Row],[Class]]="C",WORKDAY(Main[[#This Row],[Tech Start Date]],28),IF(Main[[#This Row],[Class]]="B", WORKDAY(Main[[#This Row],[Tech Start Date]],19),IF(Main[[#This Row],[Class]]="A",WORKDAY(Main[[#This Row],[Tech Start Date]],9),""))))</f>
        <v/>
      </c>
      <c r="Q97" s="74"/>
      <c r="R97" s="74">
        <v>40756</v>
      </c>
      <c r="S97" s="72" t="s">
        <v>6</v>
      </c>
      <c r="T97" s="80" t="s">
        <v>2294</v>
      </c>
      <c r="U97" s="72" t="s">
        <v>29</v>
      </c>
      <c r="V97" s="72" t="s">
        <v>1937</v>
      </c>
      <c r="W97" s="72" t="s">
        <v>1941</v>
      </c>
      <c r="X97" s="72" t="s">
        <v>927</v>
      </c>
      <c r="Y97" s="72" t="s">
        <v>3215</v>
      </c>
      <c r="Z97" s="72" t="s">
        <v>4</v>
      </c>
    </row>
    <row r="98" spans="1:26" ht="18.600000000000001" customHeight="1">
      <c r="A98" s="142">
        <f>IF(priority(Main[[#This Row],[Comments]])&lt;&gt;0, priority(Main[[#This Row],[Comments]]),"")</f>
        <v>26</v>
      </c>
      <c r="B98" s="90" t="s">
        <v>1927</v>
      </c>
      <c r="C98" s="72" t="s">
        <v>970</v>
      </c>
      <c r="D98" s="73" t="s">
        <v>2048</v>
      </c>
      <c r="E98" s="74"/>
      <c r="F98" s="74"/>
      <c r="G98" s="75">
        <f>IF(stdProdLT(Main[[#This Row],[Comments]])=0.1,"N/A",IF(stdProdLT(Main[[#This Row],[Comments]])=0,"",stdProdLT(Main[[#This Row],[Comments]])))</f>
        <v>112</v>
      </c>
      <c r="H98" s="76" t="str">
        <f>IF(AND(Main[[#This Row],[In Stock Date]]&lt;&gt;"",Main[[#This Row],[Revised Due Date]]&lt;&gt;""),Main[[#This Row],[In Stock Date]]-Main[[#This Row],[Revised Due Date]],"")</f>
        <v/>
      </c>
      <c r="I98" s="72" t="s">
        <v>4</v>
      </c>
      <c r="J98" s="72" t="s">
        <v>52</v>
      </c>
      <c r="K98" s="72" t="s">
        <v>1950</v>
      </c>
      <c r="L98" s="74">
        <v>40694</v>
      </c>
      <c r="M98" s="77">
        <f>IF(Main[[#This Row],[Tech Start Date]]&lt;1/1/1990,"",IF(Main[[#This Row],[Class]]="C",WORKDAY(Main[[#This Row],[Tech Start Date]],9),IF(Main[[#This Row],[Class]]="B", WORKDAY(Main[[#This Row],[Tech Start Date]],6),IF(Main[[#This Row],[Class]]="A",WORKDAY(Main[[#This Row],[Tech Start Date]],2),""))))</f>
        <v>40707</v>
      </c>
      <c r="N98" s="77">
        <f>IF(Main[[#This Row],[Tech Start Date]]&lt;1/1/1990,"",IF(Main[[#This Row],[Class]]="C",WORKDAY(Main[[#This Row],[Tech Start Date]],19),IF(Main[[#This Row],[Class]]="B", WORKDAY(Main[[#This Row],[Tech Start Date]],12),IF(Main[[#This Row],[Class]]="A",WORKDAY(Main[[#This Row],[Tech Start Date]],4),""))))</f>
        <v>40721</v>
      </c>
      <c r="O98" s="77">
        <f>IF(Main[[#This Row],[Tech Start Date]]&lt;1/1/1990,"",IF(Main[[#This Row],[Class]]="C",WORKDAY(Main[[#This Row],[Tech Start Date]],23),IF(Main[[#This Row],[Class]]="B", WORKDAY(Main[[#This Row],[Tech Start Date]],15),IF(Main[[#This Row],[Class]]="A",WORKDAY(Main[[#This Row],[Tech Start Date]],5),""))))</f>
        <v>40725</v>
      </c>
      <c r="P98" s="77">
        <f>IF(Main[[#This Row],[Tech Start Date]]&lt;1/1/1990,"",IF(Main[[#This Row],[Class]]="C",WORKDAY(Main[[#This Row],[Tech Start Date]],28),IF(Main[[#This Row],[Class]]="B", WORKDAY(Main[[#This Row],[Tech Start Date]],19),IF(Main[[#This Row],[Class]]="A",WORKDAY(Main[[#This Row],[Tech Start Date]],9),""))))</f>
        <v>40732</v>
      </c>
      <c r="Q98" s="74">
        <v>40723</v>
      </c>
      <c r="R98" s="74">
        <v>40753</v>
      </c>
      <c r="S98" s="72" t="s">
        <v>11</v>
      </c>
      <c r="T98" s="80" t="s">
        <v>2029</v>
      </c>
      <c r="U98" s="72" t="s">
        <v>14</v>
      </c>
      <c r="V98" s="72" t="s">
        <v>1937</v>
      </c>
      <c r="W98" s="72" t="s">
        <v>1939</v>
      </c>
      <c r="X98" s="72" t="s">
        <v>3035</v>
      </c>
      <c r="Y98" s="72" t="s">
        <v>3313</v>
      </c>
      <c r="Z98" s="72" t="s">
        <v>3323</v>
      </c>
    </row>
    <row r="99" spans="1:26" ht="18.600000000000001" customHeight="1">
      <c r="A99" s="142">
        <f>IF(priority(Main[[#This Row],[Comments]])&lt;&gt;0, priority(Main[[#This Row],[Comments]]),"")</f>
        <v>26</v>
      </c>
      <c r="B99" s="90" t="s">
        <v>1454</v>
      </c>
      <c r="C99" s="72" t="s">
        <v>132</v>
      </c>
      <c r="D99" s="73" t="s">
        <v>2031</v>
      </c>
      <c r="E99" s="74"/>
      <c r="F99" s="74">
        <v>40939</v>
      </c>
      <c r="G99" s="75">
        <f>IF(stdProdLT(Main[[#This Row],[Comments]])=0.1,"N/A",IF(stdProdLT(Main[[#This Row],[Comments]])=0,"",stdProdLT(Main[[#This Row],[Comments]])))</f>
        <v>126</v>
      </c>
      <c r="H99" s="76">
        <f>IF(AND(Main[[#This Row],[In Stock Date]]&lt;&gt;"",Main[[#This Row],[Revised Due Date]]&lt;&gt;""),Main[[#This Row],[In Stock Date]]-Main[[#This Row],[Revised Due Date]],"")</f>
        <v>154</v>
      </c>
      <c r="I99" s="72" t="s">
        <v>126</v>
      </c>
      <c r="J99" s="72" t="s">
        <v>28</v>
      </c>
      <c r="K99" s="72" t="s">
        <v>1950</v>
      </c>
      <c r="L99" s="74">
        <v>40736</v>
      </c>
      <c r="M99" s="77">
        <f>IF(Main[[#This Row],[Tech Start Date]]&lt;1/1/1990,"",IF(Main[[#This Row],[Class]]="C",WORKDAY(Main[[#This Row],[Tech Start Date]],9),IF(Main[[#This Row],[Class]]="B", WORKDAY(Main[[#This Row],[Tech Start Date]],6),IF(Main[[#This Row],[Class]]="A",WORKDAY(Main[[#This Row],[Tech Start Date]],2),""))))</f>
        <v>40749</v>
      </c>
      <c r="N99" s="77">
        <f>IF(Main[[#This Row],[Tech Start Date]]&lt;1/1/1990,"",IF(Main[[#This Row],[Class]]="C",WORKDAY(Main[[#This Row],[Tech Start Date]],19),IF(Main[[#This Row],[Class]]="B", WORKDAY(Main[[#This Row],[Tech Start Date]],12),IF(Main[[#This Row],[Class]]="A",WORKDAY(Main[[#This Row],[Tech Start Date]],4),""))))</f>
        <v>40763</v>
      </c>
      <c r="O99" s="77">
        <f>IF(Main[[#This Row],[Tech Start Date]]&lt;1/1/1990,"",IF(Main[[#This Row],[Class]]="C",WORKDAY(Main[[#This Row],[Tech Start Date]],23),IF(Main[[#This Row],[Class]]="B", WORKDAY(Main[[#This Row],[Tech Start Date]],15),IF(Main[[#This Row],[Class]]="A",WORKDAY(Main[[#This Row],[Tech Start Date]],5),""))))</f>
        <v>40767</v>
      </c>
      <c r="P99" s="77">
        <f>IF(Main[[#This Row],[Tech Start Date]]&lt;1/1/1990,"",IF(Main[[#This Row],[Class]]="C",WORKDAY(Main[[#This Row],[Tech Start Date]],28),IF(Main[[#This Row],[Class]]="B", WORKDAY(Main[[#This Row],[Tech Start Date]],19),IF(Main[[#This Row],[Class]]="A",WORKDAY(Main[[#This Row],[Tech Start Date]],9),""))))</f>
        <v>40774</v>
      </c>
      <c r="Q99" s="74">
        <v>40799</v>
      </c>
      <c r="R99" s="74">
        <v>40785</v>
      </c>
      <c r="S99" s="72" t="s">
        <v>11</v>
      </c>
      <c r="T99" s="80" t="s">
        <v>2032</v>
      </c>
      <c r="U99" s="72" t="s">
        <v>14</v>
      </c>
      <c r="V99" s="72" t="s">
        <v>1937</v>
      </c>
      <c r="W99" s="72" t="s">
        <v>1948</v>
      </c>
      <c r="X99" s="72" t="s">
        <v>3004</v>
      </c>
      <c r="Y99" s="72" t="s">
        <v>3295</v>
      </c>
      <c r="Z99" s="72" t="s">
        <v>129</v>
      </c>
    </row>
    <row r="100" spans="1:26" ht="18.600000000000001" customHeight="1">
      <c r="A100" s="142">
        <f>IF(priority(Main[[#This Row],[Comments]])&lt;&gt;0, priority(Main[[#This Row],[Comments]]),"")</f>
        <v>26</v>
      </c>
      <c r="B100" s="90" t="s">
        <v>2183</v>
      </c>
      <c r="C100" s="72" t="s">
        <v>116</v>
      </c>
      <c r="D100" s="73" t="s">
        <v>2926</v>
      </c>
      <c r="E100" s="74">
        <v>40770.33797453704</v>
      </c>
      <c r="F100" s="74">
        <v>41044</v>
      </c>
      <c r="G100" s="75" t="str">
        <f>IF(stdProdLT(Main[[#This Row],[Comments]])=0.1,"N/A",IF(stdProdLT(Main[[#This Row],[Comments]])=0,"",stdProdLT(Main[[#This Row],[Comments]])))</f>
        <v>N/A</v>
      </c>
      <c r="H100" s="76">
        <f>IF(AND(Main[[#This Row],[In Stock Date]]&lt;&gt;"",Main[[#This Row],[Revised Due Date]]&lt;&gt;""),Main[[#This Row],[In Stock Date]]-Main[[#This Row],[Revised Due Date]],"")</f>
        <v>88</v>
      </c>
      <c r="I100" s="72" t="s">
        <v>953</v>
      </c>
      <c r="J100" s="72" t="s">
        <v>21</v>
      </c>
      <c r="K100" s="72" t="s">
        <v>1950</v>
      </c>
      <c r="L100" s="74">
        <v>40778</v>
      </c>
      <c r="M100" s="77">
        <f>IF(Main[[#This Row],[Tech Start Date]]&lt;1/1/1990,"",IF(Main[[#This Row],[Class]]="C",WORKDAY(Main[[#This Row],[Tech Start Date]],9),IF(Main[[#This Row],[Class]]="B", WORKDAY(Main[[#This Row],[Tech Start Date]],6),IF(Main[[#This Row],[Class]]="A",WORKDAY(Main[[#This Row],[Tech Start Date]],2),""))))</f>
        <v>40791</v>
      </c>
      <c r="N100" s="77">
        <f>IF(Main[[#This Row],[Tech Start Date]]&lt;1/1/1990,"",IF(Main[[#This Row],[Class]]="C",WORKDAY(Main[[#This Row],[Tech Start Date]],19),IF(Main[[#This Row],[Class]]="B", WORKDAY(Main[[#This Row],[Tech Start Date]],12),IF(Main[[#This Row],[Class]]="A",WORKDAY(Main[[#This Row],[Tech Start Date]],4),""))))</f>
        <v>40805</v>
      </c>
      <c r="O100" s="77">
        <f>IF(Main[[#This Row],[Tech Start Date]]&lt;1/1/1990,"",IF(Main[[#This Row],[Class]]="C",WORKDAY(Main[[#This Row],[Tech Start Date]],23),IF(Main[[#This Row],[Class]]="B", WORKDAY(Main[[#This Row],[Tech Start Date]],15),IF(Main[[#This Row],[Class]]="A",WORKDAY(Main[[#This Row],[Tech Start Date]],5),""))))</f>
        <v>40809</v>
      </c>
      <c r="P100" s="77">
        <f>IF(Main[[#This Row],[Tech Start Date]]&lt;1/1/1990,"",IF(Main[[#This Row],[Class]]="C",WORKDAY(Main[[#This Row],[Tech Start Date]],28),IF(Main[[#This Row],[Class]]="B", WORKDAY(Main[[#This Row],[Tech Start Date]],19),IF(Main[[#This Row],[Class]]="A",WORKDAY(Main[[#This Row],[Tech Start Date]],9),""))))</f>
        <v>40816</v>
      </c>
      <c r="Q100" s="74">
        <v>40802</v>
      </c>
      <c r="R100" s="74">
        <v>40956</v>
      </c>
      <c r="S100" s="72" t="s">
        <v>11</v>
      </c>
      <c r="T100" s="80" t="s">
        <v>3463</v>
      </c>
      <c r="U100" s="72" t="s">
        <v>29</v>
      </c>
      <c r="V100" s="72" t="s">
        <v>1937</v>
      </c>
      <c r="W100" s="72" t="s">
        <v>1945</v>
      </c>
      <c r="X100" s="72" t="s">
        <v>3004</v>
      </c>
      <c r="Y100" s="72" t="s">
        <v>3295</v>
      </c>
      <c r="Z100" s="72" t="s">
        <v>129</v>
      </c>
    </row>
    <row r="101" spans="1:26" ht="18.600000000000001" customHeight="1">
      <c r="A101" s="142">
        <f>IF(priority(Main[[#This Row],[Comments]])&lt;&gt;0, priority(Main[[#This Row],[Comments]]),"")</f>
        <v>26</v>
      </c>
      <c r="B101" s="90" t="s">
        <v>3351</v>
      </c>
      <c r="C101" s="72" t="s">
        <v>3416</v>
      </c>
      <c r="D101" s="73" t="s">
        <v>3352</v>
      </c>
      <c r="E101" s="74">
        <v>40919.240543981483</v>
      </c>
      <c r="F101" s="74">
        <v>41122</v>
      </c>
      <c r="G101" s="75">
        <f>IF(stdProdLT(Main[[#This Row],[Comments]])=0.1,"N/A",IF(stdProdLT(Main[[#This Row],[Comments]])=0,"",stdProdLT(Main[[#This Row],[Comments]])))</f>
        <v>140</v>
      </c>
      <c r="H101" s="76">
        <f>IF(AND(Main[[#This Row],[In Stock Date]]&lt;&gt;"",Main[[#This Row],[Revised Due Date]]&lt;&gt;""),Main[[#This Row],[In Stock Date]]-Main[[#This Row],[Revised Due Date]],"")</f>
        <v>163</v>
      </c>
      <c r="I101" s="72" t="s">
        <v>435</v>
      </c>
      <c r="J101" s="72" t="s">
        <v>70</v>
      </c>
      <c r="K101" s="72" t="s">
        <v>1944</v>
      </c>
      <c r="L101" s="74">
        <v>40925</v>
      </c>
      <c r="M101" s="77">
        <f>IF(Main[[#This Row],[Tech Start Date]]&lt;1/1/1990,"",IF(Main[[#This Row],[Class]]="C",WORKDAY(Main[[#This Row],[Tech Start Date]],9),IF(Main[[#This Row],[Class]]="B", WORKDAY(Main[[#This Row],[Tech Start Date]],6),IF(Main[[#This Row],[Class]]="A",WORKDAY(Main[[#This Row],[Tech Start Date]],2),""))))</f>
        <v>40933</v>
      </c>
      <c r="N101" s="77">
        <f>IF(Main[[#This Row],[Tech Start Date]]&lt;1/1/1990,"",IF(Main[[#This Row],[Class]]="C",WORKDAY(Main[[#This Row],[Tech Start Date]],19),IF(Main[[#This Row],[Class]]="B", WORKDAY(Main[[#This Row],[Tech Start Date]],12),IF(Main[[#This Row],[Class]]="A",WORKDAY(Main[[#This Row],[Tech Start Date]],4),""))))</f>
        <v>40941</v>
      </c>
      <c r="O101" s="77">
        <f>IF(Main[[#This Row],[Tech Start Date]]&lt;1/1/1990,"",IF(Main[[#This Row],[Class]]="C",WORKDAY(Main[[#This Row],[Tech Start Date]],23),IF(Main[[#This Row],[Class]]="B", WORKDAY(Main[[#This Row],[Tech Start Date]],15),IF(Main[[#This Row],[Class]]="A",WORKDAY(Main[[#This Row],[Tech Start Date]],5),""))))</f>
        <v>40946</v>
      </c>
      <c r="P101" s="77">
        <f>IF(Main[[#This Row],[Tech Start Date]]&lt;1/1/1990,"",IF(Main[[#This Row],[Class]]="C",WORKDAY(Main[[#This Row],[Tech Start Date]],28),IF(Main[[#This Row],[Class]]="B", WORKDAY(Main[[#This Row],[Tech Start Date]],19),IF(Main[[#This Row],[Class]]="A",WORKDAY(Main[[#This Row],[Tech Start Date]],9),""))))</f>
        <v>40952</v>
      </c>
      <c r="Q101" s="74">
        <v>40959</v>
      </c>
      <c r="R101" s="74">
        <v>40959</v>
      </c>
      <c r="S101" s="72" t="s">
        <v>11</v>
      </c>
      <c r="T101" s="80" t="s">
        <v>3558</v>
      </c>
      <c r="U101" s="72" t="s">
        <v>29</v>
      </c>
      <c r="V101" s="72" t="s">
        <v>1947</v>
      </c>
      <c r="W101" s="72" t="s">
        <v>1943</v>
      </c>
      <c r="X101" s="72" t="s">
        <v>3000</v>
      </c>
      <c r="Y101" s="72" t="s">
        <v>3137</v>
      </c>
      <c r="Z101" s="72" t="s">
        <v>536</v>
      </c>
    </row>
    <row r="102" spans="1:26" ht="18.600000000000001" customHeight="1">
      <c r="A102" s="142">
        <f>IF(priority(Main[[#This Row],[Comments]])&lt;&gt;0, priority(Main[[#This Row],[Comments]]),"")</f>
        <v>27</v>
      </c>
      <c r="B102" s="90" t="s">
        <v>2719</v>
      </c>
      <c r="C102" s="72" t="s">
        <v>116</v>
      </c>
      <c r="D102" s="73" t="s">
        <v>2939</v>
      </c>
      <c r="E102" s="74">
        <v>40864.570104166669</v>
      </c>
      <c r="F102" s="74">
        <v>41044</v>
      </c>
      <c r="G102" s="75" t="str">
        <f>IF(stdProdLT(Main[[#This Row],[Comments]])=0.1,"N/A",IF(stdProdLT(Main[[#This Row],[Comments]])=0,"",stdProdLT(Main[[#This Row],[Comments]])))</f>
        <v>N/A</v>
      </c>
      <c r="H102" s="76">
        <f>IF(AND(Main[[#This Row],[In Stock Date]]&lt;&gt;"",Main[[#This Row],[Revised Due Date]]&lt;&gt;""),Main[[#This Row],[In Stock Date]]-Main[[#This Row],[Revised Due Date]],"")</f>
        <v>88</v>
      </c>
      <c r="I102" s="72" t="s">
        <v>953</v>
      </c>
      <c r="J102" s="72" t="s">
        <v>21</v>
      </c>
      <c r="K102" s="72" t="s">
        <v>1944</v>
      </c>
      <c r="L102" s="74">
        <v>40869</v>
      </c>
      <c r="M102" s="77">
        <f>IF(Main[[#This Row],[Tech Start Date]]&lt;1/1/1990,"",IF(Main[[#This Row],[Class]]="C",WORKDAY(Main[[#This Row],[Tech Start Date]],9),IF(Main[[#This Row],[Class]]="B", WORKDAY(Main[[#This Row],[Tech Start Date]],6),IF(Main[[#This Row],[Class]]="A",WORKDAY(Main[[#This Row],[Tech Start Date]],2),""))))</f>
        <v>40877</v>
      </c>
      <c r="N102" s="77">
        <f>IF(Main[[#This Row],[Tech Start Date]]&lt;1/1/1990,"",IF(Main[[#This Row],[Class]]="C",WORKDAY(Main[[#This Row],[Tech Start Date]],19),IF(Main[[#This Row],[Class]]="B", WORKDAY(Main[[#This Row],[Tech Start Date]],12),IF(Main[[#This Row],[Class]]="A",WORKDAY(Main[[#This Row],[Tech Start Date]],4),""))))</f>
        <v>40885</v>
      </c>
      <c r="O102" s="77">
        <f>IF(Main[[#This Row],[Tech Start Date]]&lt;1/1/1990,"",IF(Main[[#This Row],[Class]]="C",WORKDAY(Main[[#This Row],[Tech Start Date]],23),IF(Main[[#This Row],[Class]]="B", WORKDAY(Main[[#This Row],[Tech Start Date]],15),IF(Main[[#This Row],[Class]]="A",WORKDAY(Main[[#This Row],[Tech Start Date]],5),""))))</f>
        <v>40890</v>
      </c>
      <c r="P102" s="77">
        <f>IF(Main[[#This Row],[Tech Start Date]]&lt;1/1/1990,"",IF(Main[[#This Row],[Class]]="C",WORKDAY(Main[[#This Row],[Tech Start Date]],28),IF(Main[[#This Row],[Class]]="B", WORKDAY(Main[[#This Row],[Tech Start Date]],19),IF(Main[[#This Row],[Class]]="A",WORKDAY(Main[[#This Row],[Tech Start Date]],9),""))))</f>
        <v>40896</v>
      </c>
      <c r="Q102" s="74">
        <v>40904</v>
      </c>
      <c r="R102" s="74">
        <v>40956</v>
      </c>
      <c r="S102" s="72" t="s">
        <v>11</v>
      </c>
      <c r="T102" s="80" t="s">
        <v>3470</v>
      </c>
      <c r="U102" s="72" t="s">
        <v>29</v>
      </c>
      <c r="V102" s="72" t="s">
        <v>1937</v>
      </c>
      <c r="W102" s="72" t="s">
        <v>1945</v>
      </c>
      <c r="X102" s="72" t="s">
        <v>3004</v>
      </c>
      <c r="Y102" s="72" t="s">
        <v>3295</v>
      </c>
      <c r="Z102" s="72" t="s">
        <v>129</v>
      </c>
    </row>
    <row r="103" spans="1:26" ht="18.600000000000001" customHeight="1">
      <c r="A103" s="142">
        <f>IF(priority(Main[[#This Row],[Comments]])&lt;&gt;0, priority(Main[[#This Row],[Comments]]),"")</f>
        <v>27</v>
      </c>
      <c r="B103" s="90" t="s">
        <v>3431</v>
      </c>
      <c r="C103" s="72" t="s">
        <v>3416</v>
      </c>
      <c r="D103" s="73" t="s">
        <v>3432</v>
      </c>
      <c r="E103" s="74">
        <v>40924.158333333333</v>
      </c>
      <c r="F103" s="74">
        <v>41122</v>
      </c>
      <c r="G103" s="75">
        <f>IF(stdProdLT(Main[[#This Row],[Comments]])=0.1,"N/A",IF(stdProdLT(Main[[#This Row],[Comments]])=0,"",stdProdLT(Main[[#This Row],[Comments]])))</f>
        <v>140</v>
      </c>
      <c r="H103" s="76">
        <f>IF(AND(Main[[#This Row],[In Stock Date]]&lt;&gt;"",Main[[#This Row],[Revised Due Date]]&lt;&gt;""),Main[[#This Row],[In Stock Date]]-Main[[#This Row],[Revised Due Date]],"")</f>
        <v>163</v>
      </c>
      <c r="I103" s="72" t="s">
        <v>131</v>
      </c>
      <c r="J103" s="72" t="s">
        <v>70</v>
      </c>
      <c r="K103" s="72" t="s">
        <v>1944</v>
      </c>
      <c r="L103" s="74">
        <v>40925</v>
      </c>
      <c r="M103" s="77">
        <f>IF(Main[[#This Row],[Tech Start Date]]&lt;1/1/1990,"",IF(Main[[#This Row],[Class]]="C",WORKDAY(Main[[#This Row],[Tech Start Date]],9),IF(Main[[#This Row],[Class]]="B", WORKDAY(Main[[#This Row],[Tech Start Date]],6),IF(Main[[#This Row],[Class]]="A",WORKDAY(Main[[#This Row],[Tech Start Date]],2),""))))</f>
        <v>40933</v>
      </c>
      <c r="N103" s="77">
        <f>IF(Main[[#This Row],[Tech Start Date]]&lt;1/1/1990,"",IF(Main[[#This Row],[Class]]="C",WORKDAY(Main[[#This Row],[Tech Start Date]],19),IF(Main[[#This Row],[Class]]="B", WORKDAY(Main[[#This Row],[Tech Start Date]],12),IF(Main[[#This Row],[Class]]="A",WORKDAY(Main[[#This Row],[Tech Start Date]],4),""))))</f>
        <v>40941</v>
      </c>
      <c r="O103" s="77">
        <f>IF(Main[[#This Row],[Tech Start Date]]&lt;1/1/1990,"",IF(Main[[#This Row],[Class]]="C",WORKDAY(Main[[#This Row],[Tech Start Date]],23),IF(Main[[#This Row],[Class]]="B", WORKDAY(Main[[#This Row],[Tech Start Date]],15),IF(Main[[#This Row],[Class]]="A",WORKDAY(Main[[#This Row],[Tech Start Date]],5),""))))</f>
        <v>40946</v>
      </c>
      <c r="P103" s="77">
        <f>IF(Main[[#This Row],[Tech Start Date]]&lt;1/1/1990,"",IF(Main[[#This Row],[Class]]="C",WORKDAY(Main[[#This Row],[Tech Start Date]],28),IF(Main[[#This Row],[Class]]="B", WORKDAY(Main[[#This Row],[Tech Start Date]],19),IF(Main[[#This Row],[Class]]="A",WORKDAY(Main[[#This Row],[Tech Start Date]],9),""))))</f>
        <v>40952</v>
      </c>
      <c r="Q103" s="74">
        <v>40959</v>
      </c>
      <c r="R103" s="74">
        <v>40959</v>
      </c>
      <c r="S103" s="72" t="s">
        <v>11</v>
      </c>
      <c r="T103" s="80" t="s">
        <v>3560</v>
      </c>
      <c r="U103" s="72" t="s">
        <v>29</v>
      </c>
      <c r="V103" s="72" t="s">
        <v>1947</v>
      </c>
      <c r="W103" s="72" t="s">
        <v>1943</v>
      </c>
      <c r="X103" s="72" t="s">
        <v>3000</v>
      </c>
      <c r="Y103" s="72" t="s">
        <v>3137</v>
      </c>
      <c r="Z103" s="72" t="s">
        <v>536</v>
      </c>
    </row>
    <row r="104" spans="1:26" ht="18.600000000000001" customHeight="1">
      <c r="A104" s="142">
        <f>IF(priority(Main[[#This Row],[Comments]])&lt;&gt;0, priority(Main[[#This Row],[Comments]]),"")</f>
        <v>28</v>
      </c>
      <c r="B104" s="90" t="s">
        <v>1033</v>
      </c>
      <c r="C104" s="72" t="s">
        <v>4</v>
      </c>
      <c r="D104" s="73" t="s">
        <v>2341</v>
      </c>
      <c r="E104" s="74">
        <v>40603.481041666666</v>
      </c>
      <c r="F104" s="74"/>
      <c r="G104" s="75" t="str">
        <f>IF(stdProdLT(Main[[#This Row],[Comments]])=0.1,"N/A",IF(stdProdLT(Main[[#This Row],[Comments]])=0,"",stdProdLT(Main[[#This Row],[Comments]])))</f>
        <v/>
      </c>
      <c r="H104" s="76" t="str">
        <f>IF(AND(Main[[#This Row],[In Stock Date]]&lt;&gt;"",Main[[#This Row],[Revised Due Date]]&lt;&gt;""),Main[[#This Row],[In Stock Date]]-Main[[#This Row],[Revised Due Date]],"")</f>
        <v/>
      </c>
      <c r="I104" s="72" t="s">
        <v>927</v>
      </c>
      <c r="J104" s="72" t="s">
        <v>52</v>
      </c>
      <c r="K104" s="72" t="s">
        <v>1946</v>
      </c>
      <c r="L104" s="74"/>
      <c r="M104" s="77" t="str">
        <f>IF(Main[[#This Row],[Tech Start Date]]&lt;1/1/1990,"",IF(Main[[#This Row],[Class]]="C",WORKDAY(Main[[#This Row],[Tech Start Date]],9),IF(Main[[#This Row],[Class]]="B", WORKDAY(Main[[#This Row],[Tech Start Date]],6),IF(Main[[#This Row],[Class]]="A",WORKDAY(Main[[#This Row],[Tech Start Date]],2),""))))</f>
        <v/>
      </c>
      <c r="N104" s="77" t="str">
        <f>IF(Main[[#This Row],[Tech Start Date]]&lt;1/1/1990,"",IF(Main[[#This Row],[Class]]="C",WORKDAY(Main[[#This Row],[Tech Start Date]],19),IF(Main[[#This Row],[Class]]="B", WORKDAY(Main[[#This Row],[Tech Start Date]],12),IF(Main[[#This Row],[Class]]="A",WORKDAY(Main[[#This Row],[Tech Start Date]],4),""))))</f>
        <v/>
      </c>
      <c r="O104" s="77" t="str">
        <f>IF(Main[[#This Row],[Tech Start Date]]&lt;1/1/1990,"",IF(Main[[#This Row],[Class]]="C",WORKDAY(Main[[#This Row],[Tech Start Date]],23),IF(Main[[#This Row],[Class]]="B", WORKDAY(Main[[#This Row],[Tech Start Date]],15),IF(Main[[#This Row],[Class]]="A",WORKDAY(Main[[#This Row],[Tech Start Date]],5),""))))</f>
        <v/>
      </c>
      <c r="P104" s="77" t="str">
        <f>IF(Main[[#This Row],[Tech Start Date]]&lt;1/1/1990,"",IF(Main[[#This Row],[Class]]="C",WORKDAY(Main[[#This Row],[Tech Start Date]],28),IF(Main[[#This Row],[Class]]="B", WORKDAY(Main[[#This Row],[Tech Start Date]],19),IF(Main[[#This Row],[Class]]="A",WORKDAY(Main[[#This Row],[Tech Start Date]],9),""))))</f>
        <v/>
      </c>
      <c r="Q104" s="74">
        <v>40637</v>
      </c>
      <c r="R104" s="74"/>
      <c r="S104" s="72" t="s">
        <v>6</v>
      </c>
      <c r="T104" s="80" t="s">
        <v>2724</v>
      </c>
      <c r="U104" s="72" t="s">
        <v>29</v>
      </c>
      <c r="V104" s="72" t="s">
        <v>1937</v>
      </c>
      <c r="W104" s="72" t="s">
        <v>1939</v>
      </c>
      <c r="X104" s="72" t="s">
        <v>2974</v>
      </c>
      <c r="Y104" s="72" t="s">
        <v>3096</v>
      </c>
      <c r="Z104" s="72" t="s">
        <v>129</v>
      </c>
    </row>
    <row r="105" spans="1:26" ht="18.600000000000001" customHeight="1">
      <c r="A105" s="142">
        <f>IF(priority(Main[[#This Row],[Comments]])&lt;&gt;0, priority(Main[[#This Row],[Comments]]),"")</f>
        <v>28</v>
      </c>
      <c r="B105" s="90" t="s">
        <v>3343</v>
      </c>
      <c r="C105" s="72" t="s">
        <v>3415</v>
      </c>
      <c r="D105" s="73" t="s">
        <v>3344</v>
      </c>
      <c r="E105" s="74">
        <v>40919.294537037036</v>
      </c>
      <c r="F105" s="74">
        <v>41122</v>
      </c>
      <c r="G105" s="75">
        <f>IF(stdProdLT(Main[[#This Row],[Comments]])=0.1,"N/A",IF(stdProdLT(Main[[#This Row],[Comments]])=0,"",stdProdLT(Main[[#This Row],[Comments]])))</f>
        <v>140</v>
      </c>
      <c r="H105" s="76">
        <f>IF(AND(Main[[#This Row],[In Stock Date]]&lt;&gt;"",Main[[#This Row],[Revised Due Date]]&lt;&gt;""),Main[[#This Row],[In Stock Date]]-Main[[#This Row],[Revised Due Date]],"")</f>
        <v>163</v>
      </c>
      <c r="I105" s="72" t="s">
        <v>131</v>
      </c>
      <c r="J105" s="72" t="s">
        <v>70</v>
      </c>
      <c r="K105" s="72" t="s">
        <v>1944</v>
      </c>
      <c r="L105" s="74">
        <v>40925</v>
      </c>
      <c r="M105" s="77">
        <f>IF(Main[[#This Row],[Tech Start Date]]&lt;1/1/1990,"",IF(Main[[#This Row],[Class]]="C",WORKDAY(Main[[#This Row],[Tech Start Date]],9),IF(Main[[#This Row],[Class]]="B", WORKDAY(Main[[#This Row],[Tech Start Date]],6),IF(Main[[#This Row],[Class]]="A",WORKDAY(Main[[#This Row],[Tech Start Date]],2),""))))</f>
        <v>40933</v>
      </c>
      <c r="N105" s="77">
        <f>IF(Main[[#This Row],[Tech Start Date]]&lt;1/1/1990,"",IF(Main[[#This Row],[Class]]="C",WORKDAY(Main[[#This Row],[Tech Start Date]],19),IF(Main[[#This Row],[Class]]="B", WORKDAY(Main[[#This Row],[Tech Start Date]],12),IF(Main[[#This Row],[Class]]="A",WORKDAY(Main[[#This Row],[Tech Start Date]],4),""))))</f>
        <v>40941</v>
      </c>
      <c r="O105" s="77">
        <f>IF(Main[[#This Row],[Tech Start Date]]&lt;1/1/1990,"",IF(Main[[#This Row],[Class]]="C",WORKDAY(Main[[#This Row],[Tech Start Date]],23),IF(Main[[#This Row],[Class]]="B", WORKDAY(Main[[#This Row],[Tech Start Date]],15),IF(Main[[#This Row],[Class]]="A",WORKDAY(Main[[#This Row],[Tech Start Date]],5),""))))</f>
        <v>40946</v>
      </c>
      <c r="P105" s="77">
        <f>IF(Main[[#This Row],[Tech Start Date]]&lt;1/1/1990,"",IF(Main[[#This Row],[Class]]="C",WORKDAY(Main[[#This Row],[Tech Start Date]],28),IF(Main[[#This Row],[Class]]="B", WORKDAY(Main[[#This Row],[Tech Start Date]],19),IF(Main[[#This Row],[Class]]="A",WORKDAY(Main[[#This Row],[Tech Start Date]],9),""))))</f>
        <v>40952</v>
      </c>
      <c r="Q105" s="74">
        <v>40959</v>
      </c>
      <c r="R105" s="74">
        <v>40959</v>
      </c>
      <c r="S105" s="72" t="s">
        <v>11</v>
      </c>
      <c r="T105" s="80" t="s">
        <v>3561</v>
      </c>
      <c r="U105" s="72" t="s">
        <v>29</v>
      </c>
      <c r="V105" s="72" t="s">
        <v>1947</v>
      </c>
      <c r="W105" s="72" t="s">
        <v>1943</v>
      </c>
      <c r="X105" s="72" t="s">
        <v>3000</v>
      </c>
      <c r="Y105" s="72" t="s">
        <v>3137</v>
      </c>
      <c r="Z105" s="72" t="s">
        <v>536</v>
      </c>
    </row>
    <row r="106" spans="1:26" ht="18.600000000000001" customHeight="1">
      <c r="A106" s="142">
        <f>IF(priority(Main[[#This Row],[Comments]])&lt;&gt;0, priority(Main[[#This Row],[Comments]]),"")</f>
        <v>29</v>
      </c>
      <c r="B106" s="90" t="s">
        <v>2623</v>
      </c>
      <c r="C106" s="72" t="s">
        <v>2624</v>
      </c>
      <c r="D106" s="73" t="s">
        <v>3360</v>
      </c>
      <c r="E106" s="74">
        <v>40821.398842592593</v>
      </c>
      <c r="F106" s="74">
        <v>41182</v>
      </c>
      <c r="G106" s="75">
        <f>IF(stdProdLT(Main[[#This Row],[Comments]])=0.1,"N/A",IF(stdProdLT(Main[[#This Row],[Comments]])=0,"",stdProdLT(Main[[#This Row],[Comments]])))</f>
        <v>210</v>
      </c>
      <c r="H106" s="76" t="str">
        <f>IF(AND(Main[[#This Row],[In Stock Date]]&lt;&gt;"",Main[[#This Row],[Revised Due Date]]&lt;&gt;""),Main[[#This Row],[In Stock Date]]-Main[[#This Row],[Revised Due Date]],"")</f>
        <v/>
      </c>
      <c r="I106" s="72" t="s">
        <v>4</v>
      </c>
      <c r="J106" s="72" t="s">
        <v>4</v>
      </c>
      <c r="K106" s="72" t="s">
        <v>1950</v>
      </c>
      <c r="L106" s="74">
        <v>40850</v>
      </c>
      <c r="M106" s="77">
        <f>IF(Main[[#This Row],[Tech Start Date]]&lt;1/1/1990,"",IF(Main[[#This Row],[Class]]="C",WORKDAY(Main[[#This Row],[Tech Start Date]],9),IF(Main[[#This Row],[Class]]="B", WORKDAY(Main[[#This Row],[Tech Start Date]],6),IF(Main[[#This Row],[Class]]="A",WORKDAY(Main[[#This Row],[Tech Start Date]],2),""))))</f>
        <v>40863</v>
      </c>
      <c r="N106" s="77">
        <f>IF(Main[[#This Row],[Tech Start Date]]&lt;1/1/1990,"",IF(Main[[#This Row],[Class]]="C",WORKDAY(Main[[#This Row],[Tech Start Date]],19),IF(Main[[#This Row],[Class]]="B", WORKDAY(Main[[#This Row],[Tech Start Date]],12),IF(Main[[#This Row],[Class]]="A",WORKDAY(Main[[#This Row],[Tech Start Date]],4),""))))</f>
        <v>40877</v>
      </c>
      <c r="O106" s="77">
        <f>IF(Main[[#This Row],[Tech Start Date]]&lt;1/1/1990,"",IF(Main[[#This Row],[Class]]="C",WORKDAY(Main[[#This Row],[Tech Start Date]],23),IF(Main[[#This Row],[Class]]="B", WORKDAY(Main[[#This Row],[Tech Start Date]],15),IF(Main[[#This Row],[Class]]="A",WORKDAY(Main[[#This Row],[Tech Start Date]],5),""))))</f>
        <v>40883</v>
      </c>
      <c r="P106" s="77">
        <f>IF(Main[[#This Row],[Tech Start Date]]&lt;1/1/1990,"",IF(Main[[#This Row],[Class]]="C",WORKDAY(Main[[#This Row],[Tech Start Date]],28),IF(Main[[#This Row],[Class]]="B", WORKDAY(Main[[#This Row],[Tech Start Date]],19),IF(Main[[#This Row],[Class]]="A",WORKDAY(Main[[#This Row],[Tech Start Date]],9),""))))</f>
        <v>40890</v>
      </c>
      <c r="Q106" s="74">
        <v>40872</v>
      </c>
      <c r="R106" s="74"/>
      <c r="S106" s="72" t="s">
        <v>11</v>
      </c>
      <c r="T106" s="80" t="s">
        <v>3512</v>
      </c>
      <c r="U106" s="72" t="s">
        <v>540</v>
      </c>
      <c r="V106" s="72" t="s">
        <v>1940</v>
      </c>
      <c r="W106" s="72" t="s">
        <v>1942</v>
      </c>
      <c r="X106" s="72" t="s">
        <v>2981</v>
      </c>
      <c r="Y106" s="72" t="s">
        <v>3109</v>
      </c>
      <c r="Z106" s="72" t="s">
        <v>4</v>
      </c>
    </row>
    <row r="107" spans="1:26" ht="18.600000000000001" customHeight="1">
      <c r="A107" s="142">
        <f>IF(priority(Main[[#This Row],[Comments]])&lt;&gt;0, priority(Main[[#This Row],[Comments]]),"")</f>
        <v>30</v>
      </c>
      <c r="B107" s="90" t="s">
        <v>1593</v>
      </c>
      <c r="C107" s="72" t="s">
        <v>1991</v>
      </c>
      <c r="D107" s="73" t="s">
        <v>662</v>
      </c>
      <c r="E107" s="74"/>
      <c r="F107" s="74"/>
      <c r="G107" s="75">
        <f>IF(stdProdLT(Main[[#This Row],[Comments]])=0.1,"N/A",IF(stdProdLT(Main[[#This Row],[Comments]])=0,"",stdProdLT(Main[[#This Row],[Comments]])))</f>
        <v>126</v>
      </c>
      <c r="H107" s="76" t="str">
        <f>IF(AND(Main[[#This Row],[In Stock Date]]&lt;&gt;"",Main[[#This Row],[Revised Due Date]]&lt;&gt;""),Main[[#This Row],[In Stock Date]]-Main[[#This Row],[Revised Due Date]],"")</f>
        <v/>
      </c>
      <c r="I107" s="72" t="s">
        <v>4</v>
      </c>
      <c r="J107" s="72" t="s">
        <v>4</v>
      </c>
      <c r="K107" s="72" t="s">
        <v>4</v>
      </c>
      <c r="L107" s="74"/>
      <c r="M107" s="77" t="str">
        <f>IF(Main[[#This Row],[Tech Start Date]]&lt;1/1/1990,"",IF(Main[[#This Row],[Class]]="C",WORKDAY(Main[[#This Row],[Tech Start Date]],9),IF(Main[[#This Row],[Class]]="B", WORKDAY(Main[[#This Row],[Tech Start Date]],6),IF(Main[[#This Row],[Class]]="A",WORKDAY(Main[[#This Row],[Tech Start Date]],2),""))))</f>
        <v/>
      </c>
      <c r="N107" s="77" t="str">
        <f>IF(Main[[#This Row],[Tech Start Date]]&lt;1/1/1990,"",IF(Main[[#This Row],[Class]]="C",WORKDAY(Main[[#This Row],[Tech Start Date]],19),IF(Main[[#This Row],[Class]]="B", WORKDAY(Main[[#This Row],[Tech Start Date]],12),IF(Main[[#This Row],[Class]]="A",WORKDAY(Main[[#This Row],[Tech Start Date]],4),""))))</f>
        <v/>
      </c>
      <c r="O107" s="77" t="str">
        <f>IF(Main[[#This Row],[Tech Start Date]]&lt;1/1/1990,"",IF(Main[[#This Row],[Class]]="C",WORKDAY(Main[[#This Row],[Tech Start Date]],23),IF(Main[[#This Row],[Class]]="B", WORKDAY(Main[[#This Row],[Tech Start Date]],15),IF(Main[[#This Row],[Class]]="A",WORKDAY(Main[[#This Row],[Tech Start Date]],5),""))))</f>
        <v/>
      </c>
      <c r="P107" s="77" t="str">
        <f>IF(Main[[#This Row],[Tech Start Date]]&lt;1/1/1990,"",IF(Main[[#This Row],[Class]]="C",WORKDAY(Main[[#This Row],[Tech Start Date]],28),IF(Main[[#This Row],[Class]]="B", WORKDAY(Main[[#This Row],[Tech Start Date]],19),IF(Main[[#This Row],[Class]]="A",WORKDAY(Main[[#This Row],[Tech Start Date]],9),""))))</f>
        <v/>
      </c>
      <c r="Q107" s="74">
        <v>40710</v>
      </c>
      <c r="R107" s="74">
        <v>40778</v>
      </c>
      <c r="S107" s="72" t="s">
        <v>11</v>
      </c>
      <c r="T107" s="80" t="s">
        <v>1992</v>
      </c>
      <c r="U107" s="72" t="s">
        <v>14</v>
      </c>
      <c r="V107" s="72" t="s">
        <v>1937</v>
      </c>
      <c r="W107" s="72" t="s">
        <v>1939</v>
      </c>
      <c r="X107" s="72" t="s">
        <v>3009</v>
      </c>
      <c r="Y107" s="72" t="s">
        <v>3156</v>
      </c>
      <c r="Z107" s="72" t="s">
        <v>4</v>
      </c>
    </row>
    <row r="108" spans="1:26" ht="18.600000000000001" customHeight="1">
      <c r="A108" s="142">
        <f>IF(priority(Main[[#This Row],[Comments]])&lt;&gt;0, priority(Main[[#This Row],[Comments]]),"")</f>
        <v>30</v>
      </c>
      <c r="B108" s="90" t="s">
        <v>1046</v>
      </c>
      <c r="C108" s="72" t="s">
        <v>37</v>
      </c>
      <c r="D108" s="73" t="s">
        <v>2340</v>
      </c>
      <c r="E108" s="74">
        <v>40578.593101851853</v>
      </c>
      <c r="F108" s="74">
        <v>40603</v>
      </c>
      <c r="G108" s="75" t="str">
        <f>IF(stdProdLT(Main[[#This Row],[Comments]])=0.1,"N/A",IF(stdProdLT(Main[[#This Row],[Comments]])=0,"",stdProdLT(Main[[#This Row],[Comments]])))</f>
        <v/>
      </c>
      <c r="H108" s="76" t="str">
        <f>IF(AND(Main[[#This Row],[In Stock Date]]&lt;&gt;"",Main[[#This Row],[Revised Due Date]]&lt;&gt;""),Main[[#This Row],[In Stock Date]]-Main[[#This Row],[Revised Due Date]],"")</f>
        <v/>
      </c>
      <c r="I108" s="72" t="s">
        <v>50</v>
      </c>
      <c r="J108" s="72" t="s">
        <v>51</v>
      </c>
      <c r="K108" s="72" t="s">
        <v>1946</v>
      </c>
      <c r="L108" s="74"/>
      <c r="M108" s="77" t="str">
        <f>IF(Main[[#This Row],[Tech Start Date]]&lt;1/1/1990,"",IF(Main[[#This Row],[Class]]="C",WORKDAY(Main[[#This Row],[Tech Start Date]],9),IF(Main[[#This Row],[Class]]="B", WORKDAY(Main[[#This Row],[Tech Start Date]],6),IF(Main[[#This Row],[Class]]="A",WORKDAY(Main[[#This Row],[Tech Start Date]],2),""))))</f>
        <v/>
      </c>
      <c r="N108" s="77" t="str">
        <f>IF(Main[[#This Row],[Tech Start Date]]&lt;1/1/1990,"",IF(Main[[#This Row],[Class]]="C",WORKDAY(Main[[#This Row],[Tech Start Date]],19),IF(Main[[#This Row],[Class]]="B", WORKDAY(Main[[#This Row],[Tech Start Date]],12),IF(Main[[#This Row],[Class]]="A",WORKDAY(Main[[#This Row],[Tech Start Date]],4),""))))</f>
        <v/>
      </c>
      <c r="O108" s="77" t="str">
        <f>IF(Main[[#This Row],[Tech Start Date]]&lt;1/1/1990,"",IF(Main[[#This Row],[Class]]="C",WORKDAY(Main[[#This Row],[Tech Start Date]],23),IF(Main[[#This Row],[Class]]="B", WORKDAY(Main[[#This Row],[Tech Start Date]],15),IF(Main[[#This Row],[Class]]="A",WORKDAY(Main[[#This Row],[Tech Start Date]],5),""))))</f>
        <v/>
      </c>
      <c r="P108" s="77" t="str">
        <f>IF(Main[[#This Row],[Tech Start Date]]&lt;1/1/1990,"",IF(Main[[#This Row],[Class]]="C",WORKDAY(Main[[#This Row],[Tech Start Date]],28),IF(Main[[#This Row],[Class]]="B", WORKDAY(Main[[#This Row],[Tech Start Date]],19),IF(Main[[#This Row],[Class]]="A",WORKDAY(Main[[#This Row],[Tech Start Date]],9),""))))</f>
        <v/>
      </c>
      <c r="Q108" s="74">
        <v>40603</v>
      </c>
      <c r="R108" s="74"/>
      <c r="S108" s="72" t="s">
        <v>6</v>
      </c>
      <c r="T108" s="80" t="s">
        <v>2302</v>
      </c>
      <c r="U108" s="72" t="s">
        <v>29</v>
      </c>
      <c r="V108" s="72" t="s">
        <v>1937</v>
      </c>
      <c r="W108" s="72" t="s">
        <v>1948</v>
      </c>
      <c r="X108" s="72" t="s">
        <v>897</v>
      </c>
      <c r="Y108" s="72" t="s">
        <v>3121</v>
      </c>
      <c r="Z108" s="72" t="s">
        <v>129</v>
      </c>
    </row>
    <row r="109" spans="1:26" ht="18.600000000000001" customHeight="1">
      <c r="A109" s="142">
        <f>IF(priority(Main[[#This Row],[Comments]])&lt;&gt;0, priority(Main[[#This Row],[Comments]]),"")</f>
        <v>30</v>
      </c>
      <c r="B109" s="90" t="s">
        <v>2873</v>
      </c>
      <c r="C109" s="72" t="s">
        <v>2034</v>
      </c>
      <c r="D109" s="73" t="s">
        <v>2874</v>
      </c>
      <c r="E109" s="74">
        <v>40914.055902777778</v>
      </c>
      <c r="F109" s="74">
        <v>41153</v>
      </c>
      <c r="G109" s="75">
        <f>IF(stdProdLT(Main[[#This Row],[Comments]])=0.1,"N/A",IF(stdProdLT(Main[[#This Row],[Comments]])=0,"",stdProdLT(Main[[#This Row],[Comments]])))</f>
        <v>168</v>
      </c>
      <c r="H109" s="76">
        <f>IF(AND(Main[[#This Row],[In Stock Date]]&lt;&gt;"",Main[[#This Row],[Revised Due Date]]&lt;&gt;""),Main[[#This Row],[In Stock Date]]-Main[[#This Row],[Revised Due Date]],"")</f>
        <v>180</v>
      </c>
      <c r="I109" s="72" t="s">
        <v>30</v>
      </c>
      <c r="J109" s="72" t="s">
        <v>28</v>
      </c>
      <c r="K109" s="72" t="s">
        <v>1950</v>
      </c>
      <c r="L109" s="74">
        <v>40925</v>
      </c>
      <c r="M109" s="77">
        <f>IF(Main[[#This Row],[Tech Start Date]]&lt;1/1/1990,"",IF(Main[[#This Row],[Class]]="C",WORKDAY(Main[[#This Row],[Tech Start Date]],9),IF(Main[[#This Row],[Class]]="B", WORKDAY(Main[[#This Row],[Tech Start Date]],6),IF(Main[[#This Row],[Class]]="A",WORKDAY(Main[[#This Row],[Tech Start Date]],2),""))))</f>
        <v>40938</v>
      </c>
      <c r="N109" s="77">
        <f>IF(Main[[#This Row],[Tech Start Date]]&lt;1/1/1990,"",IF(Main[[#This Row],[Class]]="C",WORKDAY(Main[[#This Row],[Tech Start Date]],19),IF(Main[[#This Row],[Class]]="B", WORKDAY(Main[[#This Row],[Tech Start Date]],12),IF(Main[[#This Row],[Class]]="A",WORKDAY(Main[[#This Row],[Tech Start Date]],4),""))))</f>
        <v>40952</v>
      </c>
      <c r="O109" s="77">
        <f>IF(Main[[#This Row],[Tech Start Date]]&lt;1/1/1990,"",IF(Main[[#This Row],[Class]]="C",WORKDAY(Main[[#This Row],[Tech Start Date]],23),IF(Main[[#This Row],[Class]]="B", WORKDAY(Main[[#This Row],[Tech Start Date]],15),IF(Main[[#This Row],[Class]]="A",WORKDAY(Main[[#This Row],[Tech Start Date]],5),""))))</f>
        <v>40956</v>
      </c>
      <c r="P109" s="77">
        <f>IF(Main[[#This Row],[Tech Start Date]]&lt;1/1/1990,"",IF(Main[[#This Row],[Class]]="C",WORKDAY(Main[[#This Row],[Tech Start Date]],28),IF(Main[[#This Row],[Class]]="B", WORKDAY(Main[[#This Row],[Tech Start Date]],19),IF(Main[[#This Row],[Class]]="A",WORKDAY(Main[[#This Row],[Tech Start Date]],9),""))))</f>
        <v>40963</v>
      </c>
      <c r="Q109" s="74">
        <v>40973</v>
      </c>
      <c r="R109" s="74">
        <v>40973</v>
      </c>
      <c r="S109" s="72" t="s">
        <v>11</v>
      </c>
      <c r="T109" s="80" t="s">
        <v>3422</v>
      </c>
      <c r="U109" s="72" t="s">
        <v>29</v>
      </c>
      <c r="V109" s="72" t="s">
        <v>1940</v>
      </c>
      <c r="W109" s="72" t="s">
        <v>1943</v>
      </c>
      <c r="X109" s="72" t="s">
        <v>3006</v>
      </c>
      <c r="Y109" s="72" t="s">
        <v>4</v>
      </c>
      <c r="Z109" s="72" t="s">
        <v>536</v>
      </c>
    </row>
    <row r="110" spans="1:26" ht="18.600000000000001" customHeight="1">
      <c r="A110" s="142">
        <f>IF(priority(Main[[#This Row],[Comments]])&lt;&gt;0, priority(Main[[#This Row],[Comments]]),"")</f>
        <v>32</v>
      </c>
      <c r="B110" s="90" t="s">
        <v>1090</v>
      </c>
      <c r="C110" s="72" t="s">
        <v>116</v>
      </c>
      <c r="D110" s="73" t="s">
        <v>117</v>
      </c>
      <c r="E110" s="74"/>
      <c r="F110" s="74"/>
      <c r="G110" s="75" t="str">
        <f>IF(stdProdLT(Main[[#This Row],[Comments]])=0.1,"N/A",IF(stdProdLT(Main[[#This Row],[Comments]])=0,"",stdProdLT(Main[[#This Row],[Comments]])))</f>
        <v/>
      </c>
      <c r="H110" s="76" t="str">
        <f>IF(AND(Main[[#This Row],[In Stock Date]]&lt;&gt;"",Main[[#This Row],[Revised Due Date]]&lt;&gt;""),Main[[#This Row],[In Stock Date]]-Main[[#This Row],[Revised Due Date]],"")</f>
        <v/>
      </c>
      <c r="I110" s="72" t="s">
        <v>4</v>
      </c>
      <c r="J110" s="72" t="s">
        <v>4</v>
      </c>
      <c r="K110" s="72" t="s">
        <v>4</v>
      </c>
      <c r="L110" s="74"/>
      <c r="M110" s="77" t="str">
        <f>IF(Main[[#This Row],[Tech Start Date]]&lt;1/1/1990,"",IF(Main[[#This Row],[Class]]="C",WORKDAY(Main[[#This Row],[Tech Start Date]],9),IF(Main[[#This Row],[Class]]="B", WORKDAY(Main[[#This Row],[Tech Start Date]],6),IF(Main[[#This Row],[Class]]="A",WORKDAY(Main[[#This Row],[Tech Start Date]],2),""))))</f>
        <v/>
      </c>
      <c r="N110" s="77" t="str">
        <f>IF(Main[[#This Row],[Tech Start Date]]&lt;1/1/1990,"",IF(Main[[#This Row],[Class]]="C",WORKDAY(Main[[#This Row],[Tech Start Date]],19),IF(Main[[#This Row],[Class]]="B", WORKDAY(Main[[#This Row],[Tech Start Date]],12),IF(Main[[#This Row],[Class]]="A",WORKDAY(Main[[#This Row],[Tech Start Date]],4),""))))</f>
        <v/>
      </c>
      <c r="O110" s="77" t="str">
        <f>IF(Main[[#This Row],[Tech Start Date]]&lt;1/1/1990,"",IF(Main[[#This Row],[Class]]="C",WORKDAY(Main[[#This Row],[Tech Start Date]],23),IF(Main[[#This Row],[Class]]="B", WORKDAY(Main[[#This Row],[Tech Start Date]],15),IF(Main[[#This Row],[Class]]="A",WORKDAY(Main[[#This Row],[Tech Start Date]],5),""))))</f>
        <v/>
      </c>
      <c r="P110" s="77" t="str">
        <f>IF(Main[[#This Row],[Tech Start Date]]&lt;1/1/1990,"",IF(Main[[#This Row],[Class]]="C",WORKDAY(Main[[#This Row],[Tech Start Date]],28),IF(Main[[#This Row],[Class]]="B", WORKDAY(Main[[#This Row],[Tech Start Date]],19),IF(Main[[#This Row],[Class]]="A",WORKDAY(Main[[#This Row],[Tech Start Date]],9),""))))</f>
        <v/>
      </c>
      <c r="Q110" s="74">
        <v>40786</v>
      </c>
      <c r="R110" s="74"/>
      <c r="S110" s="72" t="s">
        <v>11</v>
      </c>
      <c r="T110" s="80" t="s">
        <v>118</v>
      </c>
      <c r="U110" s="72" t="s">
        <v>14</v>
      </c>
      <c r="V110" s="72" t="s">
        <v>1937</v>
      </c>
      <c r="W110" s="72" t="s">
        <v>1942</v>
      </c>
      <c r="X110" s="72" t="s">
        <v>2991</v>
      </c>
      <c r="Y110" s="72" t="s">
        <v>3128</v>
      </c>
      <c r="Z110" s="72" t="s">
        <v>4</v>
      </c>
    </row>
    <row r="111" spans="1:26" ht="18.600000000000001" customHeight="1">
      <c r="A111" s="142">
        <f>IF(priority(Main[[#This Row],[Comments]])&lt;&gt;0, priority(Main[[#This Row],[Comments]]),"")</f>
        <v>32</v>
      </c>
      <c r="B111" s="90" t="s">
        <v>1082</v>
      </c>
      <c r="C111" s="72" t="s">
        <v>4</v>
      </c>
      <c r="D111" s="73" t="s">
        <v>2343</v>
      </c>
      <c r="E111" s="74">
        <v>40591.506215277775</v>
      </c>
      <c r="F111" s="74"/>
      <c r="G111" s="75" t="str">
        <f>IF(stdProdLT(Main[[#This Row],[Comments]])=0.1,"N/A",IF(stdProdLT(Main[[#This Row],[Comments]])=0,"",stdProdLT(Main[[#This Row],[Comments]])))</f>
        <v/>
      </c>
      <c r="H111" s="76" t="str">
        <f>IF(AND(Main[[#This Row],[In Stock Date]]&lt;&gt;"",Main[[#This Row],[Revised Due Date]]&lt;&gt;""),Main[[#This Row],[In Stock Date]]-Main[[#This Row],[Revised Due Date]],"")</f>
        <v/>
      </c>
      <c r="I111" s="72" t="s">
        <v>927</v>
      </c>
      <c r="J111" s="72" t="s">
        <v>52</v>
      </c>
      <c r="K111" s="72" t="s">
        <v>1946</v>
      </c>
      <c r="L111" s="74"/>
      <c r="M111" s="77" t="str">
        <f>IF(Main[[#This Row],[Tech Start Date]]&lt;1/1/1990,"",IF(Main[[#This Row],[Class]]="C",WORKDAY(Main[[#This Row],[Tech Start Date]],9),IF(Main[[#This Row],[Class]]="B", WORKDAY(Main[[#This Row],[Tech Start Date]],6),IF(Main[[#This Row],[Class]]="A",WORKDAY(Main[[#This Row],[Tech Start Date]],2),""))))</f>
        <v/>
      </c>
      <c r="N111" s="77" t="str">
        <f>IF(Main[[#This Row],[Tech Start Date]]&lt;1/1/1990,"",IF(Main[[#This Row],[Class]]="C",WORKDAY(Main[[#This Row],[Tech Start Date]],19),IF(Main[[#This Row],[Class]]="B", WORKDAY(Main[[#This Row],[Tech Start Date]],12),IF(Main[[#This Row],[Class]]="A",WORKDAY(Main[[#This Row],[Tech Start Date]],4),""))))</f>
        <v/>
      </c>
      <c r="O111" s="77" t="str">
        <f>IF(Main[[#This Row],[Tech Start Date]]&lt;1/1/1990,"",IF(Main[[#This Row],[Class]]="C",WORKDAY(Main[[#This Row],[Tech Start Date]],23),IF(Main[[#This Row],[Class]]="B", WORKDAY(Main[[#This Row],[Tech Start Date]],15),IF(Main[[#This Row],[Class]]="A",WORKDAY(Main[[#This Row],[Tech Start Date]],5),""))))</f>
        <v/>
      </c>
      <c r="P111" s="77" t="str">
        <f>IF(Main[[#This Row],[Tech Start Date]]&lt;1/1/1990,"",IF(Main[[#This Row],[Class]]="C",WORKDAY(Main[[#This Row],[Tech Start Date]],28),IF(Main[[#This Row],[Class]]="B", WORKDAY(Main[[#This Row],[Tech Start Date]],19),IF(Main[[#This Row],[Class]]="A",WORKDAY(Main[[#This Row],[Tech Start Date]],9),""))))</f>
        <v/>
      </c>
      <c r="Q111" s="74">
        <v>40605</v>
      </c>
      <c r="R111" s="74"/>
      <c r="S111" s="72" t="s">
        <v>6</v>
      </c>
      <c r="T111" s="80" t="s">
        <v>118</v>
      </c>
      <c r="U111" s="72" t="s">
        <v>29</v>
      </c>
      <c r="V111" s="72" t="s">
        <v>1937</v>
      </c>
      <c r="W111" s="72" t="s">
        <v>1939</v>
      </c>
      <c r="X111" s="72" t="s">
        <v>3052</v>
      </c>
      <c r="Y111" s="72" t="s">
        <v>3232</v>
      </c>
      <c r="Z111" s="72" t="s">
        <v>129</v>
      </c>
    </row>
    <row r="112" spans="1:26" ht="18.600000000000001" customHeight="1">
      <c r="A112" s="142">
        <f>IF(priority(Main[[#This Row],[Comments]])&lt;&gt;0, priority(Main[[#This Row],[Comments]]),"")</f>
        <v>32.1</v>
      </c>
      <c r="B112" s="90" t="s">
        <v>2202</v>
      </c>
      <c r="C112" s="72" t="s">
        <v>2203</v>
      </c>
      <c r="D112" s="73" t="s">
        <v>2204</v>
      </c>
      <c r="E112" s="74"/>
      <c r="F112" s="74">
        <v>40795</v>
      </c>
      <c r="G112" s="75">
        <f>IF(stdProdLT(Main[[#This Row],[Comments]])=0.1,"N/A",IF(stdProdLT(Main[[#This Row],[Comments]])=0,"",stdProdLT(Main[[#This Row],[Comments]])))</f>
        <v>21</v>
      </c>
      <c r="H112" s="76" t="str">
        <f>IF(AND(Main[[#This Row],[In Stock Date]]&lt;&gt;"",Main[[#This Row],[Revised Due Date]]&lt;&gt;""),Main[[#This Row],[In Stock Date]]-Main[[#This Row],[Revised Due Date]],"")</f>
        <v/>
      </c>
      <c r="I112" s="72" t="s">
        <v>4</v>
      </c>
      <c r="J112" s="72" t="s">
        <v>4</v>
      </c>
      <c r="K112" s="72" t="s">
        <v>4</v>
      </c>
      <c r="L112" s="74"/>
      <c r="M112" s="77" t="str">
        <f>IF(Main[[#This Row],[Tech Start Date]]&lt;1/1/1990,"",IF(Main[[#This Row],[Class]]="C",WORKDAY(Main[[#This Row],[Tech Start Date]],9),IF(Main[[#This Row],[Class]]="B", WORKDAY(Main[[#This Row],[Tech Start Date]],6),IF(Main[[#This Row],[Class]]="A",WORKDAY(Main[[#This Row],[Tech Start Date]],2),""))))</f>
        <v/>
      </c>
      <c r="N112" s="77" t="str">
        <f>IF(Main[[#This Row],[Tech Start Date]]&lt;1/1/1990,"",IF(Main[[#This Row],[Class]]="C",WORKDAY(Main[[#This Row],[Tech Start Date]],19),IF(Main[[#This Row],[Class]]="B", WORKDAY(Main[[#This Row],[Tech Start Date]],12),IF(Main[[#This Row],[Class]]="A",WORKDAY(Main[[#This Row],[Tech Start Date]],4),""))))</f>
        <v/>
      </c>
      <c r="O112" s="77" t="str">
        <f>IF(Main[[#This Row],[Tech Start Date]]&lt;1/1/1990,"",IF(Main[[#This Row],[Class]]="C",WORKDAY(Main[[#This Row],[Tech Start Date]],23),IF(Main[[#This Row],[Class]]="B", WORKDAY(Main[[#This Row],[Tech Start Date]],15),IF(Main[[#This Row],[Class]]="A",WORKDAY(Main[[#This Row],[Tech Start Date]],5),""))))</f>
        <v/>
      </c>
      <c r="P112" s="77" t="str">
        <f>IF(Main[[#This Row],[Tech Start Date]]&lt;1/1/1990,"",IF(Main[[#This Row],[Class]]="C",WORKDAY(Main[[#This Row],[Tech Start Date]],28),IF(Main[[#This Row],[Class]]="B", WORKDAY(Main[[#This Row],[Tech Start Date]],19),IF(Main[[#This Row],[Class]]="A",WORKDAY(Main[[#This Row],[Tech Start Date]],9),""))))</f>
        <v/>
      </c>
      <c r="Q112" s="74">
        <v>40795</v>
      </c>
      <c r="R112" s="74"/>
      <c r="S112" s="72" t="s">
        <v>11</v>
      </c>
      <c r="T112" s="80" t="s">
        <v>2256</v>
      </c>
      <c r="U112" s="72" t="s">
        <v>14</v>
      </c>
      <c r="V112" s="72" t="s">
        <v>1937</v>
      </c>
      <c r="W112" s="72" t="s">
        <v>1942</v>
      </c>
      <c r="X112" s="72" t="s">
        <v>2981</v>
      </c>
      <c r="Y112" s="72" t="s">
        <v>3109</v>
      </c>
      <c r="Z112" s="72" t="s">
        <v>4</v>
      </c>
    </row>
    <row r="113" spans="1:26" ht="18.600000000000001" customHeight="1">
      <c r="A113" s="142">
        <f>IF(priority(Main[[#This Row],[Comments]])&lt;&gt;0, priority(Main[[#This Row],[Comments]]),"")</f>
        <v>33</v>
      </c>
      <c r="B113" s="90" t="s">
        <v>1239</v>
      </c>
      <c r="C113" s="72" t="s">
        <v>116</v>
      </c>
      <c r="D113" s="73" t="s">
        <v>329</v>
      </c>
      <c r="E113" s="74"/>
      <c r="F113" s="74"/>
      <c r="G113" s="75" t="str">
        <f>IF(stdProdLT(Main[[#This Row],[Comments]])=0.1,"N/A",IF(stdProdLT(Main[[#This Row],[Comments]])=0,"",stdProdLT(Main[[#This Row],[Comments]])))</f>
        <v/>
      </c>
      <c r="H113" s="76" t="str">
        <f>IF(AND(Main[[#This Row],[In Stock Date]]&lt;&gt;"",Main[[#This Row],[Revised Due Date]]&lt;&gt;""),Main[[#This Row],[In Stock Date]]-Main[[#This Row],[Revised Due Date]],"")</f>
        <v/>
      </c>
      <c r="I113" s="72" t="s">
        <v>4</v>
      </c>
      <c r="J113" s="72" t="s">
        <v>4</v>
      </c>
      <c r="K113" s="72" t="s">
        <v>4</v>
      </c>
      <c r="L113" s="74"/>
      <c r="M113" s="77" t="str">
        <f>IF(Main[[#This Row],[Tech Start Date]]&lt;1/1/1990,"",IF(Main[[#This Row],[Class]]="C",WORKDAY(Main[[#This Row],[Tech Start Date]],9),IF(Main[[#This Row],[Class]]="B", WORKDAY(Main[[#This Row],[Tech Start Date]],6),IF(Main[[#This Row],[Class]]="A",WORKDAY(Main[[#This Row],[Tech Start Date]],2),""))))</f>
        <v/>
      </c>
      <c r="N113" s="77" t="str">
        <f>IF(Main[[#This Row],[Tech Start Date]]&lt;1/1/1990,"",IF(Main[[#This Row],[Class]]="C",WORKDAY(Main[[#This Row],[Tech Start Date]],19),IF(Main[[#This Row],[Class]]="B", WORKDAY(Main[[#This Row],[Tech Start Date]],12),IF(Main[[#This Row],[Class]]="A",WORKDAY(Main[[#This Row],[Tech Start Date]],4),""))))</f>
        <v/>
      </c>
      <c r="O113" s="77" t="str">
        <f>IF(Main[[#This Row],[Tech Start Date]]&lt;1/1/1990,"",IF(Main[[#This Row],[Class]]="C",WORKDAY(Main[[#This Row],[Tech Start Date]],23),IF(Main[[#This Row],[Class]]="B", WORKDAY(Main[[#This Row],[Tech Start Date]],15),IF(Main[[#This Row],[Class]]="A",WORKDAY(Main[[#This Row],[Tech Start Date]],5),""))))</f>
        <v/>
      </c>
      <c r="P113" s="77" t="str">
        <f>IF(Main[[#This Row],[Tech Start Date]]&lt;1/1/1990,"",IF(Main[[#This Row],[Class]]="C",WORKDAY(Main[[#This Row],[Tech Start Date]],28),IF(Main[[#This Row],[Class]]="B", WORKDAY(Main[[#This Row],[Tech Start Date]],19),IF(Main[[#This Row],[Class]]="A",WORKDAY(Main[[#This Row],[Tech Start Date]],9),""))))</f>
        <v/>
      </c>
      <c r="Q113" s="74"/>
      <c r="R113" s="74"/>
      <c r="S113" s="72" t="s">
        <v>11</v>
      </c>
      <c r="T113" s="80" t="s">
        <v>330</v>
      </c>
      <c r="U113" s="72" t="s">
        <v>14</v>
      </c>
      <c r="V113" s="72" t="s">
        <v>1937</v>
      </c>
      <c r="W113" s="72" t="s">
        <v>1942</v>
      </c>
      <c r="X113" s="72" t="s">
        <v>2991</v>
      </c>
      <c r="Y113" s="72" t="s">
        <v>3128</v>
      </c>
      <c r="Z113" s="72" t="s">
        <v>4</v>
      </c>
    </row>
    <row r="114" spans="1:26" ht="18.600000000000001" customHeight="1">
      <c r="A114" s="142">
        <f>IF(priority(Main[[#This Row],[Comments]])&lt;&gt;0, priority(Main[[#This Row],[Comments]]),"")</f>
        <v>33</v>
      </c>
      <c r="B114" s="90" t="s">
        <v>1096</v>
      </c>
      <c r="C114" s="72" t="s">
        <v>122</v>
      </c>
      <c r="D114" s="73" t="s">
        <v>123</v>
      </c>
      <c r="E114" s="74">
        <v>40534.411678240744</v>
      </c>
      <c r="F114" s="74">
        <v>40541</v>
      </c>
      <c r="G114" s="75" t="str">
        <f>IF(stdProdLT(Main[[#This Row],[Comments]])=0.1,"N/A",IF(stdProdLT(Main[[#This Row],[Comments]])=0,"",stdProdLT(Main[[#This Row],[Comments]])))</f>
        <v/>
      </c>
      <c r="H114" s="76" t="str">
        <f>IF(AND(Main[[#This Row],[In Stock Date]]&lt;&gt;"",Main[[#This Row],[Revised Due Date]]&lt;&gt;""),Main[[#This Row],[In Stock Date]]-Main[[#This Row],[Revised Due Date]],"")</f>
        <v/>
      </c>
      <c r="I114" s="72" t="s">
        <v>4</v>
      </c>
      <c r="J114" s="72" t="s">
        <v>28</v>
      </c>
      <c r="K114" s="81" t="s">
        <v>1946</v>
      </c>
      <c r="L114" s="74"/>
      <c r="M114" s="77" t="str">
        <f>IF(Main[[#This Row],[Tech Start Date]]&lt;1/1/1990,"",IF(Main[[#This Row],[Class]]="C",WORKDAY(Main[[#This Row],[Tech Start Date]],9),IF(Main[[#This Row],[Class]]="B", WORKDAY(Main[[#This Row],[Tech Start Date]],6),IF(Main[[#This Row],[Class]]="A",WORKDAY(Main[[#This Row],[Tech Start Date]],2),""))))</f>
        <v/>
      </c>
      <c r="N114" s="77" t="str">
        <f>IF(Main[[#This Row],[Tech Start Date]]&lt;1/1/1990,"",IF(Main[[#This Row],[Class]]="C",WORKDAY(Main[[#This Row],[Tech Start Date]],19),IF(Main[[#This Row],[Class]]="B", WORKDAY(Main[[#This Row],[Tech Start Date]],12),IF(Main[[#This Row],[Class]]="A",WORKDAY(Main[[#This Row],[Tech Start Date]],4),""))))</f>
        <v/>
      </c>
      <c r="O114" s="77" t="str">
        <f>IF(Main[[#This Row],[Tech Start Date]]&lt;1/1/1990,"",IF(Main[[#This Row],[Class]]="C",WORKDAY(Main[[#This Row],[Tech Start Date]],23),IF(Main[[#This Row],[Class]]="B", WORKDAY(Main[[#This Row],[Tech Start Date]],15),IF(Main[[#This Row],[Class]]="A",WORKDAY(Main[[#This Row],[Tech Start Date]],5),""))))</f>
        <v/>
      </c>
      <c r="P114" s="77" t="str">
        <f>IF(Main[[#This Row],[Tech Start Date]]&lt;1/1/1990,"",IF(Main[[#This Row],[Class]]="C",WORKDAY(Main[[#This Row],[Tech Start Date]],28),IF(Main[[#This Row],[Class]]="B", WORKDAY(Main[[#This Row],[Tech Start Date]],19),IF(Main[[#This Row],[Class]]="A",WORKDAY(Main[[#This Row],[Tech Start Date]],9),""))))</f>
        <v/>
      </c>
      <c r="Q114" s="74">
        <v>40541</v>
      </c>
      <c r="R114" s="74"/>
      <c r="S114" s="72" t="s">
        <v>6</v>
      </c>
      <c r="T114" s="80" t="s">
        <v>330</v>
      </c>
      <c r="U114" s="72" t="s">
        <v>7</v>
      </c>
      <c r="V114" s="72" t="s">
        <v>1937</v>
      </c>
      <c r="W114" s="72" t="s">
        <v>1941</v>
      </c>
      <c r="X114" s="72" t="s">
        <v>2969</v>
      </c>
      <c r="Y114" s="72" t="s">
        <v>3291</v>
      </c>
      <c r="Z114" s="72" t="s">
        <v>129</v>
      </c>
    </row>
    <row r="115" spans="1:26" ht="18.600000000000001" customHeight="1">
      <c r="A115" s="142">
        <f>IF(priority(Main[[#This Row],[Comments]])&lt;&gt;0, priority(Main[[#This Row],[Comments]]),"")</f>
        <v>34</v>
      </c>
      <c r="B115" s="90" t="s">
        <v>1118</v>
      </c>
      <c r="C115" s="72" t="s">
        <v>4</v>
      </c>
      <c r="D115" s="73" t="s">
        <v>2331</v>
      </c>
      <c r="E115" s="74">
        <v>40561.117199074077</v>
      </c>
      <c r="F115" s="74">
        <v>40592</v>
      </c>
      <c r="G115" s="75" t="str">
        <f>IF(stdProdLT(Main[[#This Row],[Comments]])=0.1,"N/A",IF(stdProdLT(Main[[#This Row],[Comments]])=0,"",stdProdLT(Main[[#This Row],[Comments]])))</f>
        <v/>
      </c>
      <c r="H115" s="76" t="str">
        <f>IF(AND(Main[[#This Row],[In Stock Date]]&lt;&gt;"",Main[[#This Row],[Revised Due Date]]&lt;&gt;""),Main[[#This Row],[In Stock Date]]-Main[[#This Row],[Revised Due Date]],"")</f>
        <v/>
      </c>
      <c r="I115" s="72" t="s">
        <v>927</v>
      </c>
      <c r="J115" s="72" t="s">
        <v>21</v>
      </c>
      <c r="K115" s="72" t="s">
        <v>1944</v>
      </c>
      <c r="L115" s="74"/>
      <c r="M115" s="77" t="str">
        <f>IF(Main[[#This Row],[Tech Start Date]]&lt;1/1/1990,"",IF(Main[[#This Row],[Class]]="C",WORKDAY(Main[[#This Row],[Tech Start Date]],9),IF(Main[[#This Row],[Class]]="B", WORKDAY(Main[[#This Row],[Tech Start Date]],6),IF(Main[[#This Row],[Class]]="A",WORKDAY(Main[[#This Row],[Tech Start Date]],2),""))))</f>
        <v/>
      </c>
      <c r="N115" s="77" t="str">
        <f>IF(Main[[#This Row],[Tech Start Date]]&lt;1/1/1990,"",IF(Main[[#This Row],[Class]]="C",WORKDAY(Main[[#This Row],[Tech Start Date]],19),IF(Main[[#This Row],[Class]]="B", WORKDAY(Main[[#This Row],[Tech Start Date]],12),IF(Main[[#This Row],[Class]]="A",WORKDAY(Main[[#This Row],[Tech Start Date]],4),""))))</f>
        <v/>
      </c>
      <c r="O115" s="77" t="str">
        <f>IF(Main[[#This Row],[Tech Start Date]]&lt;1/1/1990,"",IF(Main[[#This Row],[Class]]="C",WORKDAY(Main[[#This Row],[Tech Start Date]],23),IF(Main[[#This Row],[Class]]="B", WORKDAY(Main[[#This Row],[Tech Start Date]],15),IF(Main[[#This Row],[Class]]="A",WORKDAY(Main[[#This Row],[Tech Start Date]],5),""))))</f>
        <v/>
      </c>
      <c r="P115" s="77" t="str">
        <f>IF(Main[[#This Row],[Tech Start Date]]&lt;1/1/1990,"",IF(Main[[#This Row],[Class]]="C",WORKDAY(Main[[#This Row],[Tech Start Date]],28),IF(Main[[#This Row],[Class]]="B", WORKDAY(Main[[#This Row],[Tech Start Date]],19),IF(Main[[#This Row],[Class]]="A",WORKDAY(Main[[#This Row],[Tech Start Date]],9),""))))</f>
        <v/>
      </c>
      <c r="Q115" s="74">
        <v>40592</v>
      </c>
      <c r="R115" s="74"/>
      <c r="S115" s="72" t="s">
        <v>6</v>
      </c>
      <c r="T115" s="80" t="s">
        <v>2056</v>
      </c>
      <c r="U115" s="72" t="s">
        <v>29</v>
      </c>
      <c r="V115" s="72" t="s">
        <v>1937</v>
      </c>
      <c r="W115" s="72" t="s">
        <v>1939</v>
      </c>
      <c r="X115" s="72" t="s">
        <v>3055</v>
      </c>
      <c r="Y115" s="72" t="s">
        <v>3241</v>
      </c>
      <c r="Z115" s="72" t="s">
        <v>129</v>
      </c>
    </row>
    <row r="116" spans="1:26" ht="18.600000000000001" customHeight="1">
      <c r="A116" s="142">
        <f>IF(priority(Main[[#This Row],[Comments]])&lt;&gt;0, priority(Main[[#This Row],[Comments]]),"")</f>
        <v>36</v>
      </c>
      <c r="B116" s="90" t="s">
        <v>1226</v>
      </c>
      <c r="C116" s="72" t="s">
        <v>4</v>
      </c>
      <c r="D116" s="73" t="s">
        <v>272</v>
      </c>
      <c r="E116" s="74">
        <v>40681.617800925924</v>
      </c>
      <c r="F116" s="74"/>
      <c r="G116" s="75" t="str">
        <f>IF(stdProdLT(Main[[#This Row],[Comments]])=0.1,"N/A",IF(stdProdLT(Main[[#This Row],[Comments]])=0,"",stdProdLT(Main[[#This Row],[Comments]])))</f>
        <v/>
      </c>
      <c r="H116" s="76" t="str">
        <f>IF(AND(Main[[#This Row],[In Stock Date]]&lt;&gt;"",Main[[#This Row],[Revised Due Date]]&lt;&gt;""),Main[[#This Row],[In Stock Date]]-Main[[#This Row],[Revised Due Date]],"")</f>
        <v/>
      </c>
      <c r="I116" s="72" t="s">
        <v>4</v>
      </c>
      <c r="J116" s="72" t="s">
        <v>21</v>
      </c>
      <c r="K116" s="72" t="s">
        <v>4</v>
      </c>
      <c r="L116" s="74"/>
      <c r="M116" s="77" t="str">
        <f>IF(Main[[#This Row],[Tech Start Date]]&lt;1/1/1990,"",IF(Main[[#This Row],[Class]]="C",WORKDAY(Main[[#This Row],[Tech Start Date]],9),IF(Main[[#This Row],[Class]]="B", WORKDAY(Main[[#This Row],[Tech Start Date]],6),IF(Main[[#This Row],[Class]]="A",WORKDAY(Main[[#This Row],[Tech Start Date]],2),""))))</f>
        <v/>
      </c>
      <c r="N116" s="77" t="str">
        <f>IF(Main[[#This Row],[Tech Start Date]]&lt;1/1/1990,"",IF(Main[[#This Row],[Class]]="C",WORKDAY(Main[[#This Row],[Tech Start Date]],19),IF(Main[[#This Row],[Class]]="B", WORKDAY(Main[[#This Row],[Tech Start Date]],12),IF(Main[[#This Row],[Class]]="A",WORKDAY(Main[[#This Row],[Tech Start Date]],4),""))))</f>
        <v/>
      </c>
      <c r="O116" s="77" t="str">
        <f>IF(Main[[#This Row],[Tech Start Date]]&lt;1/1/1990,"",IF(Main[[#This Row],[Class]]="C",WORKDAY(Main[[#This Row],[Tech Start Date]],23),IF(Main[[#This Row],[Class]]="B", WORKDAY(Main[[#This Row],[Tech Start Date]],15),IF(Main[[#This Row],[Class]]="A",WORKDAY(Main[[#This Row],[Tech Start Date]],5),""))))</f>
        <v/>
      </c>
      <c r="P116" s="77" t="str">
        <f>IF(Main[[#This Row],[Tech Start Date]]&lt;1/1/1990,"",IF(Main[[#This Row],[Class]]="C",WORKDAY(Main[[#This Row],[Tech Start Date]],28),IF(Main[[#This Row],[Class]]="B", WORKDAY(Main[[#This Row],[Tech Start Date]],19),IF(Main[[#This Row],[Class]]="A",WORKDAY(Main[[#This Row],[Tech Start Date]],9),""))))</f>
        <v/>
      </c>
      <c r="Q116" s="74">
        <v>40710</v>
      </c>
      <c r="R116" s="74"/>
      <c r="S116" s="72" t="s">
        <v>6</v>
      </c>
      <c r="T116" s="80" t="s">
        <v>2304</v>
      </c>
      <c r="U116" s="72" t="s">
        <v>540</v>
      </c>
      <c r="V116" s="72" t="s">
        <v>1937</v>
      </c>
      <c r="W116" s="72" t="s">
        <v>1948</v>
      </c>
      <c r="X116" s="72" t="s">
        <v>986</v>
      </c>
      <c r="Y116" s="72" t="s">
        <v>3256</v>
      </c>
      <c r="Z116" s="72" t="s">
        <v>4</v>
      </c>
    </row>
    <row r="117" spans="1:26" ht="18.600000000000001" customHeight="1">
      <c r="A117" s="142">
        <f>IF(priority(Main[[#This Row],[Comments]])&lt;&gt;0, priority(Main[[#This Row],[Comments]]),"")</f>
        <v>36</v>
      </c>
      <c r="B117" s="90" t="s">
        <v>2702</v>
      </c>
      <c r="C117" s="72" t="s">
        <v>2627</v>
      </c>
      <c r="D117" s="73" t="s">
        <v>2937</v>
      </c>
      <c r="E117" s="74">
        <v>40843.117893518516</v>
      </c>
      <c r="F117" s="74">
        <v>41000</v>
      </c>
      <c r="G117" s="75">
        <f>IF(stdProdLT(Main[[#This Row],[Comments]])=0.1,"N/A",IF(stdProdLT(Main[[#This Row],[Comments]])=0,"",stdProdLT(Main[[#This Row],[Comments]])))</f>
        <v>168</v>
      </c>
      <c r="H117" s="76" t="str">
        <f>IF(AND(Main[[#This Row],[In Stock Date]]&lt;&gt;"",Main[[#This Row],[Revised Due Date]]&lt;&gt;""),Main[[#This Row],[In Stock Date]]-Main[[#This Row],[Revised Due Date]],"")</f>
        <v/>
      </c>
      <c r="I117" s="72" t="s">
        <v>909</v>
      </c>
      <c r="J117" s="72" t="s">
        <v>52</v>
      </c>
      <c r="K117" s="81" t="s">
        <v>1950</v>
      </c>
      <c r="L117" s="74">
        <v>40849</v>
      </c>
      <c r="M117" s="77">
        <f>IF(Main[[#This Row],[Tech Start Date]]&lt;1/1/1990,"",IF(Main[[#This Row],[Class]]="C",WORKDAY(Main[[#This Row],[Tech Start Date]],9),IF(Main[[#This Row],[Class]]="B", WORKDAY(Main[[#This Row],[Tech Start Date]],6),IF(Main[[#This Row],[Class]]="A",WORKDAY(Main[[#This Row],[Tech Start Date]],2),""))))</f>
        <v>40862</v>
      </c>
      <c r="N117" s="77">
        <f>IF(Main[[#This Row],[Tech Start Date]]&lt;1/1/1990,"",IF(Main[[#This Row],[Class]]="C",WORKDAY(Main[[#This Row],[Tech Start Date]],19),IF(Main[[#This Row],[Class]]="B", WORKDAY(Main[[#This Row],[Tech Start Date]],12),IF(Main[[#This Row],[Class]]="A",WORKDAY(Main[[#This Row],[Tech Start Date]],4),""))))</f>
        <v>40876</v>
      </c>
      <c r="O117" s="77">
        <f>IF(Main[[#This Row],[Tech Start Date]]&lt;1/1/1990,"",IF(Main[[#This Row],[Class]]="C",WORKDAY(Main[[#This Row],[Tech Start Date]],23),IF(Main[[#This Row],[Class]]="B", WORKDAY(Main[[#This Row],[Tech Start Date]],15),IF(Main[[#This Row],[Class]]="A",WORKDAY(Main[[#This Row],[Tech Start Date]],5),""))))</f>
        <v>40882</v>
      </c>
      <c r="P117" s="77">
        <f>IF(Main[[#This Row],[Tech Start Date]]&lt;1/1/1990,"",IF(Main[[#This Row],[Class]]="C",WORKDAY(Main[[#This Row],[Tech Start Date]],28),IF(Main[[#This Row],[Class]]="B", WORKDAY(Main[[#This Row],[Tech Start Date]],19),IF(Main[[#This Row],[Class]]="A",WORKDAY(Main[[#This Row],[Tech Start Date]],9),""))))</f>
        <v>40889</v>
      </c>
      <c r="Q117" s="74">
        <v>40880</v>
      </c>
      <c r="R117" s="74"/>
      <c r="S117" s="72" t="s">
        <v>11</v>
      </c>
      <c r="T117" s="80" t="s">
        <v>3420</v>
      </c>
      <c r="U117" s="72" t="s">
        <v>540</v>
      </c>
      <c r="V117" s="72" t="s">
        <v>1940</v>
      </c>
      <c r="W117" s="72" t="s">
        <v>1945</v>
      </c>
      <c r="X117" s="72" t="s">
        <v>3056</v>
      </c>
      <c r="Y117" s="72" t="s">
        <v>3319</v>
      </c>
      <c r="Z117" s="72" t="s">
        <v>536</v>
      </c>
    </row>
    <row r="118" spans="1:26" ht="18.600000000000001" customHeight="1">
      <c r="A118" s="142">
        <f>IF(priority(Main[[#This Row],[Comments]])&lt;&gt;0, priority(Main[[#This Row],[Comments]]),"")</f>
        <v>37</v>
      </c>
      <c r="B118" s="90" t="s">
        <v>1190</v>
      </c>
      <c r="C118" s="72" t="s">
        <v>4</v>
      </c>
      <c r="D118" s="73" t="s">
        <v>230</v>
      </c>
      <c r="E118" s="74">
        <v>40567.332951388889</v>
      </c>
      <c r="F118" s="74">
        <v>40602</v>
      </c>
      <c r="G118" s="75" t="str">
        <f>IF(stdProdLT(Main[[#This Row],[Comments]])=0.1,"N/A",IF(stdProdLT(Main[[#This Row],[Comments]])=0,"",stdProdLT(Main[[#This Row],[Comments]])))</f>
        <v/>
      </c>
      <c r="H118" s="76" t="str">
        <f>IF(AND(Main[[#This Row],[In Stock Date]]&lt;&gt;"",Main[[#This Row],[Revised Due Date]]&lt;&gt;""),Main[[#This Row],[In Stock Date]]-Main[[#This Row],[Revised Due Date]],"")</f>
        <v/>
      </c>
      <c r="I118" s="72" t="s">
        <v>927</v>
      </c>
      <c r="J118" s="72" t="s">
        <v>52</v>
      </c>
      <c r="K118" s="72" t="s">
        <v>1946</v>
      </c>
      <c r="L118" s="74"/>
      <c r="M118" s="77" t="str">
        <f>IF(Main[[#This Row],[Tech Start Date]]&lt;1/1/1990,"",IF(Main[[#This Row],[Class]]="C",WORKDAY(Main[[#This Row],[Tech Start Date]],9),IF(Main[[#This Row],[Class]]="B", WORKDAY(Main[[#This Row],[Tech Start Date]],6),IF(Main[[#This Row],[Class]]="A",WORKDAY(Main[[#This Row],[Tech Start Date]],2),""))))</f>
        <v/>
      </c>
      <c r="N118" s="77" t="str">
        <f>IF(Main[[#This Row],[Tech Start Date]]&lt;1/1/1990,"",IF(Main[[#This Row],[Class]]="C",WORKDAY(Main[[#This Row],[Tech Start Date]],19),IF(Main[[#This Row],[Class]]="B", WORKDAY(Main[[#This Row],[Tech Start Date]],12),IF(Main[[#This Row],[Class]]="A",WORKDAY(Main[[#This Row],[Tech Start Date]],4),""))))</f>
        <v/>
      </c>
      <c r="O118" s="77" t="str">
        <f>IF(Main[[#This Row],[Tech Start Date]]&lt;1/1/1990,"",IF(Main[[#This Row],[Class]]="C",WORKDAY(Main[[#This Row],[Tech Start Date]],23),IF(Main[[#This Row],[Class]]="B", WORKDAY(Main[[#This Row],[Tech Start Date]],15),IF(Main[[#This Row],[Class]]="A",WORKDAY(Main[[#This Row],[Tech Start Date]],5),""))))</f>
        <v/>
      </c>
      <c r="P118" s="77" t="str">
        <f>IF(Main[[#This Row],[Tech Start Date]]&lt;1/1/1990,"",IF(Main[[#This Row],[Class]]="C",WORKDAY(Main[[#This Row],[Tech Start Date]],28),IF(Main[[#This Row],[Class]]="B", WORKDAY(Main[[#This Row],[Tech Start Date]],19),IF(Main[[#This Row],[Class]]="A",WORKDAY(Main[[#This Row],[Tech Start Date]],9),""))))</f>
        <v/>
      </c>
      <c r="Q118" s="74">
        <v>40602</v>
      </c>
      <c r="R118" s="74"/>
      <c r="S118" s="72" t="s">
        <v>6</v>
      </c>
      <c r="T118" s="80" t="s">
        <v>2057</v>
      </c>
      <c r="U118" s="72" t="s">
        <v>29</v>
      </c>
      <c r="V118" s="72" t="s">
        <v>1937</v>
      </c>
      <c r="W118" s="72" t="s">
        <v>1939</v>
      </c>
      <c r="X118" s="72" t="s">
        <v>126</v>
      </c>
      <c r="Y118" s="72" t="s">
        <v>3210</v>
      </c>
      <c r="Z118" s="72" t="s">
        <v>129</v>
      </c>
    </row>
    <row r="119" spans="1:26" ht="18.600000000000001" customHeight="1">
      <c r="A119" s="142">
        <f>IF(priority(Main[[#This Row],[Comments]])&lt;&gt;0, priority(Main[[#This Row],[Comments]]),"")</f>
        <v>37</v>
      </c>
      <c r="B119" s="90" t="s">
        <v>2706</v>
      </c>
      <c r="C119" s="72" t="s">
        <v>2627</v>
      </c>
      <c r="D119" s="73" t="s">
        <v>3359</v>
      </c>
      <c r="E119" s="74">
        <v>40843.101504629631</v>
      </c>
      <c r="F119" s="74"/>
      <c r="G119" s="75">
        <f>IF(stdProdLT(Main[[#This Row],[Comments]])=0.1,"N/A",IF(stdProdLT(Main[[#This Row],[Comments]])=0,"",stdProdLT(Main[[#This Row],[Comments]])))</f>
        <v>168</v>
      </c>
      <c r="H119" s="76" t="str">
        <f>IF(AND(Main[[#This Row],[In Stock Date]]&lt;&gt;"",Main[[#This Row],[Revised Due Date]]&lt;&gt;""),Main[[#This Row],[In Stock Date]]-Main[[#This Row],[Revised Due Date]],"")</f>
        <v/>
      </c>
      <c r="I119" s="72" t="s">
        <v>173</v>
      </c>
      <c r="J119" s="72" t="s">
        <v>70</v>
      </c>
      <c r="K119" s="72" t="s">
        <v>1950</v>
      </c>
      <c r="L119" s="74">
        <v>40849</v>
      </c>
      <c r="M119" s="77">
        <f>IF(Main[[#This Row],[Tech Start Date]]&lt;1/1/1990,"",IF(Main[[#This Row],[Class]]="C",WORKDAY(Main[[#This Row],[Tech Start Date]],9),IF(Main[[#This Row],[Class]]="B", WORKDAY(Main[[#This Row],[Tech Start Date]],6),IF(Main[[#This Row],[Class]]="A",WORKDAY(Main[[#This Row],[Tech Start Date]],2),""))))</f>
        <v>40862</v>
      </c>
      <c r="N119" s="77">
        <f>IF(Main[[#This Row],[Tech Start Date]]&lt;1/1/1990,"",IF(Main[[#This Row],[Class]]="C",WORKDAY(Main[[#This Row],[Tech Start Date]],19),IF(Main[[#This Row],[Class]]="B", WORKDAY(Main[[#This Row],[Tech Start Date]],12),IF(Main[[#This Row],[Class]]="A",WORKDAY(Main[[#This Row],[Tech Start Date]],4),""))))</f>
        <v>40876</v>
      </c>
      <c r="O119" s="77">
        <f>IF(Main[[#This Row],[Tech Start Date]]&lt;1/1/1990,"",IF(Main[[#This Row],[Class]]="C",WORKDAY(Main[[#This Row],[Tech Start Date]],23),IF(Main[[#This Row],[Class]]="B", WORKDAY(Main[[#This Row],[Tech Start Date]],15),IF(Main[[#This Row],[Class]]="A",WORKDAY(Main[[#This Row],[Tech Start Date]],5),""))))</f>
        <v>40882</v>
      </c>
      <c r="P119" s="77">
        <f>IF(Main[[#This Row],[Tech Start Date]]&lt;1/1/1990,"",IF(Main[[#This Row],[Class]]="C",WORKDAY(Main[[#This Row],[Tech Start Date]],28),IF(Main[[#This Row],[Class]]="B", WORKDAY(Main[[#This Row],[Tech Start Date]],19),IF(Main[[#This Row],[Class]]="A",WORKDAY(Main[[#This Row],[Tech Start Date]],9),""))))</f>
        <v>40889</v>
      </c>
      <c r="Q119" s="74">
        <v>40881</v>
      </c>
      <c r="R119" s="74"/>
      <c r="S119" s="72" t="s">
        <v>11</v>
      </c>
      <c r="T119" s="80" t="s">
        <v>3419</v>
      </c>
      <c r="U119" s="72" t="s">
        <v>540</v>
      </c>
      <c r="V119" s="72" t="s">
        <v>1940</v>
      </c>
      <c r="W119" s="72" t="s">
        <v>1945</v>
      </c>
      <c r="X119" s="72" t="s">
        <v>3056</v>
      </c>
      <c r="Y119" s="72" t="s">
        <v>3319</v>
      </c>
      <c r="Z119" s="72" t="s">
        <v>536</v>
      </c>
    </row>
    <row r="120" spans="1:26" ht="18.600000000000001" customHeight="1">
      <c r="A120" s="142">
        <f>IF(priority(Main[[#This Row],[Comments]])&lt;&gt;0, priority(Main[[#This Row],[Comments]]),"")</f>
        <v>38</v>
      </c>
      <c r="B120" s="90" t="s">
        <v>1244</v>
      </c>
      <c r="C120" s="72" t="s">
        <v>4</v>
      </c>
      <c r="D120" s="73" t="s">
        <v>2403</v>
      </c>
      <c r="E120" s="74">
        <v>40337.30976851852</v>
      </c>
      <c r="F120" s="74"/>
      <c r="G120" s="75" t="str">
        <f>IF(stdProdLT(Main[[#This Row],[Comments]])=0.1,"N/A",IF(stdProdLT(Main[[#This Row],[Comments]])=0,"",stdProdLT(Main[[#This Row],[Comments]])))</f>
        <v/>
      </c>
      <c r="H120" s="76" t="str">
        <f>IF(AND(Main[[#This Row],[In Stock Date]]&lt;&gt;"",Main[[#This Row],[Revised Due Date]]&lt;&gt;""),Main[[#This Row],[In Stock Date]]-Main[[#This Row],[Revised Due Date]],"")</f>
        <v/>
      </c>
      <c r="I120" s="72" t="s">
        <v>927</v>
      </c>
      <c r="J120" s="72" t="s">
        <v>52</v>
      </c>
      <c r="K120" s="72" t="s">
        <v>4</v>
      </c>
      <c r="L120" s="74"/>
      <c r="M120" s="77" t="str">
        <f>IF(Main[[#This Row],[Tech Start Date]]&lt;1/1/1990,"",IF(Main[[#This Row],[Class]]="C",WORKDAY(Main[[#This Row],[Tech Start Date]],9),IF(Main[[#This Row],[Class]]="B", WORKDAY(Main[[#This Row],[Tech Start Date]],6),IF(Main[[#This Row],[Class]]="A",WORKDAY(Main[[#This Row],[Tech Start Date]],2),""))))</f>
        <v/>
      </c>
      <c r="N120" s="77" t="str">
        <f>IF(Main[[#This Row],[Tech Start Date]]&lt;1/1/1990,"",IF(Main[[#This Row],[Class]]="C",WORKDAY(Main[[#This Row],[Tech Start Date]],19),IF(Main[[#This Row],[Class]]="B", WORKDAY(Main[[#This Row],[Tech Start Date]],12),IF(Main[[#This Row],[Class]]="A",WORKDAY(Main[[#This Row],[Tech Start Date]],4),""))))</f>
        <v/>
      </c>
      <c r="O120" s="77" t="str">
        <f>IF(Main[[#This Row],[Tech Start Date]]&lt;1/1/1990,"",IF(Main[[#This Row],[Class]]="C",WORKDAY(Main[[#This Row],[Tech Start Date]],23),IF(Main[[#This Row],[Class]]="B", WORKDAY(Main[[#This Row],[Tech Start Date]],15),IF(Main[[#This Row],[Class]]="A",WORKDAY(Main[[#This Row],[Tech Start Date]],5),""))))</f>
        <v/>
      </c>
      <c r="P120" s="77" t="str">
        <f>IF(Main[[#This Row],[Tech Start Date]]&lt;1/1/1990,"",IF(Main[[#This Row],[Class]]="C",WORKDAY(Main[[#This Row],[Tech Start Date]],28),IF(Main[[#This Row],[Class]]="B", WORKDAY(Main[[#This Row],[Tech Start Date]],19),IF(Main[[#This Row],[Class]]="A",WORKDAY(Main[[#This Row],[Tech Start Date]],9),""))))</f>
        <v/>
      </c>
      <c r="Q120" s="74">
        <v>40344</v>
      </c>
      <c r="R120" s="74"/>
      <c r="S120" s="72" t="s">
        <v>6</v>
      </c>
      <c r="T120" s="80" t="s">
        <v>2058</v>
      </c>
      <c r="U120" s="72" t="s">
        <v>29</v>
      </c>
      <c r="V120" s="72" t="s">
        <v>1937</v>
      </c>
      <c r="W120" s="72" t="s">
        <v>1941</v>
      </c>
      <c r="X120" s="72" t="s">
        <v>3018</v>
      </c>
      <c r="Y120" s="72" t="s">
        <v>3158</v>
      </c>
      <c r="Z120" s="72" t="s">
        <v>129</v>
      </c>
    </row>
    <row r="121" spans="1:26" ht="18.600000000000001" customHeight="1">
      <c r="A121" s="142">
        <f>IF(priority(Main[[#This Row],[Comments]])&lt;&gt;0, priority(Main[[#This Row],[Comments]]),"")</f>
        <v>38</v>
      </c>
      <c r="B121" s="90" t="s">
        <v>2626</v>
      </c>
      <c r="C121" s="72" t="s">
        <v>2627</v>
      </c>
      <c r="D121" s="73" t="s">
        <v>2942</v>
      </c>
      <c r="E121" s="74">
        <v>40857.997499999998</v>
      </c>
      <c r="F121" s="74"/>
      <c r="G121" s="75">
        <f>IF(stdProdLT(Main[[#This Row],[Comments]])=0.1,"N/A",IF(stdProdLT(Main[[#This Row],[Comments]])=0,"",stdProdLT(Main[[#This Row],[Comments]])))</f>
        <v>140</v>
      </c>
      <c r="H121" s="76" t="str">
        <f>IF(AND(Main[[#This Row],[In Stock Date]]&lt;&gt;"",Main[[#This Row],[Revised Due Date]]&lt;&gt;""),Main[[#This Row],[In Stock Date]]-Main[[#This Row],[Revised Due Date]],"")</f>
        <v/>
      </c>
      <c r="I121" s="72" t="s">
        <v>435</v>
      </c>
      <c r="J121" s="72" t="s">
        <v>70</v>
      </c>
      <c r="K121" s="72" t="s">
        <v>1946</v>
      </c>
      <c r="L121" s="74">
        <v>40885</v>
      </c>
      <c r="M121" s="77">
        <f>IF(Main[[#This Row],[Tech Start Date]]&lt;1/1/1990,"",IF(Main[[#This Row],[Class]]="C",WORKDAY(Main[[#This Row],[Tech Start Date]],9),IF(Main[[#This Row],[Class]]="B", WORKDAY(Main[[#This Row],[Tech Start Date]],6),IF(Main[[#This Row],[Class]]="A",WORKDAY(Main[[#This Row],[Tech Start Date]],2),""))))</f>
        <v>40889</v>
      </c>
      <c r="N121" s="77">
        <f>IF(Main[[#This Row],[Tech Start Date]]&lt;1/1/1990,"",IF(Main[[#This Row],[Class]]="C",WORKDAY(Main[[#This Row],[Tech Start Date]],19),IF(Main[[#This Row],[Class]]="B", WORKDAY(Main[[#This Row],[Tech Start Date]],12),IF(Main[[#This Row],[Class]]="A",WORKDAY(Main[[#This Row],[Tech Start Date]],4),""))))</f>
        <v>40891</v>
      </c>
      <c r="O121" s="77">
        <f>IF(Main[[#This Row],[Tech Start Date]]&lt;1/1/1990,"",IF(Main[[#This Row],[Class]]="C",WORKDAY(Main[[#This Row],[Tech Start Date]],23),IF(Main[[#This Row],[Class]]="B", WORKDAY(Main[[#This Row],[Tech Start Date]],15),IF(Main[[#This Row],[Class]]="A",WORKDAY(Main[[#This Row],[Tech Start Date]],5),""))))</f>
        <v>40892</v>
      </c>
      <c r="P121" s="77">
        <f>IF(Main[[#This Row],[Tech Start Date]]&lt;1/1/1990,"",IF(Main[[#This Row],[Class]]="C",WORKDAY(Main[[#This Row],[Tech Start Date]],28),IF(Main[[#This Row],[Class]]="B", WORKDAY(Main[[#This Row],[Tech Start Date]],19),IF(Main[[#This Row],[Class]]="A",WORKDAY(Main[[#This Row],[Tech Start Date]],9),""))))</f>
        <v>40898</v>
      </c>
      <c r="Q121" s="74">
        <v>40879</v>
      </c>
      <c r="R121" s="74"/>
      <c r="S121" s="72" t="s">
        <v>11</v>
      </c>
      <c r="T121" s="80" t="s">
        <v>3424</v>
      </c>
      <c r="U121" s="72" t="s">
        <v>540</v>
      </c>
      <c r="V121" s="72" t="s">
        <v>1947</v>
      </c>
      <c r="W121" s="72" t="s">
        <v>1945</v>
      </c>
      <c r="X121" s="72" t="s">
        <v>3056</v>
      </c>
      <c r="Y121" s="72" t="s">
        <v>4</v>
      </c>
      <c r="Z121" s="72" t="s">
        <v>536</v>
      </c>
    </row>
    <row r="122" spans="1:26" ht="18.600000000000001" customHeight="1">
      <c r="A122" s="142">
        <f>IF(priority(Main[[#This Row],[Comments]])&lt;&gt;0, priority(Main[[#This Row],[Comments]]),"")</f>
        <v>39</v>
      </c>
      <c r="B122" s="90" t="s">
        <v>1421</v>
      </c>
      <c r="C122" s="72" t="s">
        <v>37</v>
      </c>
      <c r="D122" s="73" t="s">
        <v>491</v>
      </c>
      <c r="E122" s="74">
        <v>40682.478391203702</v>
      </c>
      <c r="F122" s="74"/>
      <c r="G122" s="75" t="str">
        <f>IF(stdProdLT(Main[[#This Row],[Comments]])=0.1,"N/A",IF(stdProdLT(Main[[#This Row],[Comments]])=0,"",stdProdLT(Main[[#This Row],[Comments]])))</f>
        <v/>
      </c>
      <c r="H122" s="76" t="str">
        <f>IF(AND(Main[[#This Row],[In Stock Date]]&lt;&gt;"",Main[[#This Row],[Revised Due Date]]&lt;&gt;""),Main[[#This Row],[In Stock Date]]-Main[[#This Row],[Revised Due Date]],"")</f>
        <v/>
      </c>
      <c r="I122" s="72" t="s">
        <v>4</v>
      </c>
      <c r="J122" s="72" t="s">
        <v>21</v>
      </c>
      <c r="K122" s="72" t="s">
        <v>4</v>
      </c>
      <c r="L122" s="74"/>
      <c r="M122" s="77" t="str">
        <f>IF(Main[[#This Row],[Tech Start Date]]&lt;1/1/1990,"",IF(Main[[#This Row],[Class]]="C",WORKDAY(Main[[#This Row],[Tech Start Date]],9),IF(Main[[#This Row],[Class]]="B", WORKDAY(Main[[#This Row],[Tech Start Date]],6),IF(Main[[#This Row],[Class]]="A",WORKDAY(Main[[#This Row],[Tech Start Date]],2),""))))</f>
        <v/>
      </c>
      <c r="N122" s="77" t="str">
        <f>IF(Main[[#This Row],[Tech Start Date]]&lt;1/1/1990,"",IF(Main[[#This Row],[Class]]="C",WORKDAY(Main[[#This Row],[Tech Start Date]],19),IF(Main[[#This Row],[Class]]="B", WORKDAY(Main[[#This Row],[Tech Start Date]],12),IF(Main[[#This Row],[Class]]="A",WORKDAY(Main[[#This Row],[Tech Start Date]],4),""))))</f>
        <v/>
      </c>
      <c r="O122" s="77" t="str">
        <f>IF(Main[[#This Row],[Tech Start Date]]&lt;1/1/1990,"",IF(Main[[#This Row],[Class]]="C",WORKDAY(Main[[#This Row],[Tech Start Date]],23),IF(Main[[#This Row],[Class]]="B", WORKDAY(Main[[#This Row],[Tech Start Date]],15),IF(Main[[#This Row],[Class]]="A",WORKDAY(Main[[#This Row],[Tech Start Date]],5),""))))</f>
        <v/>
      </c>
      <c r="P122" s="77" t="str">
        <f>IF(Main[[#This Row],[Tech Start Date]]&lt;1/1/1990,"",IF(Main[[#This Row],[Class]]="C",WORKDAY(Main[[#This Row],[Tech Start Date]],28),IF(Main[[#This Row],[Class]]="B", WORKDAY(Main[[#This Row],[Tech Start Date]],19),IF(Main[[#This Row],[Class]]="A",WORKDAY(Main[[#This Row],[Tech Start Date]],9),""))))</f>
        <v/>
      </c>
      <c r="Q122" s="74">
        <v>40696</v>
      </c>
      <c r="R122" s="74"/>
      <c r="S122" s="72" t="s">
        <v>6</v>
      </c>
      <c r="T122" s="80" t="s">
        <v>2059</v>
      </c>
      <c r="U122" s="72" t="s">
        <v>540</v>
      </c>
      <c r="V122" s="72" t="s">
        <v>1937</v>
      </c>
      <c r="W122" s="72" t="s">
        <v>1948</v>
      </c>
      <c r="X122" s="72" t="s">
        <v>986</v>
      </c>
      <c r="Y122" s="72" t="s">
        <v>3256</v>
      </c>
      <c r="Z122" s="72" t="s">
        <v>4</v>
      </c>
    </row>
    <row r="123" spans="1:26" ht="18.600000000000001" customHeight="1">
      <c r="A123" s="142">
        <f>IF(priority(Main[[#This Row],[Comments]])&lt;&gt;0, priority(Main[[#This Row],[Comments]]),"")</f>
        <v>39</v>
      </c>
      <c r="B123" s="90" t="s">
        <v>3366</v>
      </c>
      <c r="C123" s="72" t="s">
        <v>3406</v>
      </c>
      <c r="D123" s="73" t="s">
        <v>3367</v>
      </c>
      <c r="E123" s="74">
        <v>40920.243854166663</v>
      </c>
      <c r="F123" s="74">
        <v>41153</v>
      </c>
      <c r="G123" s="75">
        <f>IF(stdProdLT(Main[[#This Row],[Comments]])=0.1,"N/A",IF(stdProdLT(Main[[#This Row],[Comments]])=0,"",stdProdLT(Main[[#This Row],[Comments]])))</f>
        <v>168</v>
      </c>
      <c r="H123" s="76">
        <f>IF(AND(Main[[#This Row],[In Stock Date]]&lt;&gt;"",Main[[#This Row],[Revised Due Date]]&lt;&gt;""),Main[[#This Row],[In Stock Date]]-Main[[#This Row],[Revised Due Date]],"")</f>
        <v>180</v>
      </c>
      <c r="I123" s="72" t="s">
        <v>44</v>
      </c>
      <c r="J123" s="72" t="s">
        <v>28</v>
      </c>
      <c r="K123" s="72" t="s">
        <v>1950</v>
      </c>
      <c r="L123" s="74">
        <v>40925</v>
      </c>
      <c r="M123" s="77">
        <f>IF(Main[[#This Row],[Tech Start Date]]&lt;1/1/1990,"",IF(Main[[#This Row],[Class]]="C",WORKDAY(Main[[#This Row],[Tech Start Date]],9),IF(Main[[#This Row],[Class]]="B", WORKDAY(Main[[#This Row],[Tech Start Date]],6),IF(Main[[#This Row],[Class]]="A",WORKDAY(Main[[#This Row],[Tech Start Date]],2),""))))</f>
        <v>40938</v>
      </c>
      <c r="N123" s="77">
        <f>IF(Main[[#This Row],[Tech Start Date]]&lt;1/1/1990,"",IF(Main[[#This Row],[Class]]="C",WORKDAY(Main[[#This Row],[Tech Start Date]],19),IF(Main[[#This Row],[Class]]="B", WORKDAY(Main[[#This Row],[Tech Start Date]],12),IF(Main[[#This Row],[Class]]="A",WORKDAY(Main[[#This Row],[Tech Start Date]],4),""))))</f>
        <v>40952</v>
      </c>
      <c r="O123" s="77">
        <f>IF(Main[[#This Row],[Tech Start Date]]&lt;1/1/1990,"",IF(Main[[#This Row],[Class]]="C",WORKDAY(Main[[#This Row],[Tech Start Date]],23),IF(Main[[#This Row],[Class]]="B", WORKDAY(Main[[#This Row],[Tech Start Date]],15),IF(Main[[#This Row],[Class]]="A",WORKDAY(Main[[#This Row],[Tech Start Date]],5),""))))</f>
        <v>40956</v>
      </c>
      <c r="P123" s="77">
        <f>IF(Main[[#This Row],[Tech Start Date]]&lt;1/1/1990,"",IF(Main[[#This Row],[Class]]="C",WORKDAY(Main[[#This Row],[Tech Start Date]],28),IF(Main[[#This Row],[Class]]="B", WORKDAY(Main[[#This Row],[Tech Start Date]],19),IF(Main[[#This Row],[Class]]="A",WORKDAY(Main[[#This Row],[Tech Start Date]],9),""))))</f>
        <v>40963</v>
      </c>
      <c r="Q123" s="74">
        <v>40973</v>
      </c>
      <c r="R123" s="74">
        <v>40973</v>
      </c>
      <c r="S123" s="72" t="s">
        <v>11</v>
      </c>
      <c r="T123" s="80" t="s">
        <v>3438</v>
      </c>
      <c r="U123" s="72" t="s">
        <v>29</v>
      </c>
      <c r="V123" s="72" t="s">
        <v>1940</v>
      </c>
      <c r="W123" s="72" t="s">
        <v>1948</v>
      </c>
      <c r="X123" s="72" t="s">
        <v>2998</v>
      </c>
      <c r="Y123" s="72" t="s">
        <v>4</v>
      </c>
      <c r="Z123" s="72" t="s">
        <v>536</v>
      </c>
    </row>
    <row r="124" spans="1:26" ht="18.600000000000001" customHeight="1">
      <c r="A124" s="142">
        <f>IF(priority(Main[[#This Row],[Comments]])&lt;&gt;0, priority(Main[[#This Row],[Comments]]),"")</f>
        <v>40</v>
      </c>
      <c r="B124" s="90" t="s">
        <v>1460</v>
      </c>
      <c r="C124" s="72" t="s">
        <v>4</v>
      </c>
      <c r="D124" s="73" t="s">
        <v>537</v>
      </c>
      <c r="E124" s="74">
        <v>40358.575729166667</v>
      </c>
      <c r="F124" s="74"/>
      <c r="G124" s="75" t="str">
        <f>IF(stdProdLT(Main[[#This Row],[Comments]])=0.1,"N/A",IF(stdProdLT(Main[[#This Row],[Comments]])=0,"",stdProdLT(Main[[#This Row],[Comments]])))</f>
        <v/>
      </c>
      <c r="H124" s="76" t="str">
        <f>IF(AND(Main[[#This Row],[In Stock Date]]&lt;&gt;"",Main[[#This Row],[Revised Due Date]]&lt;&gt;""),Main[[#This Row],[In Stock Date]]-Main[[#This Row],[Revised Due Date]],"")</f>
        <v/>
      </c>
      <c r="I124" s="72" t="s">
        <v>4</v>
      </c>
      <c r="J124" s="72" t="s">
        <v>21</v>
      </c>
      <c r="K124" s="72" t="s">
        <v>4</v>
      </c>
      <c r="L124" s="74"/>
      <c r="M124" s="77" t="str">
        <f>IF(Main[[#This Row],[Tech Start Date]]&lt;1/1/1990,"",IF(Main[[#This Row],[Class]]="C",WORKDAY(Main[[#This Row],[Tech Start Date]],9),IF(Main[[#This Row],[Class]]="B", WORKDAY(Main[[#This Row],[Tech Start Date]],6),IF(Main[[#This Row],[Class]]="A",WORKDAY(Main[[#This Row],[Tech Start Date]],2),""))))</f>
        <v/>
      </c>
      <c r="N124" s="77" t="str">
        <f>IF(Main[[#This Row],[Tech Start Date]]&lt;1/1/1990,"",IF(Main[[#This Row],[Class]]="C",WORKDAY(Main[[#This Row],[Tech Start Date]],19),IF(Main[[#This Row],[Class]]="B", WORKDAY(Main[[#This Row],[Tech Start Date]],12),IF(Main[[#This Row],[Class]]="A",WORKDAY(Main[[#This Row],[Tech Start Date]],4),""))))</f>
        <v/>
      </c>
      <c r="O124" s="77" t="str">
        <f>IF(Main[[#This Row],[Tech Start Date]]&lt;1/1/1990,"",IF(Main[[#This Row],[Class]]="C",WORKDAY(Main[[#This Row],[Tech Start Date]],23),IF(Main[[#This Row],[Class]]="B", WORKDAY(Main[[#This Row],[Tech Start Date]],15),IF(Main[[#This Row],[Class]]="A",WORKDAY(Main[[#This Row],[Tech Start Date]],5),""))))</f>
        <v/>
      </c>
      <c r="P124" s="77" t="str">
        <f>IF(Main[[#This Row],[Tech Start Date]]&lt;1/1/1990,"",IF(Main[[#This Row],[Class]]="C",WORKDAY(Main[[#This Row],[Tech Start Date]],28),IF(Main[[#This Row],[Class]]="B", WORKDAY(Main[[#This Row],[Tech Start Date]],19),IF(Main[[#This Row],[Class]]="A",WORKDAY(Main[[#This Row],[Tech Start Date]],9),""))))</f>
        <v/>
      </c>
      <c r="Q124" s="74">
        <v>40389</v>
      </c>
      <c r="R124" s="74"/>
      <c r="S124" s="72" t="s">
        <v>6</v>
      </c>
      <c r="T124" s="80" t="s">
        <v>2060</v>
      </c>
      <c r="U124" s="72" t="s">
        <v>7</v>
      </c>
      <c r="V124" s="72" t="s">
        <v>1937</v>
      </c>
      <c r="W124" s="72" t="s">
        <v>1941</v>
      </c>
      <c r="X124" s="72" t="s">
        <v>2971</v>
      </c>
      <c r="Y124" s="72" t="s">
        <v>3090</v>
      </c>
      <c r="Z124" s="72" t="s">
        <v>129</v>
      </c>
    </row>
    <row r="125" spans="1:26" ht="18.600000000000001" customHeight="1">
      <c r="A125" s="142">
        <f>IF(priority(Main[[#This Row],[Comments]])&lt;&gt;0, priority(Main[[#This Row],[Comments]]),"")</f>
        <v>40</v>
      </c>
      <c r="B125" s="90" t="s">
        <v>3368</v>
      </c>
      <c r="C125" s="72" t="s">
        <v>3406</v>
      </c>
      <c r="D125" s="73" t="s">
        <v>3369</v>
      </c>
      <c r="E125" s="74">
        <v>40920.303043981483</v>
      </c>
      <c r="F125" s="74">
        <v>41153</v>
      </c>
      <c r="G125" s="75">
        <f>IF(stdProdLT(Main[[#This Row],[Comments]])=0.1,"N/A",IF(stdProdLT(Main[[#This Row],[Comments]])=0,"",stdProdLT(Main[[#This Row],[Comments]])))</f>
        <v>168</v>
      </c>
      <c r="H125" s="76">
        <f>IF(AND(Main[[#This Row],[In Stock Date]]&lt;&gt;"",Main[[#This Row],[Revised Due Date]]&lt;&gt;""),Main[[#This Row],[In Stock Date]]-Main[[#This Row],[Revised Due Date]],"")</f>
        <v>180</v>
      </c>
      <c r="I125" s="72" t="s">
        <v>242</v>
      </c>
      <c r="J125" s="72" t="s">
        <v>28</v>
      </c>
      <c r="K125" s="72" t="s">
        <v>1950</v>
      </c>
      <c r="L125" s="74">
        <v>40925</v>
      </c>
      <c r="M125" s="77">
        <f>IF(Main[[#This Row],[Tech Start Date]]&lt;1/1/1990,"",IF(Main[[#This Row],[Class]]="C",WORKDAY(Main[[#This Row],[Tech Start Date]],9),IF(Main[[#This Row],[Class]]="B", WORKDAY(Main[[#This Row],[Tech Start Date]],6),IF(Main[[#This Row],[Class]]="A",WORKDAY(Main[[#This Row],[Tech Start Date]],2),""))))</f>
        <v>40938</v>
      </c>
      <c r="N125" s="77">
        <f>IF(Main[[#This Row],[Tech Start Date]]&lt;1/1/1990,"",IF(Main[[#This Row],[Class]]="C",WORKDAY(Main[[#This Row],[Tech Start Date]],19),IF(Main[[#This Row],[Class]]="B", WORKDAY(Main[[#This Row],[Tech Start Date]],12),IF(Main[[#This Row],[Class]]="A",WORKDAY(Main[[#This Row],[Tech Start Date]],4),""))))</f>
        <v>40952</v>
      </c>
      <c r="O125" s="77">
        <f>IF(Main[[#This Row],[Tech Start Date]]&lt;1/1/1990,"",IF(Main[[#This Row],[Class]]="C",WORKDAY(Main[[#This Row],[Tech Start Date]],23),IF(Main[[#This Row],[Class]]="B", WORKDAY(Main[[#This Row],[Tech Start Date]],15),IF(Main[[#This Row],[Class]]="A",WORKDAY(Main[[#This Row],[Tech Start Date]],5),""))))</f>
        <v>40956</v>
      </c>
      <c r="P125" s="77">
        <f>IF(Main[[#This Row],[Tech Start Date]]&lt;1/1/1990,"",IF(Main[[#This Row],[Class]]="C",WORKDAY(Main[[#This Row],[Tech Start Date]],28),IF(Main[[#This Row],[Class]]="B", WORKDAY(Main[[#This Row],[Tech Start Date]],19),IF(Main[[#This Row],[Class]]="A",WORKDAY(Main[[#This Row],[Tech Start Date]],9),""))))</f>
        <v>40963</v>
      </c>
      <c r="Q125" s="74">
        <v>40973</v>
      </c>
      <c r="R125" s="74">
        <v>40973</v>
      </c>
      <c r="S125" s="72" t="s">
        <v>11</v>
      </c>
      <c r="T125" s="80" t="s">
        <v>3407</v>
      </c>
      <c r="U125" s="72" t="s">
        <v>29</v>
      </c>
      <c r="V125" s="72" t="s">
        <v>1940</v>
      </c>
      <c r="W125" s="72" t="s">
        <v>1948</v>
      </c>
      <c r="X125" s="72" t="s">
        <v>2998</v>
      </c>
      <c r="Y125" s="72" t="s">
        <v>4</v>
      </c>
      <c r="Z125" s="72" t="s">
        <v>536</v>
      </c>
    </row>
    <row r="126" spans="1:26" ht="18.600000000000001" customHeight="1">
      <c r="A126" s="142">
        <f>IF(priority(Main[[#This Row],[Comments]])&lt;&gt;0, priority(Main[[#This Row],[Comments]]),"")</f>
        <v>41</v>
      </c>
      <c r="B126" s="90" t="s">
        <v>2024</v>
      </c>
      <c r="C126" s="72" t="s">
        <v>4</v>
      </c>
      <c r="D126" s="73" t="s">
        <v>2025</v>
      </c>
      <c r="E126" s="74">
        <v>40738.567210648151</v>
      </c>
      <c r="F126" s="74"/>
      <c r="G126" s="75" t="str">
        <f>IF(stdProdLT(Main[[#This Row],[Comments]])=0.1,"N/A",IF(stdProdLT(Main[[#This Row],[Comments]])=0,"",stdProdLT(Main[[#This Row],[Comments]])))</f>
        <v/>
      </c>
      <c r="H126" s="76" t="str">
        <f>IF(AND(Main[[#This Row],[In Stock Date]]&lt;&gt;"",Main[[#This Row],[Revised Due Date]]&lt;&gt;""),Main[[#This Row],[In Stock Date]]-Main[[#This Row],[Revised Due Date]],"")</f>
        <v/>
      </c>
      <c r="I126" s="72" t="s">
        <v>927</v>
      </c>
      <c r="J126" s="72" t="s">
        <v>52</v>
      </c>
      <c r="K126" s="72" t="s">
        <v>4</v>
      </c>
      <c r="L126" s="74"/>
      <c r="M126" s="77" t="str">
        <f>IF(Main[[#This Row],[Tech Start Date]]&lt;1/1/1990,"",IF(Main[[#This Row],[Class]]="C",WORKDAY(Main[[#This Row],[Tech Start Date]],9),IF(Main[[#This Row],[Class]]="B", WORKDAY(Main[[#This Row],[Tech Start Date]],6),IF(Main[[#This Row],[Class]]="A",WORKDAY(Main[[#This Row],[Tech Start Date]],2),""))))</f>
        <v/>
      </c>
      <c r="N126" s="77" t="str">
        <f>IF(Main[[#This Row],[Tech Start Date]]&lt;1/1/1990,"",IF(Main[[#This Row],[Class]]="C",WORKDAY(Main[[#This Row],[Tech Start Date]],19),IF(Main[[#This Row],[Class]]="B", WORKDAY(Main[[#This Row],[Tech Start Date]],12),IF(Main[[#This Row],[Class]]="A",WORKDAY(Main[[#This Row],[Tech Start Date]],4),""))))</f>
        <v/>
      </c>
      <c r="O126" s="77" t="str">
        <f>IF(Main[[#This Row],[Tech Start Date]]&lt;1/1/1990,"",IF(Main[[#This Row],[Class]]="C",WORKDAY(Main[[#This Row],[Tech Start Date]],23),IF(Main[[#This Row],[Class]]="B", WORKDAY(Main[[#This Row],[Tech Start Date]],15),IF(Main[[#This Row],[Class]]="A",WORKDAY(Main[[#This Row],[Tech Start Date]],5),""))))</f>
        <v/>
      </c>
      <c r="P126" s="77" t="str">
        <f>IF(Main[[#This Row],[Tech Start Date]]&lt;1/1/1990,"",IF(Main[[#This Row],[Class]]="C",WORKDAY(Main[[#This Row],[Tech Start Date]],28),IF(Main[[#This Row],[Class]]="B", WORKDAY(Main[[#This Row],[Tech Start Date]],19),IF(Main[[#This Row],[Class]]="A",WORKDAY(Main[[#This Row],[Tech Start Date]],9),""))))</f>
        <v/>
      </c>
      <c r="Q126" s="74">
        <v>40749</v>
      </c>
      <c r="R126" s="74"/>
      <c r="S126" s="72" t="s">
        <v>6</v>
      </c>
      <c r="T126" s="80" t="s">
        <v>2062</v>
      </c>
      <c r="U126" s="72" t="s">
        <v>29</v>
      </c>
      <c r="V126" s="72" t="s">
        <v>1937</v>
      </c>
      <c r="W126" s="72" t="s">
        <v>1943</v>
      </c>
      <c r="X126" s="72" t="s">
        <v>927</v>
      </c>
      <c r="Y126" s="72" t="s">
        <v>3207</v>
      </c>
      <c r="Z126" s="72" t="s">
        <v>129</v>
      </c>
    </row>
    <row r="127" spans="1:26" ht="18.600000000000001" customHeight="1">
      <c r="A127" s="142">
        <f>IF(priority(Main[[#This Row],[Comments]])&lt;&gt;0, priority(Main[[#This Row],[Comments]]),"")</f>
        <v>41</v>
      </c>
      <c r="B127" s="90" t="s">
        <v>3389</v>
      </c>
      <c r="C127" s="72" t="s">
        <v>3408</v>
      </c>
      <c r="D127" s="73" t="s">
        <v>3390</v>
      </c>
      <c r="E127" s="74">
        <v>40921.153321759259</v>
      </c>
      <c r="F127" s="74">
        <v>41153</v>
      </c>
      <c r="G127" s="75">
        <f>IF(stdProdLT(Main[[#This Row],[Comments]])=0.1,"N/A",IF(stdProdLT(Main[[#This Row],[Comments]])=0,"",stdProdLT(Main[[#This Row],[Comments]])))</f>
        <v>140</v>
      </c>
      <c r="H127" s="76">
        <f>IF(AND(Main[[#This Row],[In Stock Date]]&lt;&gt;"",Main[[#This Row],[Revised Due Date]]&lt;&gt;""),Main[[#This Row],[In Stock Date]]-Main[[#This Row],[Revised Due Date]],"")</f>
        <v>194</v>
      </c>
      <c r="I127" s="72" t="s">
        <v>173</v>
      </c>
      <c r="J127" s="72" t="s">
        <v>70</v>
      </c>
      <c r="K127" s="72" t="s">
        <v>1944</v>
      </c>
      <c r="L127" s="74">
        <v>40925</v>
      </c>
      <c r="M127" s="77">
        <f>IF(Main[[#This Row],[Tech Start Date]]&lt;1/1/1990,"",IF(Main[[#This Row],[Class]]="C",WORKDAY(Main[[#This Row],[Tech Start Date]],9),IF(Main[[#This Row],[Class]]="B", WORKDAY(Main[[#This Row],[Tech Start Date]],6),IF(Main[[#This Row],[Class]]="A",WORKDAY(Main[[#This Row],[Tech Start Date]],2),""))))</f>
        <v>40933</v>
      </c>
      <c r="N127" s="77">
        <f>IF(Main[[#This Row],[Tech Start Date]]&lt;1/1/1990,"",IF(Main[[#This Row],[Class]]="C",WORKDAY(Main[[#This Row],[Tech Start Date]],19),IF(Main[[#This Row],[Class]]="B", WORKDAY(Main[[#This Row],[Tech Start Date]],12),IF(Main[[#This Row],[Class]]="A",WORKDAY(Main[[#This Row],[Tech Start Date]],4),""))))</f>
        <v>40941</v>
      </c>
      <c r="O127" s="77">
        <f>IF(Main[[#This Row],[Tech Start Date]]&lt;1/1/1990,"",IF(Main[[#This Row],[Class]]="C",WORKDAY(Main[[#This Row],[Tech Start Date]],23),IF(Main[[#This Row],[Class]]="B", WORKDAY(Main[[#This Row],[Tech Start Date]],15),IF(Main[[#This Row],[Class]]="A",WORKDAY(Main[[#This Row],[Tech Start Date]],5),""))))</f>
        <v>40946</v>
      </c>
      <c r="P127" s="77">
        <f>IF(Main[[#This Row],[Tech Start Date]]&lt;1/1/1990,"",IF(Main[[#This Row],[Class]]="C",WORKDAY(Main[[#This Row],[Tech Start Date]],28),IF(Main[[#This Row],[Class]]="B", WORKDAY(Main[[#This Row],[Tech Start Date]],19),IF(Main[[#This Row],[Class]]="A",WORKDAY(Main[[#This Row],[Tech Start Date]],9),""))))</f>
        <v>40952</v>
      </c>
      <c r="Q127" s="74">
        <v>40959</v>
      </c>
      <c r="R127" s="74">
        <v>40959</v>
      </c>
      <c r="S127" s="72" t="s">
        <v>11</v>
      </c>
      <c r="T127" s="80" t="s">
        <v>3410</v>
      </c>
      <c r="U127" s="72" t="s">
        <v>29</v>
      </c>
      <c r="V127" s="72" t="s">
        <v>1947</v>
      </c>
      <c r="W127" s="72" t="s">
        <v>1943</v>
      </c>
      <c r="X127" s="72" t="s">
        <v>2998</v>
      </c>
      <c r="Y127" s="72" t="s">
        <v>4</v>
      </c>
      <c r="Z127" s="72" t="s">
        <v>536</v>
      </c>
    </row>
    <row r="128" spans="1:26" ht="18.600000000000001" customHeight="1">
      <c r="A128" s="142">
        <f>IF(priority(Main[[#This Row],[Comments]])&lt;&gt;0, priority(Main[[#This Row],[Comments]]),"")</f>
        <v>42</v>
      </c>
      <c r="B128" s="90" t="s">
        <v>3484</v>
      </c>
      <c r="C128" s="72" t="s">
        <v>3408</v>
      </c>
      <c r="D128" s="73" t="s">
        <v>3388</v>
      </c>
      <c r="E128" s="74"/>
      <c r="F128" s="74">
        <v>41153</v>
      </c>
      <c r="G128" s="75">
        <f>IF(stdProdLT(Main[[#This Row],[Comments]])=0.1,"N/A",IF(stdProdLT(Main[[#This Row],[Comments]])=0,"",stdProdLT(Main[[#This Row],[Comments]])))</f>
        <v>140</v>
      </c>
      <c r="H128" s="76" t="str">
        <f>IF(AND(Main[[#This Row],[In Stock Date]]&lt;&gt;"",Main[[#This Row],[Revised Due Date]]&lt;&gt;""),Main[[#This Row],[In Stock Date]]-Main[[#This Row],[Revised Due Date]],"")</f>
        <v/>
      </c>
      <c r="I128" s="72" t="s">
        <v>4</v>
      </c>
      <c r="J128" s="72" t="s">
        <v>4</v>
      </c>
      <c r="K128" s="72" t="s">
        <v>4</v>
      </c>
      <c r="L128" s="74"/>
      <c r="M128" s="77" t="str">
        <f>IF(Main[[#This Row],[Tech Start Date]]&lt;1/1/1990,"",IF(Main[[#This Row],[Class]]="C",WORKDAY(Main[[#This Row],[Tech Start Date]],9),IF(Main[[#This Row],[Class]]="B", WORKDAY(Main[[#This Row],[Tech Start Date]],6),IF(Main[[#This Row],[Class]]="A",WORKDAY(Main[[#This Row],[Tech Start Date]],2),""))))</f>
        <v/>
      </c>
      <c r="N128" s="77" t="str">
        <f>IF(Main[[#This Row],[Tech Start Date]]&lt;1/1/1990,"",IF(Main[[#This Row],[Class]]="C",WORKDAY(Main[[#This Row],[Tech Start Date]],19),IF(Main[[#This Row],[Class]]="B", WORKDAY(Main[[#This Row],[Tech Start Date]],12),IF(Main[[#This Row],[Class]]="A",WORKDAY(Main[[#This Row],[Tech Start Date]],4),""))))</f>
        <v/>
      </c>
      <c r="O128" s="77" t="str">
        <f>IF(Main[[#This Row],[Tech Start Date]]&lt;1/1/1990,"",IF(Main[[#This Row],[Class]]="C",WORKDAY(Main[[#This Row],[Tech Start Date]],23),IF(Main[[#This Row],[Class]]="B", WORKDAY(Main[[#This Row],[Tech Start Date]],15),IF(Main[[#This Row],[Class]]="A",WORKDAY(Main[[#This Row],[Tech Start Date]],5),""))))</f>
        <v/>
      </c>
      <c r="P128" s="77" t="str">
        <f>IF(Main[[#This Row],[Tech Start Date]]&lt;1/1/1990,"",IF(Main[[#This Row],[Class]]="C",WORKDAY(Main[[#This Row],[Tech Start Date]],28),IF(Main[[#This Row],[Class]]="B", WORKDAY(Main[[#This Row],[Tech Start Date]],19),IF(Main[[#This Row],[Class]]="A",WORKDAY(Main[[#This Row],[Tech Start Date]],9),""))))</f>
        <v/>
      </c>
      <c r="Q128" s="74">
        <v>40982</v>
      </c>
      <c r="R128" s="74"/>
      <c r="S128" s="72" t="s">
        <v>11</v>
      </c>
      <c r="T128" s="80" t="s">
        <v>3409</v>
      </c>
      <c r="U128" s="72" t="s">
        <v>12</v>
      </c>
      <c r="V128" s="72" t="s">
        <v>1947</v>
      </c>
      <c r="W128" s="72" t="s">
        <v>1943</v>
      </c>
      <c r="X128" s="72" t="s">
        <v>3000</v>
      </c>
      <c r="Y128" s="72" t="s">
        <v>4</v>
      </c>
      <c r="Z128" s="72" t="s">
        <v>4</v>
      </c>
    </row>
    <row r="129" spans="1:26" ht="18.600000000000001" customHeight="1">
      <c r="A129" s="142">
        <f>IF(priority(Main[[#This Row],[Comments]])&lt;&gt;0, priority(Main[[#This Row],[Comments]]),"")</f>
        <v>42</v>
      </c>
      <c r="B129" s="90" t="s">
        <v>1909</v>
      </c>
      <c r="C129" s="72" t="s">
        <v>116</v>
      </c>
      <c r="D129" s="73" t="s">
        <v>2351</v>
      </c>
      <c r="E129" s="74">
        <v>40641.274907407409</v>
      </c>
      <c r="F129" s="74">
        <v>40714</v>
      </c>
      <c r="G129" s="75" t="str">
        <f>IF(stdProdLT(Main[[#This Row],[Comments]])=0.1,"N/A",IF(stdProdLT(Main[[#This Row],[Comments]])=0,"",stdProdLT(Main[[#This Row],[Comments]])))</f>
        <v/>
      </c>
      <c r="H129" s="76">
        <f>IF(AND(Main[[#This Row],[In Stock Date]]&lt;&gt;"",Main[[#This Row],[Revised Due Date]]&lt;&gt;""),Main[[#This Row],[In Stock Date]]-Main[[#This Row],[Revised Due Date]],"")</f>
        <v>0</v>
      </c>
      <c r="I129" s="72" t="s">
        <v>927</v>
      </c>
      <c r="J129" s="72" t="s">
        <v>21</v>
      </c>
      <c r="K129" s="72" t="s">
        <v>1950</v>
      </c>
      <c r="L129" s="74">
        <v>40679</v>
      </c>
      <c r="M129" s="77">
        <f>IF(Main[[#This Row],[Tech Start Date]]&lt;1/1/1990,"",IF(Main[[#This Row],[Class]]="C",WORKDAY(Main[[#This Row],[Tech Start Date]],9),IF(Main[[#This Row],[Class]]="B", WORKDAY(Main[[#This Row],[Tech Start Date]],6),IF(Main[[#This Row],[Class]]="A",WORKDAY(Main[[#This Row],[Tech Start Date]],2),""))))</f>
        <v>40690</v>
      </c>
      <c r="N129" s="77">
        <f>IF(Main[[#This Row],[Tech Start Date]]&lt;1/1/1990,"",IF(Main[[#This Row],[Class]]="C",WORKDAY(Main[[#This Row],[Tech Start Date]],19),IF(Main[[#This Row],[Class]]="B", WORKDAY(Main[[#This Row],[Tech Start Date]],12),IF(Main[[#This Row],[Class]]="A",WORKDAY(Main[[#This Row],[Tech Start Date]],4),""))))</f>
        <v>40704</v>
      </c>
      <c r="O129" s="77">
        <f>IF(Main[[#This Row],[Tech Start Date]]&lt;1/1/1990,"",IF(Main[[#This Row],[Class]]="C",WORKDAY(Main[[#This Row],[Tech Start Date]],23),IF(Main[[#This Row],[Class]]="B", WORKDAY(Main[[#This Row],[Tech Start Date]],15),IF(Main[[#This Row],[Class]]="A",WORKDAY(Main[[#This Row],[Tech Start Date]],5),""))))</f>
        <v>40710</v>
      </c>
      <c r="P129" s="77">
        <f>IF(Main[[#This Row],[Tech Start Date]]&lt;1/1/1990,"",IF(Main[[#This Row],[Class]]="C",WORKDAY(Main[[#This Row],[Tech Start Date]],28),IF(Main[[#This Row],[Class]]="B", WORKDAY(Main[[#This Row],[Tech Start Date]],19),IF(Main[[#This Row],[Class]]="A",WORKDAY(Main[[#This Row],[Tech Start Date]],9),""))))</f>
        <v>40717</v>
      </c>
      <c r="Q129" s="74">
        <v>40714</v>
      </c>
      <c r="R129" s="74">
        <v>40714</v>
      </c>
      <c r="S129" s="72" t="s">
        <v>6</v>
      </c>
      <c r="T129" s="80" t="s">
        <v>2063</v>
      </c>
      <c r="U129" s="72" t="s">
        <v>29</v>
      </c>
      <c r="V129" s="72" t="s">
        <v>1937</v>
      </c>
      <c r="W129" s="72" t="s">
        <v>1939</v>
      </c>
      <c r="X129" s="72" t="s">
        <v>126</v>
      </c>
      <c r="Y129" s="72" t="s">
        <v>3191</v>
      </c>
      <c r="Z129" s="72" t="s">
        <v>129</v>
      </c>
    </row>
    <row r="130" spans="1:26" ht="18.600000000000001" customHeight="1">
      <c r="A130" s="142">
        <f>IF(priority(Main[[#This Row],[Comments]])&lt;&gt;0, priority(Main[[#This Row],[Comments]]),"")</f>
        <v>42</v>
      </c>
      <c r="B130" s="90" t="s">
        <v>3387</v>
      </c>
      <c r="C130" s="72" t="s">
        <v>3408</v>
      </c>
      <c r="D130" s="73" t="s">
        <v>3388</v>
      </c>
      <c r="E130" s="74"/>
      <c r="F130" s="74">
        <v>41153</v>
      </c>
      <c r="G130" s="75">
        <f>IF(stdProdLT(Main[[#This Row],[Comments]])=0.1,"N/A",IF(stdProdLT(Main[[#This Row],[Comments]])=0,"",stdProdLT(Main[[#This Row],[Comments]])))</f>
        <v>140</v>
      </c>
      <c r="H130" s="76">
        <f>IF(AND(Main[[#This Row],[In Stock Date]]&lt;&gt;"",Main[[#This Row],[Revised Due Date]]&lt;&gt;""),Main[[#This Row],[In Stock Date]]-Main[[#This Row],[Revised Due Date]],"")</f>
        <v>194</v>
      </c>
      <c r="I130" s="72" t="s">
        <v>69</v>
      </c>
      <c r="J130" s="72" t="s">
        <v>70</v>
      </c>
      <c r="K130" s="81" t="s">
        <v>1944</v>
      </c>
      <c r="L130" s="74">
        <v>40925</v>
      </c>
      <c r="M130" s="77">
        <f>IF(Main[[#This Row],[Tech Start Date]]&lt;1/1/1990,"",IF(Main[[#This Row],[Class]]="C",WORKDAY(Main[[#This Row],[Tech Start Date]],9),IF(Main[[#This Row],[Class]]="B", WORKDAY(Main[[#This Row],[Tech Start Date]],6),IF(Main[[#This Row],[Class]]="A",WORKDAY(Main[[#This Row],[Tech Start Date]],2),""))))</f>
        <v>40933</v>
      </c>
      <c r="N130" s="77">
        <f>IF(Main[[#This Row],[Tech Start Date]]&lt;1/1/1990,"",IF(Main[[#This Row],[Class]]="C",WORKDAY(Main[[#This Row],[Tech Start Date]],19),IF(Main[[#This Row],[Class]]="B", WORKDAY(Main[[#This Row],[Tech Start Date]],12),IF(Main[[#This Row],[Class]]="A",WORKDAY(Main[[#This Row],[Tech Start Date]],4),""))))</f>
        <v>40941</v>
      </c>
      <c r="O130" s="77">
        <f>IF(Main[[#This Row],[Tech Start Date]]&lt;1/1/1990,"",IF(Main[[#This Row],[Class]]="C",WORKDAY(Main[[#This Row],[Tech Start Date]],23),IF(Main[[#This Row],[Class]]="B", WORKDAY(Main[[#This Row],[Tech Start Date]],15),IF(Main[[#This Row],[Class]]="A",WORKDAY(Main[[#This Row],[Tech Start Date]],5),""))))</f>
        <v>40946</v>
      </c>
      <c r="P130" s="77">
        <f>IF(Main[[#This Row],[Tech Start Date]]&lt;1/1/1990,"",IF(Main[[#This Row],[Class]]="C",WORKDAY(Main[[#This Row],[Tech Start Date]],28),IF(Main[[#This Row],[Class]]="B", WORKDAY(Main[[#This Row],[Tech Start Date]],19),IF(Main[[#This Row],[Class]]="A",WORKDAY(Main[[#This Row],[Tech Start Date]],9),""))))</f>
        <v>40952</v>
      </c>
      <c r="Q130" s="74">
        <v>40959</v>
      </c>
      <c r="R130" s="74">
        <v>40959</v>
      </c>
      <c r="S130" s="72" t="s">
        <v>11</v>
      </c>
      <c r="T130" s="80" t="s">
        <v>3519</v>
      </c>
      <c r="U130" s="72" t="s">
        <v>14</v>
      </c>
      <c r="V130" s="72" t="s">
        <v>1947</v>
      </c>
      <c r="W130" s="72" t="s">
        <v>1943</v>
      </c>
      <c r="X130" s="72" t="s">
        <v>2998</v>
      </c>
      <c r="Y130" s="72" t="s">
        <v>4</v>
      </c>
      <c r="Z130" s="72" t="s">
        <v>536</v>
      </c>
    </row>
    <row r="131" spans="1:26" ht="18.600000000000001" customHeight="1">
      <c r="A131" s="142">
        <f>IF(priority(Main[[#This Row],[Comments]])&lt;&gt;0, priority(Main[[#This Row],[Comments]]),"")</f>
        <v>43</v>
      </c>
      <c r="B131" s="90" t="s">
        <v>1910</v>
      </c>
      <c r="C131" s="72" t="s">
        <v>116</v>
      </c>
      <c r="D131" s="73" t="s">
        <v>2352</v>
      </c>
      <c r="E131" s="74">
        <v>40668.56144675926</v>
      </c>
      <c r="F131" s="74">
        <v>40714</v>
      </c>
      <c r="G131" s="75" t="str">
        <f>IF(stdProdLT(Main[[#This Row],[Comments]])=0.1,"N/A",IF(stdProdLT(Main[[#This Row],[Comments]])=0,"",stdProdLT(Main[[#This Row],[Comments]])))</f>
        <v/>
      </c>
      <c r="H131" s="76">
        <f>IF(AND(Main[[#This Row],[In Stock Date]]&lt;&gt;"",Main[[#This Row],[Revised Due Date]]&lt;&gt;""),Main[[#This Row],[In Stock Date]]-Main[[#This Row],[Revised Due Date]],"")</f>
        <v>0</v>
      </c>
      <c r="I131" s="72" t="s">
        <v>927</v>
      </c>
      <c r="J131" s="72" t="s">
        <v>21</v>
      </c>
      <c r="K131" s="72" t="s">
        <v>1950</v>
      </c>
      <c r="L131" s="74">
        <v>40679</v>
      </c>
      <c r="M131" s="77">
        <f>IF(Main[[#This Row],[Tech Start Date]]&lt;1/1/1990,"",IF(Main[[#This Row],[Class]]="C",WORKDAY(Main[[#This Row],[Tech Start Date]],9),IF(Main[[#This Row],[Class]]="B", WORKDAY(Main[[#This Row],[Tech Start Date]],6),IF(Main[[#This Row],[Class]]="A",WORKDAY(Main[[#This Row],[Tech Start Date]],2),""))))</f>
        <v>40690</v>
      </c>
      <c r="N131" s="77">
        <f>IF(Main[[#This Row],[Tech Start Date]]&lt;1/1/1990,"",IF(Main[[#This Row],[Class]]="C",WORKDAY(Main[[#This Row],[Tech Start Date]],19),IF(Main[[#This Row],[Class]]="B", WORKDAY(Main[[#This Row],[Tech Start Date]],12),IF(Main[[#This Row],[Class]]="A",WORKDAY(Main[[#This Row],[Tech Start Date]],4),""))))</f>
        <v>40704</v>
      </c>
      <c r="O131" s="77">
        <f>IF(Main[[#This Row],[Tech Start Date]]&lt;1/1/1990,"",IF(Main[[#This Row],[Class]]="C",WORKDAY(Main[[#This Row],[Tech Start Date]],23),IF(Main[[#This Row],[Class]]="B", WORKDAY(Main[[#This Row],[Tech Start Date]],15),IF(Main[[#This Row],[Class]]="A",WORKDAY(Main[[#This Row],[Tech Start Date]],5),""))))</f>
        <v>40710</v>
      </c>
      <c r="P131" s="77">
        <f>IF(Main[[#This Row],[Tech Start Date]]&lt;1/1/1990,"",IF(Main[[#This Row],[Class]]="C",WORKDAY(Main[[#This Row],[Tech Start Date]],28),IF(Main[[#This Row],[Class]]="B", WORKDAY(Main[[#This Row],[Tech Start Date]],19),IF(Main[[#This Row],[Class]]="A",WORKDAY(Main[[#This Row],[Tech Start Date]],9),""))))</f>
        <v>40717</v>
      </c>
      <c r="Q131" s="74">
        <v>40714</v>
      </c>
      <c r="R131" s="74">
        <v>40714</v>
      </c>
      <c r="S131" s="72" t="s">
        <v>6</v>
      </c>
      <c r="T131" s="80" t="s">
        <v>2553</v>
      </c>
      <c r="U131" s="72" t="s">
        <v>29</v>
      </c>
      <c r="V131" s="72" t="s">
        <v>1937</v>
      </c>
      <c r="W131" s="72" t="s">
        <v>1939</v>
      </c>
      <c r="X131" s="72" t="s">
        <v>126</v>
      </c>
      <c r="Y131" s="72" t="s">
        <v>3191</v>
      </c>
      <c r="Z131" s="72" t="s">
        <v>129</v>
      </c>
    </row>
    <row r="132" spans="1:26" ht="18.600000000000001" customHeight="1">
      <c r="A132" s="142">
        <f>IF(priority(Main[[#This Row],[Comments]])&lt;&gt;0, priority(Main[[#This Row],[Comments]]),"")</f>
        <v>43</v>
      </c>
      <c r="B132" s="90" t="s">
        <v>3482</v>
      </c>
      <c r="C132" s="72" t="s">
        <v>3408</v>
      </c>
      <c r="D132" s="73" t="s">
        <v>3483</v>
      </c>
      <c r="E132" s="74">
        <v>40925.100439814814</v>
      </c>
      <c r="F132" s="74">
        <v>41153</v>
      </c>
      <c r="G132" s="75">
        <f>IF(stdProdLT(Main[[#This Row],[Comments]])=0.1,"N/A",IF(stdProdLT(Main[[#This Row],[Comments]])=0,"",stdProdLT(Main[[#This Row],[Comments]])))</f>
        <v>140</v>
      </c>
      <c r="H132" s="76">
        <f>IF(AND(Main[[#This Row],[In Stock Date]]&lt;&gt;"",Main[[#This Row],[Revised Due Date]]&lt;&gt;""),Main[[#This Row],[In Stock Date]]-Main[[#This Row],[Revised Due Date]],"")</f>
        <v>194</v>
      </c>
      <c r="I132" s="72" t="s">
        <v>131</v>
      </c>
      <c r="J132" s="72" t="s">
        <v>70</v>
      </c>
      <c r="K132" s="72" t="s">
        <v>1944</v>
      </c>
      <c r="L132" s="74">
        <v>40925</v>
      </c>
      <c r="M132" s="77">
        <f>IF(Main[[#This Row],[Tech Start Date]]&lt;1/1/1990,"",IF(Main[[#This Row],[Class]]="C",WORKDAY(Main[[#This Row],[Tech Start Date]],9),IF(Main[[#This Row],[Class]]="B", WORKDAY(Main[[#This Row],[Tech Start Date]],6),IF(Main[[#This Row],[Class]]="A",WORKDAY(Main[[#This Row],[Tech Start Date]],2),""))))</f>
        <v>40933</v>
      </c>
      <c r="N132" s="77">
        <f>IF(Main[[#This Row],[Tech Start Date]]&lt;1/1/1990,"",IF(Main[[#This Row],[Class]]="C",WORKDAY(Main[[#This Row],[Tech Start Date]],19),IF(Main[[#This Row],[Class]]="B", WORKDAY(Main[[#This Row],[Tech Start Date]],12),IF(Main[[#This Row],[Class]]="A",WORKDAY(Main[[#This Row],[Tech Start Date]],4),""))))</f>
        <v>40941</v>
      </c>
      <c r="O132" s="77">
        <f>IF(Main[[#This Row],[Tech Start Date]]&lt;1/1/1990,"",IF(Main[[#This Row],[Class]]="C",WORKDAY(Main[[#This Row],[Tech Start Date]],23),IF(Main[[#This Row],[Class]]="B", WORKDAY(Main[[#This Row],[Tech Start Date]],15),IF(Main[[#This Row],[Class]]="A",WORKDAY(Main[[#This Row],[Tech Start Date]],5),""))))</f>
        <v>40946</v>
      </c>
      <c r="P132" s="77">
        <f>IF(Main[[#This Row],[Tech Start Date]]&lt;1/1/1990,"",IF(Main[[#This Row],[Class]]="C",WORKDAY(Main[[#This Row],[Tech Start Date]],28),IF(Main[[#This Row],[Class]]="B", WORKDAY(Main[[#This Row],[Tech Start Date]],19),IF(Main[[#This Row],[Class]]="A",WORKDAY(Main[[#This Row],[Tech Start Date]],9),""))))</f>
        <v>40952</v>
      </c>
      <c r="Q132" s="74">
        <v>40959</v>
      </c>
      <c r="R132" s="74">
        <v>40959</v>
      </c>
      <c r="S132" s="72" t="s">
        <v>11</v>
      </c>
      <c r="T132" s="80" t="s">
        <v>3520</v>
      </c>
      <c r="U132" s="72" t="s">
        <v>29</v>
      </c>
      <c r="V132" s="72" t="s">
        <v>1947</v>
      </c>
      <c r="W132" s="72" t="s">
        <v>1943</v>
      </c>
      <c r="X132" s="72" t="s">
        <v>3000</v>
      </c>
      <c r="Y132" s="72" t="s">
        <v>3137</v>
      </c>
      <c r="Z132" s="72" t="s">
        <v>536</v>
      </c>
    </row>
    <row r="133" spans="1:26" ht="18.600000000000001" customHeight="1">
      <c r="A133" s="142">
        <f>IF(priority(Main[[#This Row],[Comments]])&lt;&gt;0, priority(Main[[#This Row],[Comments]]),"")</f>
        <v>44</v>
      </c>
      <c r="B133" s="90" t="s">
        <v>1981</v>
      </c>
      <c r="C133" s="72" t="s">
        <v>116</v>
      </c>
      <c r="D133" s="73" t="s">
        <v>2678</v>
      </c>
      <c r="E133" s="74">
        <v>40722.573900462965</v>
      </c>
      <c r="F133" s="74">
        <v>41379</v>
      </c>
      <c r="G133" s="75" t="str">
        <f>IF(stdProdLT(Main[[#This Row],[Comments]])=0.1,"N/A",IF(stdProdLT(Main[[#This Row],[Comments]])=0,"",stdProdLT(Main[[#This Row],[Comments]])))</f>
        <v>N/A</v>
      </c>
      <c r="H133" s="76">
        <f>IF(AND(Main[[#This Row],[In Stock Date]]&lt;&gt;"",Main[[#This Row],[Revised Due Date]]&lt;&gt;""),Main[[#This Row],[In Stock Date]]-Main[[#This Row],[Revised Due Date]],"")</f>
        <v>381</v>
      </c>
      <c r="I133" s="72" t="s">
        <v>81</v>
      </c>
      <c r="J133" s="72" t="s">
        <v>21</v>
      </c>
      <c r="K133" s="72" t="s">
        <v>1950</v>
      </c>
      <c r="L133" s="74">
        <v>40767</v>
      </c>
      <c r="M133" s="77">
        <f>IF(Main[[#This Row],[Tech Start Date]]&lt;1/1/1990,"",IF(Main[[#This Row],[Class]]="C",WORKDAY(Main[[#This Row],[Tech Start Date]],9),IF(Main[[#This Row],[Class]]="B", WORKDAY(Main[[#This Row],[Tech Start Date]],6),IF(Main[[#This Row],[Class]]="A",WORKDAY(Main[[#This Row],[Tech Start Date]],2),""))))</f>
        <v>40780</v>
      </c>
      <c r="N133" s="77">
        <f>IF(Main[[#This Row],[Tech Start Date]]&lt;1/1/1990,"",IF(Main[[#This Row],[Class]]="C",WORKDAY(Main[[#This Row],[Tech Start Date]],19),IF(Main[[#This Row],[Class]]="B", WORKDAY(Main[[#This Row],[Tech Start Date]],12),IF(Main[[#This Row],[Class]]="A",WORKDAY(Main[[#This Row],[Tech Start Date]],4),""))))</f>
        <v>40794</v>
      </c>
      <c r="O133" s="77">
        <f>IF(Main[[#This Row],[Tech Start Date]]&lt;1/1/1990,"",IF(Main[[#This Row],[Class]]="C",WORKDAY(Main[[#This Row],[Tech Start Date]],23),IF(Main[[#This Row],[Class]]="B", WORKDAY(Main[[#This Row],[Tech Start Date]],15),IF(Main[[#This Row],[Class]]="A",WORKDAY(Main[[#This Row],[Tech Start Date]],5),""))))</f>
        <v>40800</v>
      </c>
      <c r="P133" s="77">
        <f>IF(Main[[#This Row],[Tech Start Date]]&lt;1/1/1990,"",IF(Main[[#This Row],[Class]]="C",WORKDAY(Main[[#This Row],[Tech Start Date]],28),IF(Main[[#This Row],[Class]]="B", WORKDAY(Main[[#This Row],[Tech Start Date]],19),IF(Main[[#This Row],[Class]]="A",WORKDAY(Main[[#This Row],[Tech Start Date]],9),""))))</f>
        <v>40807</v>
      </c>
      <c r="Q133" s="74">
        <v>41061</v>
      </c>
      <c r="R133" s="74">
        <v>40998</v>
      </c>
      <c r="S133" s="72" t="s">
        <v>11</v>
      </c>
      <c r="T133" s="80" t="s">
        <v>3507</v>
      </c>
      <c r="U133" s="72" t="s">
        <v>29</v>
      </c>
      <c r="V133" s="72" t="s">
        <v>1940</v>
      </c>
      <c r="W133" s="72" t="s">
        <v>1942</v>
      </c>
      <c r="X133" s="72" t="s">
        <v>3043</v>
      </c>
      <c r="Y133" s="72" t="s">
        <v>3262</v>
      </c>
      <c r="Z133" s="72" t="s">
        <v>81</v>
      </c>
    </row>
    <row r="134" spans="1:26" ht="18.600000000000001" customHeight="1">
      <c r="A134" s="142">
        <f>IF(priority(Main[[#This Row],[Comments]])&lt;&gt;0, priority(Main[[#This Row],[Comments]]),"")</f>
        <v>45</v>
      </c>
      <c r="B134" s="90" t="s">
        <v>1983</v>
      </c>
      <c r="C134" s="72" t="s">
        <v>116</v>
      </c>
      <c r="D134" s="73" t="s">
        <v>2171</v>
      </c>
      <c r="E134" s="74">
        <v>40722.571018518516</v>
      </c>
      <c r="F134" s="74">
        <v>41379</v>
      </c>
      <c r="G134" s="75" t="str">
        <f>IF(stdProdLT(Main[[#This Row],[Comments]])=0.1,"N/A",IF(stdProdLT(Main[[#This Row],[Comments]])=0,"",stdProdLT(Main[[#This Row],[Comments]])))</f>
        <v>N/A</v>
      </c>
      <c r="H134" s="76">
        <f>IF(AND(Main[[#This Row],[In Stock Date]]&lt;&gt;"",Main[[#This Row],[Revised Due Date]]&lt;&gt;""),Main[[#This Row],[In Stock Date]]-Main[[#This Row],[Revised Due Date]],"")</f>
        <v>381</v>
      </c>
      <c r="I134" s="72" t="s">
        <v>81</v>
      </c>
      <c r="J134" s="72" t="s">
        <v>21</v>
      </c>
      <c r="K134" s="72" t="s">
        <v>1950</v>
      </c>
      <c r="L134" s="74">
        <v>40767</v>
      </c>
      <c r="M134" s="77">
        <f>IF(Main[[#This Row],[Tech Start Date]]&lt;1/1/1990,"",IF(Main[[#This Row],[Class]]="C",WORKDAY(Main[[#This Row],[Tech Start Date]],9),IF(Main[[#This Row],[Class]]="B", WORKDAY(Main[[#This Row],[Tech Start Date]],6),IF(Main[[#This Row],[Class]]="A",WORKDAY(Main[[#This Row],[Tech Start Date]],2),""))))</f>
        <v>40780</v>
      </c>
      <c r="N134" s="77">
        <f>IF(Main[[#This Row],[Tech Start Date]]&lt;1/1/1990,"",IF(Main[[#This Row],[Class]]="C",WORKDAY(Main[[#This Row],[Tech Start Date]],19),IF(Main[[#This Row],[Class]]="B", WORKDAY(Main[[#This Row],[Tech Start Date]],12),IF(Main[[#This Row],[Class]]="A",WORKDAY(Main[[#This Row],[Tech Start Date]],4),""))))</f>
        <v>40794</v>
      </c>
      <c r="O134" s="77">
        <f>IF(Main[[#This Row],[Tech Start Date]]&lt;1/1/1990,"",IF(Main[[#This Row],[Class]]="C",WORKDAY(Main[[#This Row],[Tech Start Date]],23),IF(Main[[#This Row],[Class]]="B", WORKDAY(Main[[#This Row],[Tech Start Date]],15),IF(Main[[#This Row],[Class]]="A",WORKDAY(Main[[#This Row],[Tech Start Date]],5),""))))</f>
        <v>40800</v>
      </c>
      <c r="P134" s="77">
        <f>IF(Main[[#This Row],[Tech Start Date]]&lt;1/1/1990,"",IF(Main[[#This Row],[Class]]="C",WORKDAY(Main[[#This Row],[Tech Start Date]],28),IF(Main[[#This Row],[Class]]="B", WORKDAY(Main[[#This Row],[Tech Start Date]],19),IF(Main[[#This Row],[Class]]="A",WORKDAY(Main[[#This Row],[Tech Start Date]],9),""))))</f>
        <v>40807</v>
      </c>
      <c r="Q134" s="74">
        <v>41061</v>
      </c>
      <c r="R134" s="74">
        <v>40998</v>
      </c>
      <c r="S134" s="72" t="s">
        <v>11</v>
      </c>
      <c r="T134" s="80" t="s">
        <v>3508</v>
      </c>
      <c r="U134" s="72" t="s">
        <v>29</v>
      </c>
      <c r="V134" s="72" t="s">
        <v>1940</v>
      </c>
      <c r="W134" s="72" t="s">
        <v>1942</v>
      </c>
      <c r="X134" s="72" t="s">
        <v>3043</v>
      </c>
      <c r="Y134" s="72" t="s">
        <v>3262</v>
      </c>
      <c r="Z134" s="72" t="s">
        <v>81</v>
      </c>
    </row>
    <row r="135" spans="1:26" ht="18.600000000000001" customHeight="1">
      <c r="A135" s="142">
        <f>IF(priority(Main[[#This Row],[Comments]])&lt;&gt;0, priority(Main[[#This Row],[Comments]]),"")</f>
        <v>46</v>
      </c>
      <c r="B135" s="126" t="s">
        <v>2581</v>
      </c>
      <c r="C135" s="118" t="s">
        <v>2034</v>
      </c>
      <c r="D135" s="119" t="s">
        <v>2582</v>
      </c>
      <c r="E135" s="120"/>
      <c r="F135" s="120"/>
      <c r="G135" s="121">
        <f>IF(stdProdLT(Main[[#This Row],[Comments]])=0.1,"N/A",IF(stdProdLT(Main[[#This Row],[Comments]])=0,"",stdProdLT(Main[[#This Row],[Comments]])))</f>
        <v>168</v>
      </c>
      <c r="H135" s="122" t="str">
        <f>IF(AND(Main[[#This Row],[In Stock Date]]&lt;&gt;"",Main[[#This Row],[Revised Due Date]]&lt;&gt;""),Main[[#This Row],[In Stock Date]]-Main[[#This Row],[Revised Due Date]],"")</f>
        <v/>
      </c>
      <c r="I135" s="118" t="s">
        <v>4</v>
      </c>
      <c r="J135" s="118" t="s">
        <v>4</v>
      </c>
      <c r="K135" s="118" t="s">
        <v>4</v>
      </c>
      <c r="L135" s="120"/>
      <c r="M135" s="123" t="str">
        <f>IF(Main[[#This Row],[Tech Start Date]]&lt;1/1/1990,"",IF(Main[[#This Row],[Class]]="C",WORKDAY(Main[[#This Row],[Tech Start Date]],9),IF(Main[[#This Row],[Class]]="B", WORKDAY(Main[[#This Row],[Tech Start Date]],6),IF(Main[[#This Row],[Class]]="A",WORKDAY(Main[[#This Row],[Tech Start Date]],2),""))))</f>
        <v/>
      </c>
      <c r="N135" s="123" t="str">
        <f>IF(Main[[#This Row],[Tech Start Date]]&lt;1/1/1990,"",IF(Main[[#This Row],[Class]]="C",WORKDAY(Main[[#This Row],[Tech Start Date]],19),IF(Main[[#This Row],[Class]]="B", WORKDAY(Main[[#This Row],[Tech Start Date]],12),IF(Main[[#This Row],[Class]]="A",WORKDAY(Main[[#This Row],[Tech Start Date]],4),""))))</f>
        <v/>
      </c>
      <c r="O135" s="123" t="str">
        <f>IF(Main[[#This Row],[Tech Start Date]]&lt;1/1/1990,"",IF(Main[[#This Row],[Class]]="C",WORKDAY(Main[[#This Row],[Tech Start Date]],23),IF(Main[[#This Row],[Class]]="B", WORKDAY(Main[[#This Row],[Tech Start Date]],15),IF(Main[[#This Row],[Class]]="A",WORKDAY(Main[[#This Row],[Tech Start Date]],5),""))))</f>
        <v/>
      </c>
      <c r="P135" s="123" t="str">
        <f>IF(Main[[#This Row],[Tech Start Date]]&lt;1/1/1990,"",IF(Main[[#This Row],[Class]]="C",WORKDAY(Main[[#This Row],[Tech Start Date]],28),IF(Main[[#This Row],[Class]]="B", WORKDAY(Main[[#This Row],[Tech Start Date]],19),IF(Main[[#This Row],[Class]]="A",WORKDAY(Main[[#This Row],[Tech Start Date]],9),""))))</f>
        <v/>
      </c>
      <c r="Q135" s="120">
        <v>40874</v>
      </c>
      <c r="R135" s="120"/>
      <c r="S135" s="118" t="s">
        <v>11</v>
      </c>
      <c r="T135" s="124" t="s">
        <v>2583</v>
      </c>
      <c r="U135" s="118" t="s">
        <v>14</v>
      </c>
      <c r="V135" s="118" t="s">
        <v>1940</v>
      </c>
      <c r="W135" s="118" t="s">
        <v>1939</v>
      </c>
      <c r="X135" s="118" t="s">
        <v>3006</v>
      </c>
      <c r="Y135" s="118" t="s">
        <v>4</v>
      </c>
      <c r="Z135" s="118" t="s">
        <v>4</v>
      </c>
    </row>
    <row r="136" spans="1:26" ht="18.600000000000001" customHeight="1">
      <c r="A136" s="142">
        <f>IF(priority(Main[[#This Row],[Comments]])&lt;&gt;0, priority(Main[[#This Row],[Comments]]),"")</f>
        <v>46</v>
      </c>
      <c r="B136" s="90" t="s">
        <v>1984</v>
      </c>
      <c r="C136" s="72" t="s">
        <v>116</v>
      </c>
      <c r="D136" s="73" t="s">
        <v>2172</v>
      </c>
      <c r="E136" s="74">
        <v>40722.572418981479</v>
      </c>
      <c r="F136" s="74">
        <v>41379</v>
      </c>
      <c r="G136" s="75" t="str">
        <f>IF(stdProdLT(Main[[#This Row],[Comments]])=0.1,"N/A",IF(stdProdLT(Main[[#This Row],[Comments]])=0,"",stdProdLT(Main[[#This Row],[Comments]])))</f>
        <v>N/A</v>
      </c>
      <c r="H136" s="76">
        <f>IF(AND(Main[[#This Row],[In Stock Date]]&lt;&gt;"",Main[[#This Row],[Revised Due Date]]&lt;&gt;""),Main[[#This Row],[In Stock Date]]-Main[[#This Row],[Revised Due Date]],"")</f>
        <v>381</v>
      </c>
      <c r="I136" s="72" t="s">
        <v>81</v>
      </c>
      <c r="J136" s="72" t="s">
        <v>21</v>
      </c>
      <c r="K136" s="72" t="s">
        <v>1950</v>
      </c>
      <c r="L136" s="74">
        <v>40767</v>
      </c>
      <c r="M136" s="77">
        <f>IF(Main[[#This Row],[Tech Start Date]]&lt;1/1/1990,"",IF(Main[[#This Row],[Class]]="C",WORKDAY(Main[[#This Row],[Tech Start Date]],9),IF(Main[[#This Row],[Class]]="B", WORKDAY(Main[[#This Row],[Tech Start Date]],6),IF(Main[[#This Row],[Class]]="A",WORKDAY(Main[[#This Row],[Tech Start Date]],2),""))))</f>
        <v>40780</v>
      </c>
      <c r="N136" s="77">
        <f>IF(Main[[#This Row],[Tech Start Date]]&lt;1/1/1990,"",IF(Main[[#This Row],[Class]]="C",WORKDAY(Main[[#This Row],[Tech Start Date]],19),IF(Main[[#This Row],[Class]]="B", WORKDAY(Main[[#This Row],[Tech Start Date]],12),IF(Main[[#This Row],[Class]]="A",WORKDAY(Main[[#This Row],[Tech Start Date]],4),""))))</f>
        <v>40794</v>
      </c>
      <c r="O136" s="77">
        <f>IF(Main[[#This Row],[Tech Start Date]]&lt;1/1/1990,"",IF(Main[[#This Row],[Class]]="C",WORKDAY(Main[[#This Row],[Tech Start Date]],23),IF(Main[[#This Row],[Class]]="B", WORKDAY(Main[[#This Row],[Tech Start Date]],15),IF(Main[[#This Row],[Class]]="A",WORKDAY(Main[[#This Row],[Tech Start Date]],5),""))))</f>
        <v>40800</v>
      </c>
      <c r="P136" s="77">
        <f>IF(Main[[#This Row],[Tech Start Date]]&lt;1/1/1990,"",IF(Main[[#This Row],[Class]]="C",WORKDAY(Main[[#This Row],[Tech Start Date]],28),IF(Main[[#This Row],[Class]]="B", WORKDAY(Main[[#This Row],[Tech Start Date]],19),IF(Main[[#This Row],[Class]]="A",WORKDAY(Main[[#This Row],[Tech Start Date]],9),""))))</f>
        <v>40807</v>
      </c>
      <c r="Q136" s="74">
        <v>41061</v>
      </c>
      <c r="R136" s="74">
        <v>40998</v>
      </c>
      <c r="S136" s="72" t="s">
        <v>11</v>
      </c>
      <c r="T136" s="80" t="s">
        <v>3413</v>
      </c>
      <c r="U136" s="72" t="s">
        <v>29</v>
      </c>
      <c r="V136" s="72" t="s">
        <v>1940</v>
      </c>
      <c r="W136" s="72" t="s">
        <v>1942</v>
      </c>
      <c r="X136" s="72" t="s">
        <v>3043</v>
      </c>
      <c r="Y136" s="72" t="s">
        <v>3262</v>
      </c>
      <c r="Z136" s="72" t="s">
        <v>81</v>
      </c>
    </row>
    <row r="137" spans="1:26" ht="18.600000000000001" customHeight="1">
      <c r="A137" s="142">
        <f>IF(priority(Main[[#This Row],[Comments]])&lt;&gt;0, priority(Main[[#This Row],[Comments]]),"")</f>
        <v>47</v>
      </c>
      <c r="B137" s="90" t="s">
        <v>1982</v>
      </c>
      <c r="C137" s="72" t="s">
        <v>116</v>
      </c>
      <c r="D137" s="73" t="s">
        <v>2679</v>
      </c>
      <c r="E137" s="74">
        <v>40722.573182870372</v>
      </c>
      <c r="F137" s="74">
        <v>41379</v>
      </c>
      <c r="G137" s="75" t="str">
        <f>IF(stdProdLT(Main[[#This Row],[Comments]])=0.1,"N/A",IF(stdProdLT(Main[[#This Row],[Comments]])=0,"",stdProdLT(Main[[#This Row],[Comments]])))</f>
        <v>N/A</v>
      </c>
      <c r="H137" s="76">
        <f>IF(AND(Main[[#This Row],[In Stock Date]]&lt;&gt;"",Main[[#This Row],[Revised Due Date]]&lt;&gt;""),Main[[#This Row],[In Stock Date]]-Main[[#This Row],[Revised Due Date]],"")</f>
        <v>381</v>
      </c>
      <c r="I137" s="72" t="s">
        <v>81</v>
      </c>
      <c r="J137" s="72" t="s">
        <v>21</v>
      </c>
      <c r="K137" s="72" t="s">
        <v>1950</v>
      </c>
      <c r="L137" s="74">
        <v>40767</v>
      </c>
      <c r="M137" s="77">
        <f>IF(Main[[#This Row],[Tech Start Date]]&lt;1/1/1990,"",IF(Main[[#This Row],[Class]]="C",WORKDAY(Main[[#This Row],[Tech Start Date]],9),IF(Main[[#This Row],[Class]]="B", WORKDAY(Main[[#This Row],[Tech Start Date]],6),IF(Main[[#This Row],[Class]]="A",WORKDAY(Main[[#This Row],[Tech Start Date]],2),""))))</f>
        <v>40780</v>
      </c>
      <c r="N137" s="77">
        <f>IF(Main[[#This Row],[Tech Start Date]]&lt;1/1/1990,"",IF(Main[[#This Row],[Class]]="C",WORKDAY(Main[[#This Row],[Tech Start Date]],19),IF(Main[[#This Row],[Class]]="B", WORKDAY(Main[[#This Row],[Tech Start Date]],12),IF(Main[[#This Row],[Class]]="A",WORKDAY(Main[[#This Row],[Tech Start Date]],4),""))))</f>
        <v>40794</v>
      </c>
      <c r="O137" s="77">
        <f>IF(Main[[#This Row],[Tech Start Date]]&lt;1/1/1990,"",IF(Main[[#This Row],[Class]]="C",WORKDAY(Main[[#This Row],[Tech Start Date]],23),IF(Main[[#This Row],[Class]]="B", WORKDAY(Main[[#This Row],[Tech Start Date]],15),IF(Main[[#This Row],[Class]]="A",WORKDAY(Main[[#This Row],[Tech Start Date]],5),""))))</f>
        <v>40800</v>
      </c>
      <c r="P137" s="77">
        <f>IF(Main[[#This Row],[Tech Start Date]]&lt;1/1/1990,"",IF(Main[[#This Row],[Class]]="C",WORKDAY(Main[[#This Row],[Tech Start Date]],28),IF(Main[[#This Row],[Class]]="B", WORKDAY(Main[[#This Row],[Tech Start Date]],19),IF(Main[[#This Row],[Class]]="A",WORKDAY(Main[[#This Row],[Tech Start Date]],9),""))))</f>
        <v>40807</v>
      </c>
      <c r="Q137" s="74">
        <v>41061</v>
      </c>
      <c r="R137" s="74">
        <v>40998</v>
      </c>
      <c r="S137" s="72" t="s">
        <v>11</v>
      </c>
      <c r="T137" s="80" t="s">
        <v>3506</v>
      </c>
      <c r="U137" s="72" t="s">
        <v>29</v>
      </c>
      <c r="V137" s="72" t="s">
        <v>1940</v>
      </c>
      <c r="W137" s="72" t="s">
        <v>1942</v>
      </c>
      <c r="X137" s="72" t="s">
        <v>3043</v>
      </c>
      <c r="Y137" s="72" t="s">
        <v>3262</v>
      </c>
      <c r="Z137" s="72" t="s">
        <v>81</v>
      </c>
    </row>
    <row r="138" spans="1:26" ht="18.600000000000001" customHeight="1">
      <c r="A138" s="142">
        <f>IF(priority(Main[[#This Row],[Comments]])&lt;&gt;0, priority(Main[[#This Row],[Comments]]),"")</f>
        <v>48</v>
      </c>
      <c r="B138" s="90" t="s">
        <v>1912</v>
      </c>
      <c r="C138" s="72" t="s">
        <v>116</v>
      </c>
      <c r="D138" s="73" t="s">
        <v>2164</v>
      </c>
      <c r="E138" s="74">
        <v>40606.548784722225</v>
      </c>
      <c r="F138" s="74">
        <v>41258</v>
      </c>
      <c r="G138" s="75">
        <f>IF(stdProdLT(Main[[#This Row],[Comments]])=0.1,"N/A",IF(stdProdLT(Main[[#This Row],[Comments]])=0,"",stdProdLT(Main[[#This Row],[Comments]])))</f>
        <v>154</v>
      </c>
      <c r="H138" s="76">
        <f>IF(AND(Main[[#This Row],[In Stock Date]]&lt;&gt;"",Main[[#This Row],[Revised Due Date]]&lt;&gt;""),Main[[#This Row],[In Stock Date]]-Main[[#This Row],[Revised Due Date]],"")</f>
        <v>260</v>
      </c>
      <c r="I138" s="72" t="s">
        <v>421</v>
      </c>
      <c r="J138" s="72" t="s">
        <v>2672</v>
      </c>
      <c r="K138" s="81" t="s">
        <v>1950</v>
      </c>
      <c r="L138" s="74">
        <v>40623</v>
      </c>
      <c r="M138" s="77">
        <f>IF(Main[[#This Row],[Tech Start Date]]&lt;1/1/1990,"",IF(Main[[#This Row],[Class]]="C",WORKDAY(Main[[#This Row],[Tech Start Date]],9),IF(Main[[#This Row],[Class]]="B", WORKDAY(Main[[#This Row],[Tech Start Date]],6),IF(Main[[#This Row],[Class]]="A",WORKDAY(Main[[#This Row],[Tech Start Date]],2),""))))</f>
        <v>40634</v>
      </c>
      <c r="N138" s="77">
        <f>IF(Main[[#This Row],[Tech Start Date]]&lt;1/1/1990,"",IF(Main[[#This Row],[Class]]="C",WORKDAY(Main[[#This Row],[Tech Start Date]],19),IF(Main[[#This Row],[Class]]="B", WORKDAY(Main[[#This Row],[Tech Start Date]],12),IF(Main[[#This Row],[Class]]="A",WORKDAY(Main[[#This Row],[Tech Start Date]],4),""))))</f>
        <v>40648</v>
      </c>
      <c r="O138" s="77">
        <f>IF(Main[[#This Row],[Tech Start Date]]&lt;1/1/1990,"",IF(Main[[#This Row],[Class]]="C",WORKDAY(Main[[#This Row],[Tech Start Date]],23),IF(Main[[#This Row],[Class]]="B", WORKDAY(Main[[#This Row],[Tech Start Date]],15),IF(Main[[#This Row],[Class]]="A",WORKDAY(Main[[#This Row],[Tech Start Date]],5),""))))</f>
        <v>40654</v>
      </c>
      <c r="P138" s="77">
        <f>IF(Main[[#This Row],[Tech Start Date]]&lt;1/1/1990,"",IF(Main[[#This Row],[Class]]="C",WORKDAY(Main[[#This Row],[Tech Start Date]],28),IF(Main[[#This Row],[Class]]="B", WORKDAY(Main[[#This Row],[Tech Start Date]],19),IF(Main[[#This Row],[Class]]="A",WORKDAY(Main[[#This Row],[Tech Start Date]],9),""))))</f>
        <v>40661</v>
      </c>
      <c r="Q138" s="74">
        <v>41082</v>
      </c>
      <c r="R138" s="74">
        <v>40998</v>
      </c>
      <c r="S138" s="72" t="s">
        <v>11</v>
      </c>
      <c r="T138" s="80" t="s">
        <v>3504</v>
      </c>
      <c r="U138" s="72" t="s">
        <v>29</v>
      </c>
      <c r="V138" s="72" t="s">
        <v>1940</v>
      </c>
      <c r="W138" s="72" t="s">
        <v>1942</v>
      </c>
      <c r="X138" s="72" t="s">
        <v>2996</v>
      </c>
      <c r="Y138" s="72" t="s">
        <v>3135</v>
      </c>
      <c r="Z138" s="72" t="s">
        <v>909</v>
      </c>
    </row>
    <row r="139" spans="1:26" ht="18.600000000000001" customHeight="1">
      <c r="A139" s="142">
        <f>IF(priority(Main[[#This Row],[Comments]])&lt;&gt;0, priority(Main[[#This Row],[Comments]]),"")</f>
        <v>49</v>
      </c>
      <c r="B139" s="90" t="s">
        <v>2703</v>
      </c>
      <c r="C139" s="72" t="s">
        <v>2704</v>
      </c>
      <c r="D139" s="73" t="s">
        <v>2705</v>
      </c>
      <c r="E139" s="74">
        <v>40848.70516203704</v>
      </c>
      <c r="F139" s="74">
        <v>40879</v>
      </c>
      <c r="G139" s="75" t="str">
        <f>IF(stdProdLT(Main[[#This Row],[Comments]])=0.1,"N/A",IF(stdProdLT(Main[[#This Row],[Comments]])=0,"",stdProdLT(Main[[#This Row],[Comments]])))</f>
        <v>N/A</v>
      </c>
      <c r="H139" s="76">
        <f>IF(AND(Main[[#This Row],[In Stock Date]]&lt;&gt;"",Main[[#This Row],[Revised Due Date]]&lt;&gt;""),Main[[#This Row],[In Stock Date]]-Main[[#This Row],[Revised Due Date]],"")</f>
        <v>-119</v>
      </c>
      <c r="I139" s="72" t="s">
        <v>69</v>
      </c>
      <c r="J139" s="72" t="s">
        <v>28</v>
      </c>
      <c r="K139" s="72" t="s">
        <v>1946</v>
      </c>
      <c r="L139" s="74">
        <v>40849</v>
      </c>
      <c r="M139" s="77">
        <f>IF(Main[[#This Row],[Tech Start Date]]&lt;1/1/1990,"",IF(Main[[#This Row],[Class]]="C",WORKDAY(Main[[#This Row],[Tech Start Date]],9),IF(Main[[#This Row],[Class]]="B", WORKDAY(Main[[#This Row],[Tech Start Date]],6),IF(Main[[#This Row],[Class]]="A",WORKDAY(Main[[#This Row],[Tech Start Date]],2),""))))</f>
        <v>40851</v>
      </c>
      <c r="N139" s="77">
        <f>IF(Main[[#This Row],[Tech Start Date]]&lt;1/1/1990,"",IF(Main[[#This Row],[Class]]="C",WORKDAY(Main[[#This Row],[Tech Start Date]],19),IF(Main[[#This Row],[Class]]="B", WORKDAY(Main[[#This Row],[Tech Start Date]],12),IF(Main[[#This Row],[Class]]="A",WORKDAY(Main[[#This Row],[Tech Start Date]],4),""))))</f>
        <v>40855</v>
      </c>
      <c r="O139" s="77">
        <f>IF(Main[[#This Row],[Tech Start Date]]&lt;1/1/1990,"",IF(Main[[#This Row],[Class]]="C",WORKDAY(Main[[#This Row],[Tech Start Date]],23),IF(Main[[#This Row],[Class]]="B", WORKDAY(Main[[#This Row],[Tech Start Date]],15),IF(Main[[#This Row],[Class]]="A",WORKDAY(Main[[#This Row],[Tech Start Date]],5),""))))</f>
        <v>40856</v>
      </c>
      <c r="P139" s="77">
        <f>IF(Main[[#This Row],[Tech Start Date]]&lt;1/1/1990,"",IF(Main[[#This Row],[Class]]="C",WORKDAY(Main[[#This Row],[Tech Start Date]],28),IF(Main[[#This Row],[Class]]="B", WORKDAY(Main[[#This Row],[Tech Start Date]],19),IF(Main[[#This Row],[Class]]="A",WORKDAY(Main[[#This Row],[Tech Start Date]],9),""))))</f>
        <v>40862</v>
      </c>
      <c r="Q139" s="74"/>
      <c r="R139" s="74">
        <v>40998</v>
      </c>
      <c r="S139" s="72" t="s">
        <v>11</v>
      </c>
      <c r="T139" s="80" t="s">
        <v>3511</v>
      </c>
      <c r="U139" s="72" t="s">
        <v>29</v>
      </c>
      <c r="V139" s="72" t="s">
        <v>1947</v>
      </c>
      <c r="W139" s="72" t="s">
        <v>1941</v>
      </c>
      <c r="X139" s="72" t="s">
        <v>2993</v>
      </c>
      <c r="Y139" s="72" t="s">
        <v>3129</v>
      </c>
      <c r="Z139" s="72" t="s">
        <v>3017</v>
      </c>
    </row>
    <row r="140" spans="1:26" ht="18.600000000000001" customHeight="1">
      <c r="A140" s="142" t="str">
        <f>IF(priority(Main[[#This Row],[Comments]])&lt;&gt;0, priority(Main[[#This Row],[Comments]]),"")</f>
        <v/>
      </c>
      <c r="B140" s="90" t="s">
        <v>1028</v>
      </c>
      <c r="C140" s="72" t="s">
        <v>4</v>
      </c>
      <c r="D140" s="73" t="s">
        <v>18</v>
      </c>
      <c r="E140" s="74"/>
      <c r="F140" s="74"/>
      <c r="G140" s="75" t="str">
        <f>IF(stdProdLT(Main[[#This Row],[Comments]])=0.1,"N/A",IF(stdProdLT(Main[[#This Row],[Comments]])=0,"",stdProdLT(Main[[#This Row],[Comments]])))</f>
        <v/>
      </c>
      <c r="H140" s="76" t="str">
        <f>IF(AND(Main[[#This Row],[In Stock Date]]&lt;&gt;"",Main[[#This Row],[Revised Due Date]]&lt;&gt;""),Main[[#This Row],[In Stock Date]]-Main[[#This Row],[Revised Due Date]],"")</f>
        <v/>
      </c>
      <c r="I140" s="72" t="s">
        <v>4</v>
      </c>
      <c r="J140" s="72" t="s">
        <v>4</v>
      </c>
      <c r="K140" s="72" t="s">
        <v>4</v>
      </c>
      <c r="L140" s="74"/>
      <c r="M140" s="77" t="str">
        <f>IF(Main[[#This Row],[Tech Start Date]]&lt;1/1/1990,"",IF(Main[[#This Row],[Class]]="C",WORKDAY(Main[[#This Row],[Tech Start Date]],9),IF(Main[[#This Row],[Class]]="B", WORKDAY(Main[[#This Row],[Tech Start Date]],6),IF(Main[[#This Row],[Class]]="A",WORKDAY(Main[[#This Row],[Tech Start Date]],2),""))))</f>
        <v/>
      </c>
      <c r="N140" s="77" t="str">
        <f>IF(Main[[#This Row],[Tech Start Date]]&lt;1/1/1990,"",IF(Main[[#This Row],[Class]]="C",WORKDAY(Main[[#This Row],[Tech Start Date]],19),IF(Main[[#This Row],[Class]]="B", WORKDAY(Main[[#This Row],[Tech Start Date]],12),IF(Main[[#This Row],[Class]]="A",WORKDAY(Main[[#This Row],[Tech Start Date]],4),""))))</f>
        <v/>
      </c>
      <c r="O140" s="77" t="str">
        <f>IF(Main[[#This Row],[Tech Start Date]]&lt;1/1/1990,"",IF(Main[[#This Row],[Class]]="C",WORKDAY(Main[[#This Row],[Tech Start Date]],23),IF(Main[[#This Row],[Class]]="B", WORKDAY(Main[[#This Row],[Tech Start Date]],15),IF(Main[[#This Row],[Class]]="A",WORKDAY(Main[[#This Row],[Tech Start Date]],5),""))))</f>
        <v/>
      </c>
      <c r="P140" s="77" t="str">
        <f>IF(Main[[#This Row],[Tech Start Date]]&lt;1/1/1990,"",IF(Main[[#This Row],[Class]]="C",WORKDAY(Main[[#This Row],[Tech Start Date]],28),IF(Main[[#This Row],[Class]]="B", WORKDAY(Main[[#This Row],[Tech Start Date]],19),IF(Main[[#This Row],[Class]]="A",WORKDAY(Main[[#This Row],[Tech Start Date]],9),""))))</f>
        <v/>
      </c>
      <c r="Q140" s="74">
        <v>40585</v>
      </c>
      <c r="R140" s="74"/>
      <c r="S140" s="72" t="s">
        <v>11</v>
      </c>
      <c r="T140" s="80" t="s">
        <v>4</v>
      </c>
      <c r="U140" s="72" t="s">
        <v>14</v>
      </c>
      <c r="V140" s="72" t="s">
        <v>1937</v>
      </c>
      <c r="W140" s="72" t="s">
        <v>1942</v>
      </c>
      <c r="X140" s="72" t="s">
        <v>2973</v>
      </c>
      <c r="Y140" s="72" t="s">
        <v>3094</v>
      </c>
      <c r="Z140" s="72" t="s">
        <v>4</v>
      </c>
    </row>
    <row r="141" spans="1:26" ht="18.600000000000001" customHeight="1">
      <c r="A141" s="142" t="str">
        <f>IF(priority(Main[[#This Row],[Comments]])&lt;&gt;0, priority(Main[[#This Row],[Comments]]),"")</f>
        <v/>
      </c>
      <c r="B141" s="90" t="s">
        <v>1956</v>
      </c>
      <c r="C141" s="72" t="s">
        <v>19</v>
      </c>
      <c r="D141" s="73" t="s">
        <v>20</v>
      </c>
      <c r="E141" s="74"/>
      <c r="F141" s="74">
        <v>40548</v>
      </c>
      <c r="G141" s="75" t="str">
        <f>IF(stdProdLT(Main[[#This Row],[Comments]])=0.1,"N/A",IF(stdProdLT(Main[[#This Row],[Comments]])=0,"",stdProdLT(Main[[#This Row],[Comments]])))</f>
        <v/>
      </c>
      <c r="H141" s="76" t="str">
        <f>IF(AND(Main[[#This Row],[In Stock Date]]&lt;&gt;"",Main[[#This Row],[Revised Due Date]]&lt;&gt;""),Main[[#This Row],[In Stock Date]]-Main[[#This Row],[Revised Due Date]],"")</f>
        <v/>
      </c>
      <c r="I141" s="72" t="s">
        <v>4</v>
      </c>
      <c r="J141" s="72" t="s">
        <v>21</v>
      </c>
      <c r="K141" s="72" t="s">
        <v>4</v>
      </c>
      <c r="L141" s="74"/>
      <c r="M141" s="77" t="str">
        <f>IF(Main[[#This Row],[Tech Start Date]]&lt;1/1/1990,"",IF(Main[[#This Row],[Class]]="C",WORKDAY(Main[[#This Row],[Tech Start Date]],9),IF(Main[[#This Row],[Class]]="B", WORKDAY(Main[[#This Row],[Tech Start Date]],6),IF(Main[[#This Row],[Class]]="A",WORKDAY(Main[[#This Row],[Tech Start Date]],2),""))))</f>
        <v/>
      </c>
      <c r="N141" s="77" t="str">
        <f>IF(Main[[#This Row],[Tech Start Date]]&lt;1/1/1990,"",IF(Main[[#This Row],[Class]]="C",WORKDAY(Main[[#This Row],[Tech Start Date]],19),IF(Main[[#This Row],[Class]]="B", WORKDAY(Main[[#This Row],[Tech Start Date]],12),IF(Main[[#This Row],[Class]]="A",WORKDAY(Main[[#This Row],[Tech Start Date]],4),""))))</f>
        <v/>
      </c>
      <c r="O141" s="77" t="str">
        <f>IF(Main[[#This Row],[Tech Start Date]]&lt;1/1/1990,"",IF(Main[[#This Row],[Class]]="C",WORKDAY(Main[[#This Row],[Tech Start Date]],23),IF(Main[[#This Row],[Class]]="B", WORKDAY(Main[[#This Row],[Tech Start Date]],15),IF(Main[[#This Row],[Class]]="A",WORKDAY(Main[[#This Row],[Tech Start Date]],5),""))))</f>
        <v/>
      </c>
      <c r="P141" s="77" t="str">
        <f>IF(Main[[#This Row],[Tech Start Date]]&lt;1/1/1990,"",IF(Main[[#This Row],[Class]]="C",WORKDAY(Main[[#This Row],[Tech Start Date]],28),IF(Main[[#This Row],[Class]]="B", WORKDAY(Main[[#This Row],[Tech Start Date]],19),IF(Main[[#This Row],[Class]]="A",WORKDAY(Main[[#This Row],[Tech Start Date]],9),""))))</f>
        <v/>
      </c>
      <c r="Q141" s="74">
        <v>40441</v>
      </c>
      <c r="R141" s="74"/>
      <c r="S141" s="72" t="s">
        <v>11</v>
      </c>
      <c r="T141" s="80" t="s">
        <v>4</v>
      </c>
      <c r="U141" s="72" t="s">
        <v>12</v>
      </c>
      <c r="V141" s="72" t="s">
        <v>1940</v>
      </c>
      <c r="W141" s="72" t="s">
        <v>1943</v>
      </c>
      <c r="X141" s="72" t="s">
        <v>81</v>
      </c>
      <c r="Y141" s="72" t="s">
        <v>3097</v>
      </c>
      <c r="Z141" s="72" t="s">
        <v>437</v>
      </c>
    </row>
    <row r="142" spans="1:26" ht="18.600000000000001" customHeight="1">
      <c r="A142" s="142" t="str">
        <f>IF(priority(Main[[#This Row],[Comments]])&lt;&gt;0, priority(Main[[#This Row],[Comments]]),"")</f>
        <v/>
      </c>
      <c r="B142" s="90" t="s">
        <v>1029</v>
      </c>
      <c r="C142" s="72" t="s">
        <v>4</v>
      </c>
      <c r="D142" s="73" t="s">
        <v>22</v>
      </c>
      <c r="E142" s="74"/>
      <c r="F142" s="74"/>
      <c r="G142" s="75" t="str">
        <f>IF(stdProdLT(Main[[#This Row],[Comments]])=0.1,"N/A",IF(stdProdLT(Main[[#This Row],[Comments]])=0,"",stdProdLT(Main[[#This Row],[Comments]])))</f>
        <v/>
      </c>
      <c r="H142" s="76" t="str">
        <f>IF(AND(Main[[#This Row],[In Stock Date]]&lt;&gt;"",Main[[#This Row],[Revised Due Date]]&lt;&gt;""),Main[[#This Row],[In Stock Date]]-Main[[#This Row],[Revised Due Date]],"")</f>
        <v/>
      </c>
      <c r="I142" s="72" t="s">
        <v>4</v>
      </c>
      <c r="J142" s="72" t="s">
        <v>4</v>
      </c>
      <c r="K142" s="72" t="s">
        <v>4</v>
      </c>
      <c r="L142" s="74"/>
      <c r="M142" s="77" t="str">
        <f>IF(Main[[#This Row],[Tech Start Date]]&lt;1/1/1990,"",IF(Main[[#This Row],[Class]]="C",WORKDAY(Main[[#This Row],[Tech Start Date]],9),IF(Main[[#This Row],[Class]]="B", WORKDAY(Main[[#This Row],[Tech Start Date]],6),IF(Main[[#This Row],[Class]]="A",WORKDAY(Main[[#This Row],[Tech Start Date]],2),""))))</f>
        <v/>
      </c>
      <c r="N142" s="77" t="str">
        <f>IF(Main[[#This Row],[Tech Start Date]]&lt;1/1/1990,"",IF(Main[[#This Row],[Class]]="C",WORKDAY(Main[[#This Row],[Tech Start Date]],19),IF(Main[[#This Row],[Class]]="B", WORKDAY(Main[[#This Row],[Tech Start Date]],12),IF(Main[[#This Row],[Class]]="A",WORKDAY(Main[[#This Row],[Tech Start Date]],4),""))))</f>
        <v/>
      </c>
      <c r="O142" s="77" t="str">
        <f>IF(Main[[#This Row],[Tech Start Date]]&lt;1/1/1990,"",IF(Main[[#This Row],[Class]]="C",WORKDAY(Main[[#This Row],[Tech Start Date]],23),IF(Main[[#This Row],[Class]]="B", WORKDAY(Main[[#This Row],[Tech Start Date]],15),IF(Main[[#This Row],[Class]]="A",WORKDAY(Main[[#This Row],[Tech Start Date]],5),""))))</f>
        <v/>
      </c>
      <c r="P142" s="77" t="str">
        <f>IF(Main[[#This Row],[Tech Start Date]]&lt;1/1/1990,"",IF(Main[[#This Row],[Class]]="C",WORKDAY(Main[[#This Row],[Tech Start Date]],28),IF(Main[[#This Row],[Class]]="B", WORKDAY(Main[[#This Row],[Tech Start Date]],19),IF(Main[[#This Row],[Class]]="A",WORKDAY(Main[[#This Row],[Tech Start Date]],9),""))))</f>
        <v/>
      </c>
      <c r="Q142" s="74"/>
      <c r="R142" s="74"/>
      <c r="S142" s="72" t="s">
        <v>23</v>
      </c>
      <c r="T142" s="80" t="s">
        <v>4</v>
      </c>
      <c r="U142" s="72" t="s">
        <v>14</v>
      </c>
      <c r="V142" s="72" t="s">
        <v>1937</v>
      </c>
      <c r="W142" s="72" t="s">
        <v>1939</v>
      </c>
      <c r="X142" s="72" t="s">
        <v>311</v>
      </c>
      <c r="Y142" s="72" t="s">
        <v>4</v>
      </c>
      <c r="Z142" s="72" t="s">
        <v>4</v>
      </c>
    </row>
    <row r="143" spans="1:26" ht="18.600000000000001" customHeight="1">
      <c r="A143" s="142" t="str">
        <f>IF(priority(Main[[#This Row],[Comments]])&lt;&gt;0, priority(Main[[#This Row],[Comments]]),"")</f>
        <v/>
      </c>
      <c r="B143" s="90" t="s">
        <v>2758</v>
      </c>
      <c r="C143" s="72" t="s">
        <v>4</v>
      </c>
      <c r="D143" s="73" t="s">
        <v>2759</v>
      </c>
      <c r="E143" s="74">
        <v>40905.637326388889</v>
      </c>
      <c r="F143" s="74"/>
      <c r="G143" s="75" t="str">
        <f>IF(stdProdLT(Main[[#This Row],[Comments]])=0.1,"N/A",IF(stdProdLT(Main[[#This Row],[Comments]])=0,"",stdProdLT(Main[[#This Row],[Comments]])))</f>
        <v/>
      </c>
      <c r="H143" s="76" t="str">
        <f>IF(AND(Main[[#This Row],[In Stock Date]]&lt;&gt;"",Main[[#This Row],[Revised Due Date]]&lt;&gt;""),Main[[#This Row],[In Stock Date]]-Main[[#This Row],[Revised Due Date]],"")</f>
        <v/>
      </c>
      <c r="I143" s="72" t="s">
        <v>536</v>
      </c>
      <c r="J143" s="72" t="s">
        <v>52</v>
      </c>
      <c r="K143" s="72" t="s">
        <v>1946</v>
      </c>
      <c r="L143" s="74"/>
      <c r="M143" s="77" t="str">
        <f>IF(Main[[#This Row],[Tech Start Date]]&lt;1/1/1990,"",IF(Main[[#This Row],[Class]]="C",WORKDAY(Main[[#This Row],[Tech Start Date]],9),IF(Main[[#This Row],[Class]]="B", WORKDAY(Main[[#This Row],[Tech Start Date]],6),IF(Main[[#This Row],[Class]]="A",WORKDAY(Main[[#This Row],[Tech Start Date]],2),""))))</f>
        <v/>
      </c>
      <c r="N143" s="77" t="str">
        <f>IF(Main[[#This Row],[Tech Start Date]]&lt;1/1/1990,"",IF(Main[[#This Row],[Class]]="C",WORKDAY(Main[[#This Row],[Tech Start Date]],19),IF(Main[[#This Row],[Class]]="B", WORKDAY(Main[[#This Row],[Tech Start Date]],12),IF(Main[[#This Row],[Class]]="A",WORKDAY(Main[[#This Row],[Tech Start Date]],4),""))))</f>
        <v/>
      </c>
      <c r="O143" s="77" t="str">
        <f>IF(Main[[#This Row],[Tech Start Date]]&lt;1/1/1990,"",IF(Main[[#This Row],[Class]]="C",WORKDAY(Main[[#This Row],[Tech Start Date]],23),IF(Main[[#This Row],[Class]]="B", WORKDAY(Main[[#This Row],[Tech Start Date]],15),IF(Main[[#This Row],[Class]]="A",WORKDAY(Main[[#This Row],[Tech Start Date]],5),""))))</f>
        <v/>
      </c>
      <c r="P143" s="77" t="str">
        <f>IF(Main[[#This Row],[Tech Start Date]]&lt;1/1/1990,"",IF(Main[[#This Row],[Class]]="C",WORKDAY(Main[[#This Row],[Tech Start Date]],28),IF(Main[[#This Row],[Class]]="B", WORKDAY(Main[[#This Row],[Tech Start Date]],19),IF(Main[[#This Row],[Class]]="A",WORKDAY(Main[[#This Row],[Tech Start Date]],9),""))))</f>
        <v/>
      </c>
      <c r="Q143" s="74">
        <v>41027</v>
      </c>
      <c r="R143" s="74"/>
      <c r="S143" s="72" t="s">
        <v>6</v>
      </c>
      <c r="T143" s="80" t="s">
        <v>4</v>
      </c>
      <c r="U143" s="72" t="s">
        <v>29</v>
      </c>
      <c r="V143" s="72" t="s">
        <v>1940</v>
      </c>
      <c r="W143" s="72" t="s">
        <v>1941</v>
      </c>
      <c r="X143" s="72" t="s">
        <v>30</v>
      </c>
      <c r="Y143" s="72" t="s">
        <v>3098</v>
      </c>
      <c r="Z143" s="72" t="s">
        <v>30</v>
      </c>
    </row>
    <row r="144" spans="1:26" ht="18.600000000000001" customHeight="1">
      <c r="A144" s="142" t="str">
        <f>IF(priority(Main[[#This Row],[Comments]])&lt;&gt;0, priority(Main[[#This Row],[Comments]]),"")</f>
        <v/>
      </c>
      <c r="B144" s="90" t="s">
        <v>1030</v>
      </c>
      <c r="C144" s="72" t="s">
        <v>24</v>
      </c>
      <c r="D144" s="73" t="s">
        <v>25</v>
      </c>
      <c r="E144" s="74"/>
      <c r="F144" s="74"/>
      <c r="G144" s="75" t="str">
        <f>IF(stdProdLT(Main[[#This Row],[Comments]])=0.1,"N/A",IF(stdProdLT(Main[[#This Row],[Comments]])=0,"",stdProdLT(Main[[#This Row],[Comments]])))</f>
        <v/>
      </c>
      <c r="H144" s="76" t="str">
        <f>IF(AND(Main[[#This Row],[In Stock Date]]&lt;&gt;"",Main[[#This Row],[Revised Due Date]]&lt;&gt;""),Main[[#This Row],[In Stock Date]]-Main[[#This Row],[Revised Due Date]],"")</f>
        <v/>
      </c>
      <c r="I144" s="72" t="s">
        <v>4</v>
      </c>
      <c r="J144" s="72" t="s">
        <v>4</v>
      </c>
      <c r="K144" s="72" t="s">
        <v>4</v>
      </c>
      <c r="L144" s="74"/>
      <c r="M144" s="77" t="str">
        <f>IF(Main[[#This Row],[Tech Start Date]]&lt;1/1/1990,"",IF(Main[[#This Row],[Class]]="C",WORKDAY(Main[[#This Row],[Tech Start Date]],9),IF(Main[[#This Row],[Class]]="B", WORKDAY(Main[[#This Row],[Tech Start Date]],6),IF(Main[[#This Row],[Class]]="A",WORKDAY(Main[[#This Row],[Tech Start Date]],2),""))))</f>
        <v/>
      </c>
      <c r="N144" s="77" t="str">
        <f>IF(Main[[#This Row],[Tech Start Date]]&lt;1/1/1990,"",IF(Main[[#This Row],[Class]]="C",WORKDAY(Main[[#This Row],[Tech Start Date]],19),IF(Main[[#This Row],[Class]]="B", WORKDAY(Main[[#This Row],[Tech Start Date]],12),IF(Main[[#This Row],[Class]]="A",WORKDAY(Main[[#This Row],[Tech Start Date]],4),""))))</f>
        <v/>
      </c>
      <c r="O144" s="77" t="str">
        <f>IF(Main[[#This Row],[Tech Start Date]]&lt;1/1/1990,"",IF(Main[[#This Row],[Class]]="C",WORKDAY(Main[[#This Row],[Tech Start Date]],23),IF(Main[[#This Row],[Class]]="B", WORKDAY(Main[[#This Row],[Tech Start Date]],15),IF(Main[[#This Row],[Class]]="A",WORKDAY(Main[[#This Row],[Tech Start Date]],5),""))))</f>
        <v/>
      </c>
      <c r="P144" s="77" t="str">
        <f>IF(Main[[#This Row],[Tech Start Date]]&lt;1/1/1990,"",IF(Main[[#This Row],[Class]]="C",WORKDAY(Main[[#This Row],[Tech Start Date]],28),IF(Main[[#This Row],[Class]]="B", WORKDAY(Main[[#This Row],[Tech Start Date]],19),IF(Main[[#This Row],[Class]]="A",WORKDAY(Main[[#This Row],[Tech Start Date]],9),""))))</f>
        <v/>
      </c>
      <c r="Q144" s="74"/>
      <c r="R144" s="74"/>
      <c r="S144" s="72" t="s">
        <v>11</v>
      </c>
      <c r="T144" s="80" t="s">
        <v>4</v>
      </c>
      <c r="U144" s="72" t="s">
        <v>14</v>
      </c>
      <c r="V144" s="72" t="s">
        <v>1938</v>
      </c>
      <c r="W144" s="72" t="s">
        <v>1942</v>
      </c>
      <c r="X144" s="72" t="s">
        <v>311</v>
      </c>
      <c r="Y144" s="72" t="s">
        <v>3099</v>
      </c>
      <c r="Z144" s="72" t="s">
        <v>4</v>
      </c>
    </row>
    <row r="145" spans="1:26" ht="18.600000000000001" customHeight="1">
      <c r="A145" s="142" t="str">
        <f>IF(priority(Main[[#This Row],[Comments]])&lt;&gt;0, priority(Main[[#This Row],[Comments]]),"")</f>
        <v/>
      </c>
      <c r="B145" s="90" t="s">
        <v>1488</v>
      </c>
      <c r="C145" s="72" t="s">
        <v>4</v>
      </c>
      <c r="D145" s="73" t="s">
        <v>2366</v>
      </c>
      <c r="E145" s="74">
        <v>40431.641157407408</v>
      </c>
      <c r="F145" s="74"/>
      <c r="G145" s="75" t="str">
        <f>IF(stdProdLT(Main[[#This Row],[Comments]])=0.1,"N/A",IF(stdProdLT(Main[[#This Row],[Comments]])=0,"",stdProdLT(Main[[#This Row],[Comments]])))</f>
        <v/>
      </c>
      <c r="H145" s="76" t="str">
        <f>IF(AND(Main[[#This Row],[In Stock Date]]&lt;&gt;"",Main[[#This Row],[Revised Due Date]]&lt;&gt;""),Main[[#This Row],[In Stock Date]]-Main[[#This Row],[Revised Due Date]],"")</f>
        <v/>
      </c>
      <c r="I145" s="72" t="s">
        <v>927</v>
      </c>
      <c r="J145" s="72" t="s">
        <v>52</v>
      </c>
      <c r="K145" s="81" t="s">
        <v>4</v>
      </c>
      <c r="L145" s="74"/>
      <c r="M145" s="77" t="str">
        <f>IF(Main[[#This Row],[Tech Start Date]]&lt;1/1/1990,"",IF(Main[[#This Row],[Class]]="C",WORKDAY(Main[[#This Row],[Tech Start Date]],9),IF(Main[[#This Row],[Class]]="B", WORKDAY(Main[[#This Row],[Tech Start Date]],6),IF(Main[[#This Row],[Class]]="A",WORKDAY(Main[[#This Row],[Tech Start Date]],2),""))))</f>
        <v/>
      </c>
      <c r="N145" s="77" t="str">
        <f>IF(Main[[#This Row],[Tech Start Date]]&lt;1/1/1990,"",IF(Main[[#This Row],[Class]]="C",WORKDAY(Main[[#This Row],[Tech Start Date]],19),IF(Main[[#This Row],[Class]]="B", WORKDAY(Main[[#This Row],[Tech Start Date]],12),IF(Main[[#This Row],[Class]]="A",WORKDAY(Main[[#This Row],[Tech Start Date]],4),""))))</f>
        <v/>
      </c>
      <c r="O145" s="77" t="str">
        <f>IF(Main[[#This Row],[Tech Start Date]]&lt;1/1/1990,"",IF(Main[[#This Row],[Class]]="C",WORKDAY(Main[[#This Row],[Tech Start Date]],23),IF(Main[[#This Row],[Class]]="B", WORKDAY(Main[[#This Row],[Tech Start Date]],15),IF(Main[[#This Row],[Class]]="A",WORKDAY(Main[[#This Row],[Tech Start Date]],5),""))))</f>
        <v/>
      </c>
      <c r="P145" s="77" t="str">
        <f>IF(Main[[#This Row],[Tech Start Date]]&lt;1/1/1990,"",IF(Main[[#This Row],[Class]]="C",WORKDAY(Main[[#This Row],[Tech Start Date]],28),IF(Main[[#This Row],[Class]]="B", WORKDAY(Main[[#This Row],[Tech Start Date]],19),IF(Main[[#This Row],[Class]]="A",WORKDAY(Main[[#This Row],[Tech Start Date]],9),""))))</f>
        <v/>
      </c>
      <c r="Q145" s="74">
        <v>40466</v>
      </c>
      <c r="R145" s="74"/>
      <c r="S145" s="72" t="s">
        <v>6</v>
      </c>
      <c r="T145" s="80" t="s">
        <v>4</v>
      </c>
      <c r="U145" s="72" t="s">
        <v>29</v>
      </c>
      <c r="V145" s="72" t="s">
        <v>1937</v>
      </c>
      <c r="W145" s="72" t="s">
        <v>1939</v>
      </c>
      <c r="X145" s="72" t="s">
        <v>2970</v>
      </c>
      <c r="Y145" s="72" t="s">
        <v>3087</v>
      </c>
      <c r="Z145" s="72" t="s">
        <v>129</v>
      </c>
    </row>
    <row r="146" spans="1:26" ht="18.600000000000001" customHeight="1">
      <c r="A146" s="142" t="str">
        <f>IF(priority(Main[[#This Row],[Comments]])&lt;&gt;0, priority(Main[[#This Row],[Comments]]),"")</f>
        <v/>
      </c>
      <c r="B146" s="90" t="s">
        <v>2358</v>
      </c>
      <c r="C146" s="72" t="s">
        <v>4</v>
      </c>
      <c r="D146" s="73" t="s">
        <v>2359</v>
      </c>
      <c r="E146" s="74">
        <v>40828.669305555559</v>
      </c>
      <c r="F146" s="74"/>
      <c r="G146" s="75" t="str">
        <f>IF(stdProdLT(Main[[#This Row],[Comments]])=0.1,"N/A",IF(stdProdLT(Main[[#This Row],[Comments]])=0,"",stdProdLT(Main[[#This Row],[Comments]])))</f>
        <v/>
      </c>
      <c r="H146" s="76" t="str">
        <f>IF(AND(Main[[#This Row],[In Stock Date]]&lt;&gt;"",Main[[#This Row],[Revised Due Date]]&lt;&gt;""),Main[[#This Row],[In Stock Date]]-Main[[#This Row],[Revised Due Date]],"")</f>
        <v/>
      </c>
      <c r="I146" s="72" t="s">
        <v>4</v>
      </c>
      <c r="J146" s="72" t="s">
        <v>4</v>
      </c>
      <c r="K146" s="81" t="s">
        <v>4</v>
      </c>
      <c r="L146" s="74"/>
      <c r="M146" s="77" t="str">
        <f>IF(Main[[#This Row],[Tech Start Date]]&lt;1/1/1990,"",IF(Main[[#This Row],[Class]]="C",WORKDAY(Main[[#This Row],[Tech Start Date]],9),IF(Main[[#This Row],[Class]]="B", WORKDAY(Main[[#This Row],[Tech Start Date]],6),IF(Main[[#This Row],[Class]]="A",WORKDAY(Main[[#This Row],[Tech Start Date]],2),""))))</f>
        <v/>
      </c>
      <c r="N146" s="77" t="str">
        <f>IF(Main[[#This Row],[Tech Start Date]]&lt;1/1/1990,"",IF(Main[[#This Row],[Class]]="C",WORKDAY(Main[[#This Row],[Tech Start Date]],19),IF(Main[[#This Row],[Class]]="B", WORKDAY(Main[[#This Row],[Tech Start Date]],12),IF(Main[[#This Row],[Class]]="A",WORKDAY(Main[[#This Row],[Tech Start Date]],4),""))))</f>
        <v/>
      </c>
      <c r="O146" s="77" t="str">
        <f>IF(Main[[#This Row],[Tech Start Date]]&lt;1/1/1990,"",IF(Main[[#This Row],[Class]]="C",WORKDAY(Main[[#This Row],[Tech Start Date]],23),IF(Main[[#This Row],[Class]]="B", WORKDAY(Main[[#This Row],[Tech Start Date]],15),IF(Main[[#This Row],[Class]]="A",WORKDAY(Main[[#This Row],[Tech Start Date]],5),""))))</f>
        <v/>
      </c>
      <c r="P146" s="77" t="str">
        <f>IF(Main[[#This Row],[Tech Start Date]]&lt;1/1/1990,"",IF(Main[[#This Row],[Class]]="C",WORKDAY(Main[[#This Row],[Tech Start Date]],28),IF(Main[[#This Row],[Class]]="B", WORKDAY(Main[[#This Row],[Tech Start Date]],19),IF(Main[[#This Row],[Class]]="A",WORKDAY(Main[[#This Row],[Tech Start Date]],9),""))))</f>
        <v/>
      </c>
      <c r="Q146" s="74"/>
      <c r="R146" s="74"/>
      <c r="S146" s="72" t="s">
        <v>6</v>
      </c>
      <c r="T146" s="80" t="s">
        <v>4</v>
      </c>
      <c r="U146" s="72" t="s">
        <v>29</v>
      </c>
      <c r="V146" s="72" t="s">
        <v>1937</v>
      </c>
      <c r="W146" s="72" t="s">
        <v>1941</v>
      </c>
      <c r="X146" s="72" t="s">
        <v>102</v>
      </c>
      <c r="Y146" s="72" t="s">
        <v>3100</v>
      </c>
      <c r="Z146" s="72" t="s">
        <v>4</v>
      </c>
    </row>
    <row r="147" spans="1:26" ht="18.600000000000001" customHeight="1">
      <c r="A147" s="142" t="str">
        <f>IF(priority(Main[[#This Row],[Comments]])&lt;&gt;0, priority(Main[[#This Row],[Comments]]),"")</f>
        <v/>
      </c>
      <c r="B147" s="90" t="s">
        <v>1031</v>
      </c>
      <c r="C147" s="72" t="s">
        <v>26</v>
      </c>
      <c r="D147" s="73" t="s">
        <v>27</v>
      </c>
      <c r="E147" s="74"/>
      <c r="F147" s="74">
        <v>40563</v>
      </c>
      <c r="G147" s="75" t="str">
        <f>IF(stdProdLT(Main[[#This Row],[Comments]])=0.1,"N/A",IF(stdProdLT(Main[[#This Row],[Comments]])=0,"",stdProdLT(Main[[#This Row],[Comments]])))</f>
        <v/>
      </c>
      <c r="H147" s="76" t="str">
        <f>IF(AND(Main[[#This Row],[In Stock Date]]&lt;&gt;"",Main[[#This Row],[Revised Due Date]]&lt;&gt;""),Main[[#This Row],[In Stock Date]]-Main[[#This Row],[Revised Due Date]],"")</f>
        <v/>
      </c>
      <c r="I147" s="72" t="s">
        <v>4</v>
      </c>
      <c r="J147" s="72" t="s">
        <v>28</v>
      </c>
      <c r="K147" s="72" t="s">
        <v>1944</v>
      </c>
      <c r="L147" s="74"/>
      <c r="M147" s="77" t="str">
        <f>IF(Main[[#This Row],[Tech Start Date]]&lt;1/1/1990,"",IF(Main[[#This Row],[Class]]="C",WORKDAY(Main[[#This Row],[Tech Start Date]],9),IF(Main[[#This Row],[Class]]="B", WORKDAY(Main[[#This Row],[Tech Start Date]],6),IF(Main[[#This Row],[Class]]="A",WORKDAY(Main[[#This Row],[Tech Start Date]],2),""))))</f>
        <v/>
      </c>
      <c r="N147" s="77" t="str">
        <f>IF(Main[[#This Row],[Tech Start Date]]&lt;1/1/1990,"",IF(Main[[#This Row],[Class]]="C",WORKDAY(Main[[#This Row],[Tech Start Date]],19),IF(Main[[#This Row],[Class]]="B", WORKDAY(Main[[#This Row],[Tech Start Date]],12),IF(Main[[#This Row],[Class]]="A",WORKDAY(Main[[#This Row],[Tech Start Date]],4),""))))</f>
        <v/>
      </c>
      <c r="O147" s="77" t="str">
        <f>IF(Main[[#This Row],[Tech Start Date]]&lt;1/1/1990,"",IF(Main[[#This Row],[Class]]="C",WORKDAY(Main[[#This Row],[Tech Start Date]],23),IF(Main[[#This Row],[Class]]="B", WORKDAY(Main[[#This Row],[Tech Start Date]],15),IF(Main[[#This Row],[Class]]="A",WORKDAY(Main[[#This Row],[Tech Start Date]],5),""))))</f>
        <v/>
      </c>
      <c r="P147" s="77" t="str">
        <f>IF(Main[[#This Row],[Tech Start Date]]&lt;1/1/1990,"",IF(Main[[#This Row],[Class]]="C",WORKDAY(Main[[#This Row],[Tech Start Date]],28),IF(Main[[#This Row],[Class]]="B", WORKDAY(Main[[#This Row],[Tech Start Date]],19),IF(Main[[#This Row],[Class]]="A",WORKDAY(Main[[#This Row],[Tech Start Date]],9),""))))</f>
        <v/>
      </c>
      <c r="Q147" s="74">
        <v>40563</v>
      </c>
      <c r="R147" s="74"/>
      <c r="S147" s="72" t="s">
        <v>11</v>
      </c>
      <c r="T147" s="80" t="s">
        <v>4</v>
      </c>
      <c r="U147" s="72" t="s">
        <v>14</v>
      </c>
      <c r="V147" s="72" t="s">
        <v>1938</v>
      </c>
      <c r="W147" s="72" t="s">
        <v>1939</v>
      </c>
      <c r="X147" s="72" t="s">
        <v>2967</v>
      </c>
      <c r="Y147" s="72" t="s">
        <v>3085</v>
      </c>
      <c r="Z147" s="72" t="s">
        <v>3322</v>
      </c>
    </row>
    <row r="148" spans="1:26" ht="18.600000000000001" customHeight="1">
      <c r="A148" s="142" t="str">
        <f>IF(priority(Main[[#This Row],[Comments]])&lt;&gt;0, priority(Main[[#This Row],[Comments]]),"")</f>
        <v/>
      </c>
      <c r="B148" s="90" t="s">
        <v>1957</v>
      </c>
      <c r="C148" s="72" t="s">
        <v>4</v>
      </c>
      <c r="D148" s="73" t="s">
        <v>1958</v>
      </c>
      <c r="E148" s="74"/>
      <c r="F148" s="74">
        <v>40309</v>
      </c>
      <c r="G148" s="75" t="str">
        <f>IF(stdProdLT(Main[[#This Row],[Comments]])=0.1,"N/A",IF(stdProdLT(Main[[#This Row],[Comments]])=0,"",stdProdLT(Main[[#This Row],[Comments]])))</f>
        <v/>
      </c>
      <c r="H148" s="76" t="str">
        <f>IF(AND(Main[[#This Row],[In Stock Date]]&lt;&gt;"",Main[[#This Row],[Revised Due Date]]&lt;&gt;""),Main[[#This Row],[In Stock Date]]-Main[[#This Row],[Revised Due Date]],"")</f>
        <v/>
      </c>
      <c r="I148" s="72" t="s">
        <v>4</v>
      </c>
      <c r="J148" s="72" t="s">
        <v>4</v>
      </c>
      <c r="K148" s="72" t="s">
        <v>4</v>
      </c>
      <c r="L148" s="74"/>
      <c r="M148" s="77" t="str">
        <f>IF(Main[[#This Row],[Tech Start Date]]&lt;1/1/1990,"",IF(Main[[#This Row],[Class]]="C",WORKDAY(Main[[#This Row],[Tech Start Date]],9),IF(Main[[#This Row],[Class]]="B", WORKDAY(Main[[#This Row],[Tech Start Date]],6),IF(Main[[#This Row],[Class]]="A",WORKDAY(Main[[#This Row],[Tech Start Date]],2),""))))</f>
        <v/>
      </c>
      <c r="N148" s="77" t="str">
        <f>IF(Main[[#This Row],[Tech Start Date]]&lt;1/1/1990,"",IF(Main[[#This Row],[Class]]="C",WORKDAY(Main[[#This Row],[Tech Start Date]],19),IF(Main[[#This Row],[Class]]="B", WORKDAY(Main[[#This Row],[Tech Start Date]],12),IF(Main[[#This Row],[Class]]="A",WORKDAY(Main[[#This Row],[Tech Start Date]],4),""))))</f>
        <v/>
      </c>
      <c r="O148" s="77" t="str">
        <f>IF(Main[[#This Row],[Tech Start Date]]&lt;1/1/1990,"",IF(Main[[#This Row],[Class]]="C",WORKDAY(Main[[#This Row],[Tech Start Date]],23),IF(Main[[#This Row],[Class]]="B", WORKDAY(Main[[#This Row],[Tech Start Date]],15),IF(Main[[#This Row],[Class]]="A",WORKDAY(Main[[#This Row],[Tech Start Date]],5),""))))</f>
        <v/>
      </c>
      <c r="P148" s="77" t="str">
        <f>IF(Main[[#This Row],[Tech Start Date]]&lt;1/1/1990,"",IF(Main[[#This Row],[Class]]="C",WORKDAY(Main[[#This Row],[Tech Start Date]],28),IF(Main[[#This Row],[Class]]="B", WORKDAY(Main[[#This Row],[Tech Start Date]],19),IF(Main[[#This Row],[Class]]="A",WORKDAY(Main[[#This Row],[Tech Start Date]],9),""))))</f>
        <v/>
      </c>
      <c r="Q148" s="74">
        <v>40305</v>
      </c>
      <c r="R148" s="74"/>
      <c r="S148" s="72" t="s">
        <v>6</v>
      </c>
      <c r="T148" s="80" t="s">
        <v>4</v>
      </c>
      <c r="U148" s="72" t="s">
        <v>14</v>
      </c>
      <c r="V148" s="72" t="s">
        <v>1937</v>
      </c>
      <c r="W148" s="72" t="s">
        <v>1945</v>
      </c>
      <c r="X148" s="72" t="s">
        <v>2976</v>
      </c>
      <c r="Y148" s="72" t="s">
        <v>3101</v>
      </c>
      <c r="Z148" s="72" t="s">
        <v>4</v>
      </c>
    </row>
    <row r="149" spans="1:26" ht="18.600000000000001" customHeight="1">
      <c r="A149" s="142" t="str">
        <f>IF(priority(Main[[#This Row],[Comments]])&lt;&gt;0, priority(Main[[#This Row],[Comments]]),"")</f>
        <v/>
      </c>
      <c r="B149" s="90" t="s">
        <v>1032</v>
      </c>
      <c r="C149" s="72" t="s">
        <v>4</v>
      </c>
      <c r="D149" s="73" t="s">
        <v>1971</v>
      </c>
      <c r="E149" s="74">
        <v>40130.654374999998</v>
      </c>
      <c r="F149" s="74"/>
      <c r="G149" s="75" t="str">
        <f>IF(stdProdLT(Main[[#This Row],[Comments]])=0.1,"N/A",IF(stdProdLT(Main[[#This Row],[Comments]])=0,"",stdProdLT(Main[[#This Row],[Comments]])))</f>
        <v/>
      </c>
      <c r="H149" s="76" t="str">
        <f>IF(AND(Main[[#This Row],[In Stock Date]]&lt;&gt;"",Main[[#This Row],[Revised Due Date]]&lt;&gt;""),Main[[#This Row],[In Stock Date]]-Main[[#This Row],[Revised Due Date]],"")</f>
        <v/>
      </c>
      <c r="I149" s="72" t="s">
        <v>4</v>
      </c>
      <c r="J149" s="72" t="s">
        <v>4</v>
      </c>
      <c r="K149" s="81" t="s">
        <v>4</v>
      </c>
      <c r="L149" s="74"/>
      <c r="M149" s="77" t="str">
        <f>IF(Main[[#This Row],[Tech Start Date]]&lt;1/1/1990,"",IF(Main[[#This Row],[Class]]="C",WORKDAY(Main[[#This Row],[Tech Start Date]],9),IF(Main[[#This Row],[Class]]="B", WORKDAY(Main[[#This Row],[Tech Start Date]],6),IF(Main[[#This Row],[Class]]="A",WORKDAY(Main[[#This Row],[Tech Start Date]],2),""))))</f>
        <v/>
      </c>
      <c r="N149" s="77" t="str">
        <f>IF(Main[[#This Row],[Tech Start Date]]&lt;1/1/1990,"",IF(Main[[#This Row],[Class]]="C",WORKDAY(Main[[#This Row],[Tech Start Date]],19),IF(Main[[#This Row],[Class]]="B", WORKDAY(Main[[#This Row],[Tech Start Date]],12),IF(Main[[#This Row],[Class]]="A",WORKDAY(Main[[#This Row],[Tech Start Date]],4),""))))</f>
        <v/>
      </c>
      <c r="O149" s="77" t="str">
        <f>IF(Main[[#This Row],[Tech Start Date]]&lt;1/1/1990,"",IF(Main[[#This Row],[Class]]="C",WORKDAY(Main[[#This Row],[Tech Start Date]],23),IF(Main[[#This Row],[Class]]="B", WORKDAY(Main[[#This Row],[Tech Start Date]],15),IF(Main[[#This Row],[Class]]="A",WORKDAY(Main[[#This Row],[Tech Start Date]],5),""))))</f>
        <v/>
      </c>
      <c r="P149" s="77" t="str">
        <f>IF(Main[[#This Row],[Tech Start Date]]&lt;1/1/1990,"",IF(Main[[#This Row],[Class]]="C",WORKDAY(Main[[#This Row],[Tech Start Date]],28),IF(Main[[#This Row],[Class]]="B", WORKDAY(Main[[#This Row],[Tech Start Date]],19),IF(Main[[#This Row],[Class]]="A",WORKDAY(Main[[#This Row],[Tech Start Date]],9),""))))</f>
        <v/>
      </c>
      <c r="Q149" s="74"/>
      <c r="R149" s="74"/>
      <c r="S149" s="72" t="s">
        <v>6</v>
      </c>
      <c r="T149" s="80" t="s">
        <v>4</v>
      </c>
      <c r="U149" s="72" t="s">
        <v>29</v>
      </c>
      <c r="V149" s="72" t="s">
        <v>1937</v>
      </c>
      <c r="W149" s="72" t="s">
        <v>1945</v>
      </c>
      <c r="X149" s="72" t="s">
        <v>2972</v>
      </c>
      <c r="Y149" s="72" t="s">
        <v>3102</v>
      </c>
      <c r="Z149" s="72" t="s">
        <v>4</v>
      </c>
    </row>
    <row r="150" spans="1:26" ht="18.600000000000001" customHeight="1">
      <c r="A150" s="142" t="str">
        <f>IF(priority(Main[[#This Row],[Comments]])&lt;&gt;0, priority(Main[[#This Row],[Comments]]),"")</f>
        <v/>
      </c>
      <c r="B150" s="90" t="s">
        <v>1034</v>
      </c>
      <c r="C150" s="72" t="s">
        <v>31</v>
      </c>
      <c r="D150" s="73" t="s">
        <v>32</v>
      </c>
      <c r="E150" s="74"/>
      <c r="F150" s="74">
        <v>40634</v>
      </c>
      <c r="G150" s="75" t="str">
        <f>IF(stdProdLT(Main[[#This Row],[Comments]])=0.1,"N/A",IF(stdProdLT(Main[[#This Row],[Comments]])=0,"",stdProdLT(Main[[#This Row],[Comments]])))</f>
        <v/>
      </c>
      <c r="H150" s="76" t="str">
        <f>IF(AND(Main[[#This Row],[In Stock Date]]&lt;&gt;"",Main[[#This Row],[Revised Due Date]]&lt;&gt;""),Main[[#This Row],[In Stock Date]]-Main[[#This Row],[Revised Due Date]],"")</f>
        <v/>
      </c>
      <c r="I150" s="72" t="s">
        <v>4</v>
      </c>
      <c r="J150" s="72" t="s">
        <v>4</v>
      </c>
      <c r="K150" s="72" t="s">
        <v>4</v>
      </c>
      <c r="L150" s="74"/>
      <c r="M150" s="77" t="str">
        <f>IF(Main[[#This Row],[Tech Start Date]]&lt;1/1/1990,"",IF(Main[[#This Row],[Class]]="C",WORKDAY(Main[[#This Row],[Tech Start Date]],9),IF(Main[[#This Row],[Class]]="B", WORKDAY(Main[[#This Row],[Tech Start Date]],6),IF(Main[[#This Row],[Class]]="A",WORKDAY(Main[[#This Row],[Tech Start Date]],2),""))))</f>
        <v/>
      </c>
      <c r="N150" s="77" t="str">
        <f>IF(Main[[#This Row],[Tech Start Date]]&lt;1/1/1990,"",IF(Main[[#This Row],[Class]]="C",WORKDAY(Main[[#This Row],[Tech Start Date]],19),IF(Main[[#This Row],[Class]]="B", WORKDAY(Main[[#This Row],[Tech Start Date]],12),IF(Main[[#This Row],[Class]]="A",WORKDAY(Main[[#This Row],[Tech Start Date]],4),""))))</f>
        <v/>
      </c>
      <c r="O150" s="77" t="str">
        <f>IF(Main[[#This Row],[Tech Start Date]]&lt;1/1/1990,"",IF(Main[[#This Row],[Class]]="C",WORKDAY(Main[[#This Row],[Tech Start Date]],23),IF(Main[[#This Row],[Class]]="B", WORKDAY(Main[[#This Row],[Tech Start Date]],15),IF(Main[[#This Row],[Class]]="A",WORKDAY(Main[[#This Row],[Tech Start Date]],5),""))))</f>
        <v/>
      </c>
      <c r="P150" s="77" t="str">
        <f>IF(Main[[#This Row],[Tech Start Date]]&lt;1/1/1990,"",IF(Main[[#This Row],[Class]]="C",WORKDAY(Main[[#This Row],[Tech Start Date]],28),IF(Main[[#This Row],[Class]]="B", WORKDAY(Main[[#This Row],[Tech Start Date]],19),IF(Main[[#This Row],[Class]]="A",WORKDAY(Main[[#This Row],[Tech Start Date]],9),""))))</f>
        <v/>
      </c>
      <c r="Q150" s="74"/>
      <c r="R150" s="74"/>
      <c r="S150" s="72" t="s">
        <v>11</v>
      </c>
      <c r="T150" s="80" t="s">
        <v>4</v>
      </c>
      <c r="U150" s="72" t="s">
        <v>14</v>
      </c>
      <c r="V150" s="72" t="s">
        <v>1940</v>
      </c>
      <c r="W150" s="72" t="s">
        <v>1942</v>
      </c>
      <c r="X150" s="72" t="s">
        <v>2977</v>
      </c>
      <c r="Y150" s="72" t="s">
        <v>3103</v>
      </c>
      <c r="Z150" s="72" t="s">
        <v>4</v>
      </c>
    </row>
    <row r="151" spans="1:26" ht="18.600000000000001" customHeight="1">
      <c r="A151" s="142" t="str">
        <f>IF(priority(Main[[#This Row],[Comments]])&lt;&gt;0, priority(Main[[#This Row],[Comments]]),"")</f>
        <v/>
      </c>
      <c r="B151" s="90" t="s">
        <v>1035</v>
      </c>
      <c r="C151" s="72" t="s">
        <v>33</v>
      </c>
      <c r="D151" s="73" t="s">
        <v>34</v>
      </c>
      <c r="E151" s="74"/>
      <c r="F151" s="74">
        <v>40764</v>
      </c>
      <c r="G151" s="75" t="str">
        <f>IF(stdProdLT(Main[[#This Row],[Comments]])=0.1,"N/A",IF(stdProdLT(Main[[#This Row],[Comments]])=0,"",stdProdLT(Main[[#This Row],[Comments]])))</f>
        <v/>
      </c>
      <c r="H151" s="76" t="str">
        <f>IF(AND(Main[[#This Row],[In Stock Date]]&lt;&gt;"",Main[[#This Row],[Revised Due Date]]&lt;&gt;""),Main[[#This Row],[In Stock Date]]-Main[[#This Row],[Revised Due Date]],"")</f>
        <v/>
      </c>
      <c r="I151" s="72" t="s">
        <v>4</v>
      </c>
      <c r="J151" s="72" t="s">
        <v>28</v>
      </c>
      <c r="K151" s="72" t="s">
        <v>1944</v>
      </c>
      <c r="L151" s="74"/>
      <c r="M151" s="77" t="str">
        <f>IF(Main[[#This Row],[Tech Start Date]]&lt;1/1/1990,"",IF(Main[[#This Row],[Class]]="C",WORKDAY(Main[[#This Row],[Tech Start Date]],9),IF(Main[[#This Row],[Class]]="B", WORKDAY(Main[[#This Row],[Tech Start Date]],6),IF(Main[[#This Row],[Class]]="A",WORKDAY(Main[[#This Row],[Tech Start Date]],2),""))))</f>
        <v/>
      </c>
      <c r="N151" s="77" t="str">
        <f>IF(Main[[#This Row],[Tech Start Date]]&lt;1/1/1990,"",IF(Main[[#This Row],[Class]]="C",WORKDAY(Main[[#This Row],[Tech Start Date]],19),IF(Main[[#This Row],[Class]]="B", WORKDAY(Main[[#This Row],[Tech Start Date]],12),IF(Main[[#This Row],[Class]]="A",WORKDAY(Main[[#This Row],[Tech Start Date]],4),""))))</f>
        <v/>
      </c>
      <c r="O151" s="77" t="str">
        <f>IF(Main[[#This Row],[Tech Start Date]]&lt;1/1/1990,"",IF(Main[[#This Row],[Class]]="C",WORKDAY(Main[[#This Row],[Tech Start Date]],23),IF(Main[[#This Row],[Class]]="B", WORKDAY(Main[[#This Row],[Tech Start Date]],15),IF(Main[[#This Row],[Class]]="A",WORKDAY(Main[[#This Row],[Tech Start Date]],5),""))))</f>
        <v/>
      </c>
      <c r="P151" s="77" t="str">
        <f>IF(Main[[#This Row],[Tech Start Date]]&lt;1/1/1990,"",IF(Main[[#This Row],[Class]]="C",WORKDAY(Main[[#This Row],[Tech Start Date]],28),IF(Main[[#This Row],[Class]]="B", WORKDAY(Main[[#This Row],[Tech Start Date]],19),IF(Main[[#This Row],[Class]]="A",WORKDAY(Main[[#This Row],[Tech Start Date]],9),""))))</f>
        <v/>
      </c>
      <c r="Q151" s="74">
        <v>40568</v>
      </c>
      <c r="R151" s="74"/>
      <c r="S151" s="72" t="s">
        <v>11</v>
      </c>
      <c r="T151" s="80" t="s">
        <v>4</v>
      </c>
      <c r="U151" s="72" t="s">
        <v>14</v>
      </c>
      <c r="V151" s="72" t="s">
        <v>1937</v>
      </c>
      <c r="W151" s="72" t="s">
        <v>1945</v>
      </c>
      <c r="X151" s="72" t="s">
        <v>2978</v>
      </c>
      <c r="Y151" s="72" t="s">
        <v>3104</v>
      </c>
      <c r="Z151" s="72" t="s">
        <v>129</v>
      </c>
    </row>
    <row r="152" spans="1:26" ht="18.600000000000001" customHeight="1">
      <c r="A152" s="142" t="str">
        <f>IF(priority(Main[[#This Row],[Comments]])&lt;&gt;0, priority(Main[[#This Row],[Comments]]),"")</f>
        <v/>
      </c>
      <c r="B152" s="90" t="s">
        <v>1959</v>
      </c>
      <c r="C152" s="72" t="s">
        <v>4</v>
      </c>
      <c r="D152" s="73" t="s">
        <v>35</v>
      </c>
      <c r="E152" s="74"/>
      <c r="F152" s="74"/>
      <c r="G152" s="75" t="str">
        <f>IF(stdProdLT(Main[[#This Row],[Comments]])=0.1,"N/A",IF(stdProdLT(Main[[#This Row],[Comments]])=0,"",stdProdLT(Main[[#This Row],[Comments]])))</f>
        <v/>
      </c>
      <c r="H152" s="76" t="str">
        <f>IF(AND(Main[[#This Row],[In Stock Date]]&lt;&gt;"",Main[[#This Row],[Revised Due Date]]&lt;&gt;""),Main[[#This Row],[In Stock Date]]-Main[[#This Row],[Revised Due Date]],"")</f>
        <v/>
      </c>
      <c r="I152" s="72" t="s">
        <v>4</v>
      </c>
      <c r="J152" s="72" t="s">
        <v>4</v>
      </c>
      <c r="K152" s="72" t="s">
        <v>4</v>
      </c>
      <c r="L152" s="74"/>
      <c r="M152" s="77" t="str">
        <f>IF(Main[[#This Row],[Tech Start Date]]&lt;1/1/1990,"",IF(Main[[#This Row],[Class]]="C",WORKDAY(Main[[#This Row],[Tech Start Date]],9),IF(Main[[#This Row],[Class]]="B", WORKDAY(Main[[#This Row],[Tech Start Date]],6),IF(Main[[#This Row],[Class]]="A",WORKDAY(Main[[#This Row],[Tech Start Date]],2),""))))</f>
        <v/>
      </c>
      <c r="N152" s="77" t="str">
        <f>IF(Main[[#This Row],[Tech Start Date]]&lt;1/1/1990,"",IF(Main[[#This Row],[Class]]="C",WORKDAY(Main[[#This Row],[Tech Start Date]],19),IF(Main[[#This Row],[Class]]="B", WORKDAY(Main[[#This Row],[Tech Start Date]],12),IF(Main[[#This Row],[Class]]="A",WORKDAY(Main[[#This Row],[Tech Start Date]],4),""))))</f>
        <v/>
      </c>
      <c r="O152" s="77" t="str">
        <f>IF(Main[[#This Row],[Tech Start Date]]&lt;1/1/1990,"",IF(Main[[#This Row],[Class]]="C",WORKDAY(Main[[#This Row],[Tech Start Date]],23),IF(Main[[#This Row],[Class]]="B", WORKDAY(Main[[#This Row],[Tech Start Date]],15),IF(Main[[#This Row],[Class]]="A",WORKDAY(Main[[#This Row],[Tech Start Date]],5),""))))</f>
        <v/>
      </c>
      <c r="P152" s="77" t="str">
        <f>IF(Main[[#This Row],[Tech Start Date]]&lt;1/1/1990,"",IF(Main[[#This Row],[Class]]="C",WORKDAY(Main[[#This Row],[Tech Start Date]],28),IF(Main[[#This Row],[Class]]="B", WORKDAY(Main[[#This Row],[Tech Start Date]],19),IF(Main[[#This Row],[Class]]="A",WORKDAY(Main[[#This Row],[Tech Start Date]],9),""))))</f>
        <v/>
      </c>
      <c r="Q152" s="74"/>
      <c r="R152" s="74"/>
      <c r="S152" s="72" t="s">
        <v>23</v>
      </c>
      <c r="T152" s="80" t="s">
        <v>4</v>
      </c>
      <c r="U152" s="72" t="s">
        <v>14</v>
      </c>
      <c r="V152" s="72" t="s">
        <v>1947</v>
      </c>
      <c r="W152" s="72" t="s">
        <v>1941</v>
      </c>
      <c r="X152" s="72" t="s">
        <v>404</v>
      </c>
      <c r="Y152" s="72" t="s">
        <v>4</v>
      </c>
      <c r="Z152" s="72" t="s">
        <v>4</v>
      </c>
    </row>
    <row r="153" spans="1:26" ht="18.600000000000001" customHeight="1">
      <c r="A153" s="142" t="str">
        <f>IF(priority(Main[[#This Row],[Comments]])&lt;&gt;0, priority(Main[[#This Row],[Comments]]),"")</f>
        <v/>
      </c>
      <c r="B153" s="90" t="s">
        <v>1036</v>
      </c>
      <c r="C153" s="72" t="s">
        <v>4</v>
      </c>
      <c r="D153" s="73" t="s">
        <v>36</v>
      </c>
      <c r="E153" s="74"/>
      <c r="F153" s="74"/>
      <c r="G153" s="75" t="str">
        <f>IF(stdProdLT(Main[[#This Row],[Comments]])=0.1,"N/A",IF(stdProdLT(Main[[#This Row],[Comments]])=0,"",stdProdLT(Main[[#This Row],[Comments]])))</f>
        <v/>
      </c>
      <c r="H153" s="76" t="str">
        <f>IF(AND(Main[[#This Row],[In Stock Date]]&lt;&gt;"",Main[[#This Row],[Revised Due Date]]&lt;&gt;""),Main[[#This Row],[In Stock Date]]-Main[[#This Row],[Revised Due Date]],"")</f>
        <v/>
      </c>
      <c r="I153" s="72" t="s">
        <v>4</v>
      </c>
      <c r="J153" s="72" t="s">
        <v>4</v>
      </c>
      <c r="K153" s="72" t="s">
        <v>4</v>
      </c>
      <c r="L153" s="74"/>
      <c r="M153" s="77" t="str">
        <f>IF(Main[[#This Row],[Tech Start Date]]&lt;1/1/1990,"",IF(Main[[#This Row],[Class]]="C",WORKDAY(Main[[#This Row],[Tech Start Date]],9),IF(Main[[#This Row],[Class]]="B", WORKDAY(Main[[#This Row],[Tech Start Date]],6),IF(Main[[#This Row],[Class]]="A",WORKDAY(Main[[#This Row],[Tech Start Date]],2),""))))</f>
        <v/>
      </c>
      <c r="N153" s="77" t="str">
        <f>IF(Main[[#This Row],[Tech Start Date]]&lt;1/1/1990,"",IF(Main[[#This Row],[Class]]="C",WORKDAY(Main[[#This Row],[Tech Start Date]],19),IF(Main[[#This Row],[Class]]="B", WORKDAY(Main[[#This Row],[Tech Start Date]],12),IF(Main[[#This Row],[Class]]="A",WORKDAY(Main[[#This Row],[Tech Start Date]],4),""))))</f>
        <v/>
      </c>
      <c r="O153" s="77" t="str">
        <f>IF(Main[[#This Row],[Tech Start Date]]&lt;1/1/1990,"",IF(Main[[#This Row],[Class]]="C",WORKDAY(Main[[#This Row],[Tech Start Date]],23),IF(Main[[#This Row],[Class]]="B", WORKDAY(Main[[#This Row],[Tech Start Date]],15),IF(Main[[#This Row],[Class]]="A",WORKDAY(Main[[#This Row],[Tech Start Date]],5),""))))</f>
        <v/>
      </c>
      <c r="P153" s="77" t="str">
        <f>IF(Main[[#This Row],[Tech Start Date]]&lt;1/1/1990,"",IF(Main[[#This Row],[Class]]="C",WORKDAY(Main[[#This Row],[Tech Start Date]],28),IF(Main[[#This Row],[Class]]="B", WORKDAY(Main[[#This Row],[Tech Start Date]],19),IF(Main[[#This Row],[Class]]="A",WORKDAY(Main[[#This Row],[Tech Start Date]],9),""))))</f>
        <v/>
      </c>
      <c r="Q153" s="74">
        <v>40781</v>
      </c>
      <c r="R153" s="74"/>
      <c r="S153" s="72" t="s">
        <v>11</v>
      </c>
      <c r="T153" s="80" t="s">
        <v>4</v>
      </c>
      <c r="U153" s="72" t="s">
        <v>14</v>
      </c>
      <c r="V153" s="72" t="s">
        <v>1937</v>
      </c>
      <c r="W153" s="72" t="s">
        <v>1941</v>
      </c>
      <c r="X153" s="72" t="s">
        <v>2973</v>
      </c>
      <c r="Y153" s="72" t="s">
        <v>3094</v>
      </c>
      <c r="Z153" s="72" t="s">
        <v>4</v>
      </c>
    </row>
    <row r="154" spans="1:26" ht="18.600000000000001" customHeight="1">
      <c r="A154" s="142" t="str">
        <f>IF(priority(Main[[#This Row],[Comments]])&lt;&gt;0, priority(Main[[#This Row],[Comments]]),"")</f>
        <v/>
      </c>
      <c r="B154" s="90" t="s">
        <v>1037</v>
      </c>
      <c r="C154" s="72" t="s">
        <v>26</v>
      </c>
      <c r="D154" s="73" t="s">
        <v>38</v>
      </c>
      <c r="E154" s="74"/>
      <c r="F154" s="74">
        <v>40743</v>
      </c>
      <c r="G154" s="75" t="str">
        <f>IF(stdProdLT(Main[[#This Row],[Comments]])=0.1,"N/A",IF(stdProdLT(Main[[#This Row],[Comments]])=0,"",stdProdLT(Main[[#This Row],[Comments]])))</f>
        <v/>
      </c>
      <c r="H154" s="76" t="str">
        <f>IF(AND(Main[[#This Row],[In Stock Date]]&lt;&gt;"",Main[[#This Row],[Revised Due Date]]&lt;&gt;""),Main[[#This Row],[In Stock Date]]-Main[[#This Row],[Revised Due Date]],"")</f>
        <v/>
      </c>
      <c r="I154" s="72" t="s">
        <v>4</v>
      </c>
      <c r="J154" s="72" t="s">
        <v>28</v>
      </c>
      <c r="K154" s="72" t="s">
        <v>4</v>
      </c>
      <c r="L154" s="74"/>
      <c r="M154" s="77" t="str">
        <f>IF(Main[[#This Row],[Tech Start Date]]&lt;1/1/1990,"",IF(Main[[#This Row],[Class]]="C",WORKDAY(Main[[#This Row],[Tech Start Date]],9),IF(Main[[#This Row],[Class]]="B", WORKDAY(Main[[#This Row],[Tech Start Date]],6),IF(Main[[#This Row],[Class]]="A",WORKDAY(Main[[#This Row],[Tech Start Date]],2),""))))</f>
        <v/>
      </c>
      <c r="N154" s="77" t="str">
        <f>IF(Main[[#This Row],[Tech Start Date]]&lt;1/1/1990,"",IF(Main[[#This Row],[Class]]="C",WORKDAY(Main[[#This Row],[Tech Start Date]],19),IF(Main[[#This Row],[Class]]="B", WORKDAY(Main[[#This Row],[Tech Start Date]],12),IF(Main[[#This Row],[Class]]="A",WORKDAY(Main[[#This Row],[Tech Start Date]],4),""))))</f>
        <v/>
      </c>
      <c r="O154" s="77" t="str">
        <f>IF(Main[[#This Row],[Tech Start Date]]&lt;1/1/1990,"",IF(Main[[#This Row],[Class]]="C",WORKDAY(Main[[#This Row],[Tech Start Date]],23),IF(Main[[#This Row],[Class]]="B", WORKDAY(Main[[#This Row],[Tech Start Date]],15),IF(Main[[#This Row],[Class]]="A",WORKDAY(Main[[#This Row],[Tech Start Date]],5),""))))</f>
        <v/>
      </c>
      <c r="P154" s="77" t="str">
        <f>IF(Main[[#This Row],[Tech Start Date]]&lt;1/1/1990,"",IF(Main[[#This Row],[Class]]="C",WORKDAY(Main[[#This Row],[Tech Start Date]],28),IF(Main[[#This Row],[Class]]="B", WORKDAY(Main[[#This Row],[Tech Start Date]],19),IF(Main[[#This Row],[Class]]="A",WORKDAY(Main[[#This Row],[Tech Start Date]],9),""))))</f>
        <v/>
      </c>
      <c r="Q154" s="74">
        <v>40638</v>
      </c>
      <c r="R154" s="74"/>
      <c r="S154" s="72" t="s">
        <v>11</v>
      </c>
      <c r="T154" s="80" t="s">
        <v>4</v>
      </c>
      <c r="U154" s="72" t="s">
        <v>12</v>
      </c>
      <c r="V154" s="72" t="s">
        <v>1937</v>
      </c>
      <c r="W154" s="72" t="s">
        <v>1945</v>
      </c>
      <c r="X154" s="72" t="s">
        <v>129</v>
      </c>
      <c r="Y154" s="72" t="s">
        <v>4</v>
      </c>
      <c r="Z154" s="72" t="s">
        <v>129</v>
      </c>
    </row>
    <row r="155" spans="1:26" ht="18.600000000000001" customHeight="1">
      <c r="A155" s="142" t="str">
        <f>IF(priority(Main[[#This Row],[Comments]])&lt;&gt;0, priority(Main[[#This Row],[Comments]]),"")</f>
        <v/>
      </c>
      <c r="B155" s="90" t="s">
        <v>1038</v>
      </c>
      <c r="C155" s="72" t="s">
        <v>4</v>
      </c>
      <c r="D155" s="73" t="s">
        <v>39</v>
      </c>
      <c r="E155" s="74"/>
      <c r="F155" s="74"/>
      <c r="G155" s="75" t="str">
        <f>IF(stdProdLT(Main[[#This Row],[Comments]])=0.1,"N/A",IF(stdProdLT(Main[[#This Row],[Comments]])=0,"",stdProdLT(Main[[#This Row],[Comments]])))</f>
        <v/>
      </c>
      <c r="H155" s="76" t="str">
        <f>IF(AND(Main[[#This Row],[In Stock Date]]&lt;&gt;"",Main[[#This Row],[Revised Due Date]]&lt;&gt;""),Main[[#This Row],[In Stock Date]]-Main[[#This Row],[Revised Due Date]],"")</f>
        <v/>
      </c>
      <c r="I155" s="72" t="s">
        <v>4</v>
      </c>
      <c r="J155" s="72" t="s">
        <v>4</v>
      </c>
      <c r="K155" s="81" t="s">
        <v>4</v>
      </c>
      <c r="L155" s="74"/>
      <c r="M155" s="77" t="str">
        <f>IF(Main[[#This Row],[Tech Start Date]]&lt;1/1/1990,"",IF(Main[[#This Row],[Class]]="C",WORKDAY(Main[[#This Row],[Tech Start Date]],9),IF(Main[[#This Row],[Class]]="B", WORKDAY(Main[[#This Row],[Tech Start Date]],6),IF(Main[[#This Row],[Class]]="A",WORKDAY(Main[[#This Row],[Tech Start Date]],2),""))))</f>
        <v/>
      </c>
      <c r="N155" s="77" t="str">
        <f>IF(Main[[#This Row],[Tech Start Date]]&lt;1/1/1990,"",IF(Main[[#This Row],[Class]]="C",WORKDAY(Main[[#This Row],[Tech Start Date]],19),IF(Main[[#This Row],[Class]]="B", WORKDAY(Main[[#This Row],[Tech Start Date]],12),IF(Main[[#This Row],[Class]]="A",WORKDAY(Main[[#This Row],[Tech Start Date]],4),""))))</f>
        <v/>
      </c>
      <c r="O155" s="77" t="str">
        <f>IF(Main[[#This Row],[Tech Start Date]]&lt;1/1/1990,"",IF(Main[[#This Row],[Class]]="C",WORKDAY(Main[[#This Row],[Tech Start Date]],23),IF(Main[[#This Row],[Class]]="B", WORKDAY(Main[[#This Row],[Tech Start Date]],15),IF(Main[[#This Row],[Class]]="A",WORKDAY(Main[[#This Row],[Tech Start Date]],5),""))))</f>
        <v/>
      </c>
      <c r="P155" s="77" t="str">
        <f>IF(Main[[#This Row],[Tech Start Date]]&lt;1/1/1990,"",IF(Main[[#This Row],[Class]]="C",WORKDAY(Main[[#This Row],[Tech Start Date]],28),IF(Main[[#This Row],[Class]]="B", WORKDAY(Main[[#This Row],[Tech Start Date]],19),IF(Main[[#This Row],[Class]]="A",WORKDAY(Main[[#This Row],[Tech Start Date]],9),""))))</f>
        <v/>
      </c>
      <c r="Q155" s="74">
        <v>40669</v>
      </c>
      <c r="R155" s="74"/>
      <c r="S155" s="72" t="s">
        <v>6</v>
      </c>
      <c r="T155" s="80" t="s">
        <v>4</v>
      </c>
      <c r="U155" s="72" t="s">
        <v>14</v>
      </c>
      <c r="V155" s="72" t="s">
        <v>1940</v>
      </c>
      <c r="W155" s="72" t="s">
        <v>4</v>
      </c>
      <c r="X155" s="72" t="s">
        <v>2970</v>
      </c>
      <c r="Y155" s="72" t="s">
        <v>3087</v>
      </c>
      <c r="Z155" s="72" t="s">
        <v>4</v>
      </c>
    </row>
    <row r="156" spans="1:26" ht="18.600000000000001" customHeight="1">
      <c r="A156" s="142" t="str">
        <f>IF(priority(Main[[#This Row],[Comments]])&lt;&gt;0, priority(Main[[#This Row],[Comments]]),"")</f>
        <v/>
      </c>
      <c r="B156" s="90" t="s">
        <v>1039</v>
      </c>
      <c r="C156" s="72" t="s">
        <v>4</v>
      </c>
      <c r="D156" s="73" t="s">
        <v>40</v>
      </c>
      <c r="E156" s="74"/>
      <c r="F156" s="74"/>
      <c r="G156" s="75" t="str">
        <f>IF(stdProdLT(Main[[#This Row],[Comments]])=0.1,"N/A",IF(stdProdLT(Main[[#This Row],[Comments]])=0,"",stdProdLT(Main[[#This Row],[Comments]])))</f>
        <v/>
      </c>
      <c r="H156" s="76" t="str">
        <f>IF(AND(Main[[#This Row],[In Stock Date]]&lt;&gt;"",Main[[#This Row],[Revised Due Date]]&lt;&gt;""),Main[[#This Row],[In Stock Date]]-Main[[#This Row],[Revised Due Date]],"")</f>
        <v/>
      </c>
      <c r="I156" s="72" t="s">
        <v>4</v>
      </c>
      <c r="J156" s="72" t="s">
        <v>4</v>
      </c>
      <c r="K156" s="81" t="s">
        <v>4</v>
      </c>
      <c r="L156" s="74"/>
      <c r="M156" s="77" t="str">
        <f>IF(Main[[#This Row],[Tech Start Date]]&lt;1/1/1990,"",IF(Main[[#This Row],[Class]]="C",WORKDAY(Main[[#This Row],[Tech Start Date]],9),IF(Main[[#This Row],[Class]]="B", WORKDAY(Main[[#This Row],[Tech Start Date]],6),IF(Main[[#This Row],[Class]]="A",WORKDAY(Main[[#This Row],[Tech Start Date]],2),""))))</f>
        <v/>
      </c>
      <c r="N156" s="77" t="str">
        <f>IF(Main[[#This Row],[Tech Start Date]]&lt;1/1/1990,"",IF(Main[[#This Row],[Class]]="C",WORKDAY(Main[[#This Row],[Tech Start Date]],19),IF(Main[[#This Row],[Class]]="B", WORKDAY(Main[[#This Row],[Tech Start Date]],12),IF(Main[[#This Row],[Class]]="A",WORKDAY(Main[[#This Row],[Tech Start Date]],4),""))))</f>
        <v/>
      </c>
      <c r="O156" s="77" t="str">
        <f>IF(Main[[#This Row],[Tech Start Date]]&lt;1/1/1990,"",IF(Main[[#This Row],[Class]]="C",WORKDAY(Main[[#This Row],[Tech Start Date]],23),IF(Main[[#This Row],[Class]]="B", WORKDAY(Main[[#This Row],[Tech Start Date]],15),IF(Main[[#This Row],[Class]]="A",WORKDAY(Main[[#This Row],[Tech Start Date]],5),""))))</f>
        <v/>
      </c>
      <c r="P156" s="77" t="str">
        <f>IF(Main[[#This Row],[Tech Start Date]]&lt;1/1/1990,"",IF(Main[[#This Row],[Class]]="C",WORKDAY(Main[[#This Row],[Tech Start Date]],28),IF(Main[[#This Row],[Class]]="B", WORKDAY(Main[[#This Row],[Tech Start Date]],19),IF(Main[[#This Row],[Class]]="A",WORKDAY(Main[[#This Row],[Tech Start Date]],9),""))))</f>
        <v/>
      </c>
      <c r="Q156" s="74">
        <v>40368</v>
      </c>
      <c r="R156" s="74"/>
      <c r="S156" s="72" t="s">
        <v>6</v>
      </c>
      <c r="T156" s="80" t="s">
        <v>4</v>
      </c>
      <c r="U156" s="72" t="s">
        <v>14</v>
      </c>
      <c r="V156" s="72" t="s">
        <v>1947</v>
      </c>
      <c r="W156" s="72" t="s">
        <v>1939</v>
      </c>
      <c r="X156" s="72" t="s">
        <v>50</v>
      </c>
      <c r="Y156" s="72" t="s">
        <v>3105</v>
      </c>
      <c r="Z156" s="72" t="s">
        <v>4</v>
      </c>
    </row>
    <row r="157" spans="1:26" ht="18.600000000000001" customHeight="1">
      <c r="A157" s="142" t="str">
        <f>IF(priority(Main[[#This Row],[Comments]])&lt;&gt;0, priority(Main[[#This Row],[Comments]]),"")</f>
        <v/>
      </c>
      <c r="B157" s="90" t="s">
        <v>1040</v>
      </c>
      <c r="C157" s="72" t="s">
        <v>33</v>
      </c>
      <c r="D157" s="73" t="s">
        <v>41</v>
      </c>
      <c r="E157" s="74"/>
      <c r="F157" s="74"/>
      <c r="G157" s="75" t="str">
        <f>IF(stdProdLT(Main[[#This Row],[Comments]])=0.1,"N/A",IF(stdProdLT(Main[[#This Row],[Comments]])=0,"",stdProdLT(Main[[#This Row],[Comments]])))</f>
        <v/>
      </c>
      <c r="H157" s="76" t="str">
        <f>IF(AND(Main[[#This Row],[In Stock Date]]&lt;&gt;"",Main[[#This Row],[Revised Due Date]]&lt;&gt;""),Main[[#This Row],[In Stock Date]]-Main[[#This Row],[Revised Due Date]],"")</f>
        <v/>
      </c>
      <c r="I157" s="72" t="s">
        <v>4</v>
      </c>
      <c r="J157" s="72" t="s">
        <v>4</v>
      </c>
      <c r="K157" s="72" t="s">
        <v>4</v>
      </c>
      <c r="L157" s="74"/>
      <c r="M157" s="77" t="str">
        <f>IF(Main[[#This Row],[Tech Start Date]]&lt;1/1/1990,"",IF(Main[[#This Row],[Class]]="C",WORKDAY(Main[[#This Row],[Tech Start Date]],9),IF(Main[[#This Row],[Class]]="B", WORKDAY(Main[[#This Row],[Tech Start Date]],6),IF(Main[[#This Row],[Class]]="A",WORKDAY(Main[[#This Row],[Tech Start Date]],2),""))))</f>
        <v/>
      </c>
      <c r="N157" s="77" t="str">
        <f>IF(Main[[#This Row],[Tech Start Date]]&lt;1/1/1990,"",IF(Main[[#This Row],[Class]]="C",WORKDAY(Main[[#This Row],[Tech Start Date]],19),IF(Main[[#This Row],[Class]]="B", WORKDAY(Main[[#This Row],[Tech Start Date]],12),IF(Main[[#This Row],[Class]]="A",WORKDAY(Main[[#This Row],[Tech Start Date]],4),""))))</f>
        <v/>
      </c>
      <c r="O157" s="77" t="str">
        <f>IF(Main[[#This Row],[Tech Start Date]]&lt;1/1/1990,"",IF(Main[[#This Row],[Class]]="C",WORKDAY(Main[[#This Row],[Tech Start Date]],23),IF(Main[[#This Row],[Class]]="B", WORKDAY(Main[[#This Row],[Tech Start Date]],15),IF(Main[[#This Row],[Class]]="A",WORKDAY(Main[[#This Row],[Tech Start Date]],5),""))))</f>
        <v/>
      </c>
      <c r="P157" s="77" t="str">
        <f>IF(Main[[#This Row],[Tech Start Date]]&lt;1/1/1990,"",IF(Main[[#This Row],[Class]]="C",WORKDAY(Main[[#This Row],[Tech Start Date]],28),IF(Main[[#This Row],[Class]]="B", WORKDAY(Main[[#This Row],[Tech Start Date]],19),IF(Main[[#This Row],[Class]]="A",WORKDAY(Main[[#This Row],[Tech Start Date]],9),""))))</f>
        <v/>
      </c>
      <c r="Q157" s="74"/>
      <c r="R157" s="74"/>
      <c r="S157" s="72" t="s">
        <v>11</v>
      </c>
      <c r="T157" s="80" t="s">
        <v>4</v>
      </c>
      <c r="U157" s="72" t="s">
        <v>14</v>
      </c>
      <c r="V157" s="72" t="s">
        <v>1938</v>
      </c>
      <c r="W157" s="72" t="s">
        <v>1945</v>
      </c>
      <c r="X157" s="72" t="s">
        <v>2979</v>
      </c>
      <c r="Y157" s="72" t="s">
        <v>3106</v>
      </c>
      <c r="Z157" s="72" t="s">
        <v>4</v>
      </c>
    </row>
    <row r="158" spans="1:26" ht="18.600000000000001" customHeight="1">
      <c r="A158" s="142" t="str">
        <f>IF(priority(Main[[#This Row],[Comments]])&lt;&gt;0, priority(Main[[#This Row],[Comments]]),"")</f>
        <v/>
      </c>
      <c r="B158" s="90" t="s">
        <v>1041</v>
      </c>
      <c r="C158" s="72" t="s">
        <v>4</v>
      </c>
      <c r="D158" s="73" t="s">
        <v>43</v>
      </c>
      <c r="E158" s="74">
        <v>40500.605023148149</v>
      </c>
      <c r="F158" s="74"/>
      <c r="G158" s="75" t="str">
        <f>IF(stdProdLT(Main[[#This Row],[Comments]])=0.1,"N/A",IF(stdProdLT(Main[[#This Row],[Comments]])=0,"",stdProdLT(Main[[#This Row],[Comments]])))</f>
        <v/>
      </c>
      <c r="H158" s="76" t="str">
        <f>IF(AND(Main[[#This Row],[In Stock Date]]&lt;&gt;"",Main[[#This Row],[Revised Due Date]]&lt;&gt;""),Main[[#This Row],[In Stock Date]]-Main[[#This Row],[Revised Due Date]],"")</f>
        <v/>
      </c>
      <c r="I158" s="72" t="s">
        <v>4</v>
      </c>
      <c r="J158" s="72" t="s">
        <v>4</v>
      </c>
      <c r="K158" s="72" t="s">
        <v>4</v>
      </c>
      <c r="L158" s="74"/>
      <c r="M158" s="77" t="str">
        <f>IF(Main[[#This Row],[Tech Start Date]]&lt;1/1/1990,"",IF(Main[[#This Row],[Class]]="C",WORKDAY(Main[[#This Row],[Tech Start Date]],9),IF(Main[[#This Row],[Class]]="B", WORKDAY(Main[[#This Row],[Tech Start Date]],6),IF(Main[[#This Row],[Class]]="A",WORKDAY(Main[[#This Row],[Tech Start Date]],2),""))))</f>
        <v/>
      </c>
      <c r="N158" s="77" t="str">
        <f>IF(Main[[#This Row],[Tech Start Date]]&lt;1/1/1990,"",IF(Main[[#This Row],[Class]]="C",WORKDAY(Main[[#This Row],[Tech Start Date]],19),IF(Main[[#This Row],[Class]]="B", WORKDAY(Main[[#This Row],[Tech Start Date]],12),IF(Main[[#This Row],[Class]]="A",WORKDAY(Main[[#This Row],[Tech Start Date]],4),""))))</f>
        <v/>
      </c>
      <c r="O158" s="77" t="str">
        <f>IF(Main[[#This Row],[Tech Start Date]]&lt;1/1/1990,"",IF(Main[[#This Row],[Class]]="C",WORKDAY(Main[[#This Row],[Tech Start Date]],23),IF(Main[[#This Row],[Class]]="B", WORKDAY(Main[[#This Row],[Tech Start Date]],15),IF(Main[[#This Row],[Class]]="A",WORKDAY(Main[[#This Row],[Tech Start Date]],5),""))))</f>
        <v/>
      </c>
      <c r="P158" s="77" t="str">
        <f>IF(Main[[#This Row],[Tech Start Date]]&lt;1/1/1990,"",IF(Main[[#This Row],[Class]]="C",WORKDAY(Main[[#This Row],[Tech Start Date]],28),IF(Main[[#This Row],[Class]]="B", WORKDAY(Main[[#This Row],[Tech Start Date]],19),IF(Main[[#This Row],[Class]]="A",WORKDAY(Main[[#This Row],[Tech Start Date]],9),""))))</f>
        <v/>
      </c>
      <c r="Q158" s="74">
        <v>40519</v>
      </c>
      <c r="R158" s="74"/>
      <c r="S158" s="72" t="s">
        <v>4</v>
      </c>
      <c r="T158" s="80" t="s">
        <v>4</v>
      </c>
      <c r="U158" s="72" t="s">
        <v>7</v>
      </c>
      <c r="V158" s="72" t="s">
        <v>1937</v>
      </c>
      <c r="W158" s="72" t="s">
        <v>4</v>
      </c>
      <c r="X158" s="72" t="s">
        <v>2973</v>
      </c>
      <c r="Y158" s="72" t="s">
        <v>3094</v>
      </c>
      <c r="Z158" s="72" t="s">
        <v>4</v>
      </c>
    </row>
    <row r="159" spans="1:26" ht="18.600000000000001" customHeight="1">
      <c r="A159" s="142" t="str">
        <f>IF(priority(Main[[#This Row],[Comments]])&lt;&gt;0, priority(Main[[#This Row],[Comments]]),"")</f>
        <v/>
      </c>
      <c r="B159" s="90" t="s">
        <v>1043</v>
      </c>
      <c r="C159" s="72" t="s">
        <v>4</v>
      </c>
      <c r="D159" s="73" t="s">
        <v>45</v>
      </c>
      <c r="E159" s="74">
        <v>40486.407523148147</v>
      </c>
      <c r="F159" s="74"/>
      <c r="G159" s="75" t="str">
        <f>IF(stdProdLT(Main[[#This Row],[Comments]])=0.1,"N/A",IF(stdProdLT(Main[[#This Row],[Comments]])=0,"",stdProdLT(Main[[#This Row],[Comments]])))</f>
        <v/>
      </c>
      <c r="H159" s="76" t="str">
        <f>IF(AND(Main[[#This Row],[In Stock Date]]&lt;&gt;"",Main[[#This Row],[Revised Due Date]]&lt;&gt;""),Main[[#This Row],[In Stock Date]]-Main[[#This Row],[Revised Due Date]],"")</f>
        <v/>
      </c>
      <c r="I159" s="72" t="s">
        <v>4</v>
      </c>
      <c r="J159" s="72" t="s">
        <v>4</v>
      </c>
      <c r="K159" s="72" t="s">
        <v>4</v>
      </c>
      <c r="L159" s="74"/>
      <c r="M159" s="77" t="str">
        <f>IF(Main[[#This Row],[Tech Start Date]]&lt;1/1/1990,"",IF(Main[[#This Row],[Class]]="C",WORKDAY(Main[[#This Row],[Tech Start Date]],9),IF(Main[[#This Row],[Class]]="B", WORKDAY(Main[[#This Row],[Tech Start Date]],6),IF(Main[[#This Row],[Class]]="A",WORKDAY(Main[[#This Row],[Tech Start Date]],2),""))))</f>
        <v/>
      </c>
      <c r="N159" s="77" t="str">
        <f>IF(Main[[#This Row],[Tech Start Date]]&lt;1/1/1990,"",IF(Main[[#This Row],[Class]]="C",WORKDAY(Main[[#This Row],[Tech Start Date]],19),IF(Main[[#This Row],[Class]]="B", WORKDAY(Main[[#This Row],[Tech Start Date]],12),IF(Main[[#This Row],[Class]]="A",WORKDAY(Main[[#This Row],[Tech Start Date]],4),""))))</f>
        <v/>
      </c>
      <c r="O159" s="77" t="str">
        <f>IF(Main[[#This Row],[Tech Start Date]]&lt;1/1/1990,"",IF(Main[[#This Row],[Class]]="C",WORKDAY(Main[[#This Row],[Tech Start Date]],23),IF(Main[[#This Row],[Class]]="B", WORKDAY(Main[[#This Row],[Tech Start Date]],15),IF(Main[[#This Row],[Class]]="A",WORKDAY(Main[[#This Row],[Tech Start Date]],5),""))))</f>
        <v/>
      </c>
      <c r="P159" s="77" t="str">
        <f>IF(Main[[#This Row],[Tech Start Date]]&lt;1/1/1990,"",IF(Main[[#This Row],[Class]]="C",WORKDAY(Main[[#This Row],[Tech Start Date]],28),IF(Main[[#This Row],[Class]]="B", WORKDAY(Main[[#This Row],[Tech Start Date]],19),IF(Main[[#This Row],[Class]]="A",WORKDAY(Main[[#This Row],[Tech Start Date]],9),""))))</f>
        <v/>
      </c>
      <c r="Q159" s="74">
        <v>40522</v>
      </c>
      <c r="R159" s="74"/>
      <c r="S159" s="72" t="s">
        <v>6</v>
      </c>
      <c r="T159" s="80" t="s">
        <v>4</v>
      </c>
      <c r="U159" s="72" t="s">
        <v>7</v>
      </c>
      <c r="V159" s="72" t="s">
        <v>1937</v>
      </c>
      <c r="W159" s="72" t="s">
        <v>4</v>
      </c>
      <c r="X159" s="72" t="s">
        <v>2970</v>
      </c>
      <c r="Y159" s="72" t="s">
        <v>3087</v>
      </c>
      <c r="Z159" s="72" t="s">
        <v>4</v>
      </c>
    </row>
    <row r="160" spans="1:26" ht="18.600000000000001" customHeight="1">
      <c r="A160" s="142" t="str">
        <f>IF(priority(Main[[#This Row],[Comments]])&lt;&gt;0, priority(Main[[#This Row],[Comments]]),"")</f>
        <v/>
      </c>
      <c r="B160" s="90" t="s">
        <v>1045</v>
      </c>
      <c r="C160" s="72" t="s">
        <v>47</v>
      </c>
      <c r="D160" s="73" t="s">
        <v>48</v>
      </c>
      <c r="E160" s="74"/>
      <c r="F160" s="74"/>
      <c r="G160" s="75" t="str">
        <f>IF(stdProdLT(Main[[#This Row],[Comments]])=0.1,"N/A",IF(stdProdLT(Main[[#This Row],[Comments]])=0,"",stdProdLT(Main[[#This Row],[Comments]])))</f>
        <v/>
      </c>
      <c r="H160" s="76" t="str">
        <f>IF(AND(Main[[#This Row],[In Stock Date]]&lt;&gt;"",Main[[#This Row],[Revised Due Date]]&lt;&gt;""),Main[[#This Row],[In Stock Date]]-Main[[#This Row],[Revised Due Date]],"")</f>
        <v/>
      </c>
      <c r="I160" s="72" t="s">
        <v>4</v>
      </c>
      <c r="J160" s="72" t="s">
        <v>4</v>
      </c>
      <c r="K160" s="72" t="s">
        <v>4</v>
      </c>
      <c r="L160" s="74"/>
      <c r="M160" s="77" t="str">
        <f>IF(Main[[#This Row],[Tech Start Date]]&lt;1/1/1990,"",IF(Main[[#This Row],[Class]]="C",WORKDAY(Main[[#This Row],[Tech Start Date]],9),IF(Main[[#This Row],[Class]]="B", WORKDAY(Main[[#This Row],[Tech Start Date]],6),IF(Main[[#This Row],[Class]]="A",WORKDAY(Main[[#This Row],[Tech Start Date]],2),""))))</f>
        <v/>
      </c>
      <c r="N160" s="77" t="str">
        <f>IF(Main[[#This Row],[Tech Start Date]]&lt;1/1/1990,"",IF(Main[[#This Row],[Class]]="C",WORKDAY(Main[[#This Row],[Tech Start Date]],19),IF(Main[[#This Row],[Class]]="B", WORKDAY(Main[[#This Row],[Tech Start Date]],12),IF(Main[[#This Row],[Class]]="A",WORKDAY(Main[[#This Row],[Tech Start Date]],4),""))))</f>
        <v/>
      </c>
      <c r="O160" s="77" t="str">
        <f>IF(Main[[#This Row],[Tech Start Date]]&lt;1/1/1990,"",IF(Main[[#This Row],[Class]]="C",WORKDAY(Main[[#This Row],[Tech Start Date]],23),IF(Main[[#This Row],[Class]]="B", WORKDAY(Main[[#This Row],[Tech Start Date]],15),IF(Main[[#This Row],[Class]]="A",WORKDAY(Main[[#This Row],[Tech Start Date]],5),""))))</f>
        <v/>
      </c>
      <c r="P160" s="77" t="str">
        <f>IF(Main[[#This Row],[Tech Start Date]]&lt;1/1/1990,"",IF(Main[[#This Row],[Class]]="C",WORKDAY(Main[[#This Row],[Tech Start Date]],28),IF(Main[[#This Row],[Class]]="B", WORKDAY(Main[[#This Row],[Tech Start Date]],19),IF(Main[[#This Row],[Class]]="A",WORKDAY(Main[[#This Row],[Tech Start Date]],9),""))))</f>
        <v/>
      </c>
      <c r="Q160" s="74"/>
      <c r="R160" s="74"/>
      <c r="S160" s="72" t="s">
        <v>49</v>
      </c>
      <c r="T160" s="80" t="s">
        <v>4</v>
      </c>
      <c r="U160" s="72" t="s">
        <v>14</v>
      </c>
      <c r="V160" s="72" t="s">
        <v>1940</v>
      </c>
      <c r="W160" s="72" t="s">
        <v>1941</v>
      </c>
      <c r="X160" s="72" t="s">
        <v>311</v>
      </c>
      <c r="Y160" s="72" t="s">
        <v>3099</v>
      </c>
      <c r="Z160" s="72" t="s">
        <v>4</v>
      </c>
    </row>
    <row r="161" spans="1:26" ht="18.600000000000001" customHeight="1">
      <c r="A161" s="142" t="str">
        <f>IF(priority(Main[[#This Row],[Comments]])&lt;&gt;0, priority(Main[[#This Row],[Comments]]),"")</f>
        <v/>
      </c>
      <c r="B161" s="139" t="s">
        <v>1059</v>
      </c>
      <c r="C161" s="132" t="s">
        <v>67</v>
      </c>
      <c r="D161" s="133" t="s">
        <v>68</v>
      </c>
      <c r="E161" s="134"/>
      <c r="F161" s="134"/>
      <c r="G161" s="135" t="str">
        <f>IF(stdProdLT(Main[[#This Row],[Comments]])=0.1,"N/A",IF(stdProdLT(Main[[#This Row],[Comments]])=0,"",stdProdLT(Main[[#This Row],[Comments]])))</f>
        <v/>
      </c>
      <c r="H161" s="136" t="str">
        <f>IF(AND(Main[[#This Row],[In Stock Date]]&lt;&gt;"",Main[[#This Row],[Revised Due Date]]&lt;&gt;""),Main[[#This Row],[In Stock Date]]-Main[[#This Row],[Revised Due Date]],"")</f>
        <v/>
      </c>
      <c r="I161" s="132" t="s">
        <v>4</v>
      </c>
      <c r="J161" s="132" t="s">
        <v>4</v>
      </c>
      <c r="K161" s="132" t="s">
        <v>4</v>
      </c>
      <c r="L161" s="134"/>
      <c r="M161" s="137" t="str">
        <f>IF(Main[[#This Row],[Tech Start Date]]&lt;1/1/1990,"",IF(Main[[#This Row],[Class]]="C",WORKDAY(Main[[#This Row],[Tech Start Date]],9),IF(Main[[#This Row],[Class]]="B", WORKDAY(Main[[#This Row],[Tech Start Date]],6),IF(Main[[#This Row],[Class]]="A",WORKDAY(Main[[#This Row],[Tech Start Date]],2),""))))</f>
        <v/>
      </c>
      <c r="N161" s="137" t="str">
        <f>IF(Main[[#This Row],[Tech Start Date]]&lt;1/1/1990,"",IF(Main[[#This Row],[Class]]="C",WORKDAY(Main[[#This Row],[Tech Start Date]],19),IF(Main[[#This Row],[Class]]="B", WORKDAY(Main[[#This Row],[Tech Start Date]],12),IF(Main[[#This Row],[Class]]="A",WORKDAY(Main[[#This Row],[Tech Start Date]],4),""))))</f>
        <v/>
      </c>
      <c r="O161" s="137" t="str">
        <f>IF(Main[[#This Row],[Tech Start Date]]&lt;1/1/1990,"",IF(Main[[#This Row],[Class]]="C",WORKDAY(Main[[#This Row],[Tech Start Date]],23),IF(Main[[#This Row],[Class]]="B", WORKDAY(Main[[#This Row],[Tech Start Date]],15),IF(Main[[#This Row],[Class]]="A",WORKDAY(Main[[#This Row],[Tech Start Date]],5),""))))</f>
        <v/>
      </c>
      <c r="P161" s="137" t="str">
        <f>IF(Main[[#This Row],[Tech Start Date]]&lt;1/1/1990,"",IF(Main[[#This Row],[Class]]="C",WORKDAY(Main[[#This Row],[Tech Start Date]],28),IF(Main[[#This Row],[Class]]="B", WORKDAY(Main[[#This Row],[Tech Start Date]],19),IF(Main[[#This Row],[Class]]="A",WORKDAY(Main[[#This Row],[Tech Start Date]],9),""))))</f>
        <v/>
      </c>
      <c r="Q161" s="134">
        <v>40298</v>
      </c>
      <c r="R161" s="134"/>
      <c r="S161" s="132" t="s">
        <v>17</v>
      </c>
      <c r="T161" s="138" t="s">
        <v>4</v>
      </c>
      <c r="U161" s="132" t="s">
        <v>14</v>
      </c>
      <c r="V161" s="132" t="s">
        <v>1940</v>
      </c>
      <c r="W161" s="132" t="s">
        <v>1945</v>
      </c>
      <c r="X161" s="132" t="s">
        <v>311</v>
      </c>
      <c r="Y161" s="132" t="s">
        <v>3107</v>
      </c>
      <c r="Z161" s="132" t="s">
        <v>4</v>
      </c>
    </row>
    <row r="162" spans="1:26" ht="18.600000000000001" customHeight="1">
      <c r="A162" s="142" t="str">
        <f>IF(priority(Main[[#This Row],[Comments]])&lt;&gt;0, priority(Main[[#This Row],[Comments]]),"")</f>
        <v/>
      </c>
      <c r="B162" s="90" t="s">
        <v>1294</v>
      </c>
      <c r="C162" s="72" t="s">
        <v>4</v>
      </c>
      <c r="D162" s="73" t="s">
        <v>2360</v>
      </c>
      <c r="E162" s="74">
        <v>40578.5078587963</v>
      </c>
      <c r="F162" s="74"/>
      <c r="G162" s="75" t="str">
        <f>IF(stdProdLT(Main[[#This Row],[Comments]])=0.1,"N/A",IF(stdProdLT(Main[[#This Row],[Comments]])=0,"",stdProdLT(Main[[#This Row],[Comments]])))</f>
        <v/>
      </c>
      <c r="H162" s="76" t="str">
        <f>IF(AND(Main[[#This Row],[In Stock Date]]&lt;&gt;"",Main[[#This Row],[Revised Due Date]]&lt;&gt;""),Main[[#This Row],[In Stock Date]]-Main[[#This Row],[Revised Due Date]],"")</f>
        <v/>
      </c>
      <c r="I162" s="72" t="s">
        <v>927</v>
      </c>
      <c r="J162" s="72" t="s">
        <v>52</v>
      </c>
      <c r="K162" s="72" t="s">
        <v>4</v>
      </c>
      <c r="L162" s="74"/>
      <c r="M162" s="77" t="str">
        <f>IF(Main[[#This Row],[Tech Start Date]]&lt;1/1/1990,"",IF(Main[[#This Row],[Class]]="C",WORKDAY(Main[[#This Row],[Tech Start Date]],9),IF(Main[[#This Row],[Class]]="B", WORKDAY(Main[[#This Row],[Tech Start Date]],6),IF(Main[[#This Row],[Class]]="A",WORKDAY(Main[[#This Row],[Tech Start Date]],2),""))))</f>
        <v/>
      </c>
      <c r="N162" s="77" t="str">
        <f>IF(Main[[#This Row],[Tech Start Date]]&lt;1/1/1990,"",IF(Main[[#This Row],[Class]]="C",WORKDAY(Main[[#This Row],[Tech Start Date]],19),IF(Main[[#This Row],[Class]]="B", WORKDAY(Main[[#This Row],[Tech Start Date]],12),IF(Main[[#This Row],[Class]]="A",WORKDAY(Main[[#This Row],[Tech Start Date]],4),""))))</f>
        <v/>
      </c>
      <c r="O162" s="77" t="str">
        <f>IF(Main[[#This Row],[Tech Start Date]]&lt;1/1/1990,"",IF(Main[[#This Row],[Class]]="C",WORKDAY(Main[[#This Row],[Tech Start Date]],23),IF(Main[[#This Row],[Class]]="B", WORKDAY(Main[[#This Row],[Tech Start Date]],15),IF(Main[[#This Row],[Class]]="A",WORKDAY(Main[[#This Row],[Tech Start Date]],5),""))))</f>
        <v/>
      </c>
      <c r="P162" s="77" t="str">
        <f>IF(Main[[#This Row],[Tech Start Date]]&lt;1/1/1990,"",IF(Main[[#This Row],[Class]]="C",WORKDAY(Main[[#This Row],[Tech Start Date]],28),IF(Main[[#This Row],[Class]]="B", WORKDAY(Main[[#This Row],[Tech Start Date]],19),IF(Main[[#This Row],[Class]]="A",WORKDAY(Main[[#This Row],[Tech Start Date]],9),""))))</f>
        <v/>
      </c>
      <c r="Q162" s="74">
        <v>40592</v>
      </c>
      <c r="R162" s="74"/>
      <c r="S162" s="72" t="s">
        <v>6</v>
      </c>
      <c r="T162" s="80" t="s">
        <v>4</v>
      </c>
      <c r="U162" s="72" t="s">
        <v>29</v>
      </c>
      <c r="V162" s="72" t="s">
        <v>1937</v>
      </c>
      <c r="W162" s="72" t="s">
        <v>1941</v>
      </c>
      <c r="X162" s="72" t="s">
        <v>2980</v>
      </c>
      <c r="Y162" s="72" t="s">
        <v>3108</v>
      </c>
      <c r="Z162" s="72" t="s">
        <v>4</v>
      </c>
    </row>
    <row r="163" spans="1:26" ht="18.600000000000001" customHeight="1">
      <c r="A163" s="142" t="str">
        <f>IF(priority(Main[[#This Row],[Comments]])&lt;&gt;0, priority(Main[[#This Row],[Comments]]),"")</f>
        <v/>
      </c>
      <c r="B163" s="90" t="s">
        <v>1060</v>
      </c>
      <c r="C163" s="72" t="s">
        <v>4</v>
      </c>
      <c r="D163" s="73" t="s">
        <v>71</v>
      </c>
      <c r="E163" s="74"/>
      <c r="F163" s="74"/>
      <c r="G163" s="75" t="str">
        <f>IF(stdProdLT(Main[[#This Row],[Comments]])=0.1,"N/A",IF(stdProdLT(Main[[#This Row],[Comments]])=0,"",stdProdLT(Main[[#This Row],[Comments]])))</f>
        <v/>
      </c>
      <c r="H163" s="76" t="str">
        <f>IF(AND(Main[[#This Row],[In Stock Date]]&lt;&gt;"",Main[[#This Row],[Revised Due Date]]&lt;&gt;""),Main[[#This Row],[In Stock Date]]-Main[[#This Row],[Revised Due Date]],"")</f>
        <v/>
      </c>
      <c r="I163" s="72" t="s">
        <v>4</v>
      </c>
      <c r="J163" s="72" t="s">
        <v>4</v>
      </c>
      <c r="K163" s="81" t="s">
        <v>4</v>
      </c>
      <c r="L163" s="74"/>
      <c r="M163" s="77" t="str">
        <f>IF(Main[[#This Row],[Tech Start Date]]&lt;1/1/1990,"",IF(Main[[#This Row],[Class]]="C",WORKDAY(Main[[#This Row],[Tech Start Date]],9),IF(Main[[#This Row],[Class]]="B", WORKDAY(Main[[#This Row],[Tech Start Date]],6),IF(Main[[#This Row],[Class]]="A",WORKDAY(Main[[#This Row],[Tech Start Date]],2),""))))</f>
        <v/>
      </c>
      <c r="N163" s="77" t="str">
        <f>IF(Main[[#This Row],[Tech Start Date]]&lt;1/1/1990,"",IF(Main[[#This Row],[Class]]="C",WORKDAY(Main[[#This Row],[Tech Start Date]],19),IF(Main[[#This Row],[Class]]="B", WORKDAY(Main[[#This Row],[Tech Start Date]],12),IF(Main[[#This Row],[Class]]="A",WORKDAY(Main[[#This Row],[Tech Start Date]],4),""))))</f>
        <v/>
      </c>
      <c r="O163" s="77" t="str">
        <f>IF(Main[[#This Row],[Tech Start Date]]&lt;1/1/1990,"",IF(Main[[#This Row],[Class]]="C",WORKDAY(Main[[#This Row],[Tech Start Date]],23),IF(Main[[#This Row],[Class]]="B", WORKDAY(Main[[#This Row],[Tech Start Date]],15),IF(Main[[#This Row],[Class]]="A",WORKDAY(Main[[#This Row],[Tech Start Date]],5),""))))</f>
        <v/>
      </c>
      <c r="P163" s="77" t="str">
        <f>IF(Main[[#This Row],[Tech Start Date]]&lt;1/1/1990,"",IF(Main[[#This Row],[Class]]="C",WORKDAY(Main[[#This Row],[Tech Start Date]],28),IF(Main[[#This Row],[Class]]="B", WORKDAY(Main[[#This Row],[Tech Start Date]],19),IF(Main[[#This Row],[Class]]="A",WORKDAY(Main[[#This Row],[Tech Start Date]],9),""))))</f>
        <v/>
      </c>
      <c r="Q163" s="74"/>
      <c r="R163" s="74"/>
      <c r="S163" s="72" t="s">
        <v>23</v>
      </c>
      <c r="T163" s="80" t="s">
        <v>4</v>
      </c>
      <c r="U163" s="72" t="s">
        <v>14</v>
      </c>
      <c r="V163" s="72" t="s">
        <v>1937</v>
      </c>
      <c r="W163" s="72" t="s">
        <v>1941</v>
      </c>
      <c r="X163" s="72" t="s">
        <v>404</v>
      </c>
      <c r="Y163" s="72" t="s">
        <v>4</v>
      </c>
      <c r="Z163" s="72" t="s">
        <v>4</v>
      </c>
    </row>
    <row r="164" spans="1:26" ht="18.600000000000001" customHeight="1">
      <c r="A164" s="142" t="str">
        <f>IF(priority(Main[[#This Row],[Comments]])&lt;&gt;0, priority(Main[[#This Row],[Comments]]),"")</f>
        <v/>
      </c>
      <c r="B164" s="90" t="s">
        <v>1027</v>
      </c>
      <c r="C164" s="72" t="s">
        <v>15</v>
      </c>
      <c r="D164" s="73" t="s">
        <v>16</v>
      </c>
      <c r="E164" s="74">
        <v>40611.379872685182</v>
      </c>
      <c r="F164" s="74"/>
      <c r="G164" s="75" t="str">
        <f>IF(stdProdLT(Main[[#This Row],[Comments]])=0.1,"N/A",IF(stdProdLT(Main[[#This Row],[Comments]])=0,"",stdProdLT(Main[[#This Row],[Comments]])))</f>
        <v/>
      </c>
      <c r="H164" s="76" t="str">
        <f>IF(AND(Main[[#This Row],[In Stock Date]]&lt;&gt;"",Main[[#This Row],[Revised Due Date]]&lt;&gt;""),Main[[#This Row],[In Stock Date]]-Main[[#This Row],[Revised Due Date]],"")</f>
        <v/>
      </c>
      <c r="I164" s="72" t="s">
        <v>4</v>
      </c>
      <c r="J164" s="72" t="s">
        <v>4</v>
      </c>
      <c r="K164" s="72" t="s">
        <v>4</v>
      </c>
      <c r="L164" s="74"/>
      <c r="M164" s="77" t="str">
        <f>IF(Main[[#This Row],[Tech Start Date]]&lt;1/1/1990,"",IF(Main[[#This Row],[Class]]="C",WORKDAY(Main[[#This Row],[Tech Start Date]],9),IF(Main[[#This Row],[Class]]="B", WORKDAY(Main[[#This Row],[Tech Start Date]],6),IF(Main[[#This Row],[Class]]="A",WORKDAY(Main[[#This Row],[Tech Start Date]],2),""))))</f>
        <v/>
      </c>
      <c r="N164" s="77" t="str">
        <f>IF(Main[[#This Row],[Tech Start Date]]&lt;1/1/1990,"",IF(Main[[#This Row],[Class]]="C",WORKDAY(Main[[#This Row],[Tech Start Date]],19),IF(Main[[#This Row],[Class]]="B", WORKDAY(Main[[#This Row],[Tech Start Date]],12),IF(Main[[#This Row],[Class]]="A",WORKDAY(Main[[#This Row],[Tech Start Date]],4),""))))</f>
        <v/>
      </c>
      <c r="O164" s="77" t="str">
        <f>IF(Main[[#This Row],[Tech Start Date]]&lt;1/1/1990,"",IF(Main[[#This Row],[Class]]="C",WORKDAY(Main[[#This Row],[Tech Start Date]],23),IF(Main[[#This Row],[Class]]="B", WORKDAY(Main[[#This Row],[Tech Start Date]],15),IF(Main[[#This Row],[Class]]="A",WORKDAY(Main[[#This Row],[Tech Start Date]],5),""))))</f>
        <v/>
      </c>
      <c r="P164" s="77" t="str">
        <f>IF(Main[[#This Row],[Tech Start Date]]&lt;1/1/1990,"",IF(Main[[#This Row],[Class]]="C",WORKDAY(Main[[#This Row],[Tech Start Date]],28),IF(Main[[#This Row],[Class]]="B", WORKDAY(Main[[#This Row],[Tech Start Date]],19),IF(Main[[#This Row],[Class]]="A",WORKDAY(Main[[#This Row],[Tech Start Date]],9),""))))</f>
        <v/>
      </c>
      <c r="Q164" s="74">
        <v>40695</v>
      </c>
      <c r="R164" s="74"/>
      <c r="S164" s="72" t="s">
        <v>17</v>
      </c>
      <c r="T164" s="80" t="s">
        <v>4</v>
      </c>
      <c r="U164" s="72" t="s">
        <v>7</v>
      </c>
      <c r="V164" s="72" t="s">
        <v>1940</v>
      </c>
      <c r="W164" s="72" t="s">
        <v>1942</v>
      </c>
      <c r="X164" s="72" t="s">
        <v>560</v>
      </c>
      <c r="Y164" s="72" t="s">
        <v>3110</v>
      </c>
      <c r="Z164" s="72" t="s">
        <v>4</v>
      </c>
    </row>
    <row r="165" spans="1:26" ht="18.600000000000001" customHeight="1">
      <c r="A165" s="142" t="str">
        <f>IF(priority(Main[[#This Row],[Comments]])&lt;&gt;0, priority(Main[[#This Row],[Comments]]),"")</f>
        <v/>
      </c>
      <c r="B165" s="126" t="s">
        <v>2835</v>
      </c>
      <c r="C165" s="118" t="s">
        <v>216</v>
      </c>
      <c r="D165" s="119" t="s">
        <v>2836</v>
      </c>
      <c r="E165" s="120">
        <v>40914.471192129633</v>
      </c>
      <c r="F165" s="120">
        <v>40928</v>
      </c>
      <c r="G165" s="121" t="str">
        <f>IF(stdProdLT(Main[[#This Row],[Comments]])=0.1,"N/A",IF(stdProdLT(Main[[#This Row],[Comments]])=0,"",stdProdLT(Main[[#This Row],[Comments]])))</f>
        <v/>
      </c>
      <c r="H165" s="122" t="str">
        <f>IF(AND(Main[[#This Row],[In Stock Date]]&lt;&gt;"",Main[[#This Row],[Revised Due Date]]&lt;&gt;""),Main[[#This Row],[In Stock Date]]-Main[[#This Row],[Revised Due Date]],"")</f>
        <v/>
      </c>
      <c r="I165" s="118" t="s">
        <v>4</v>
      </c>
      <c r="J165" s="118" t="s">
        <v>4</v>
      </c>
      <c r="K165" s="118" t="s">
        <v>4</v>
      </c>
      <c r="L165" s="120"/>
      <c r="M165" s="123" t="str">
        <f>IF(Main[[#This Row],[Tech Start Date]]&lt;1/1/1990,"",IF(Main[[#This Row],[Class]]="C",WORKDAY(Main[[#This Row],[Tech Start Date]],9),IF(Main[[#This Row],[Class]]="B", WORKDAY(Main[[#This Row],[Tech Start Date]],6),IF(Main[[#This Row],[Class]]="A",WORKDAY(Main[[#This Row],[Tech Start Date]],2),""))))</f>
        <v/>
      </c>
      <c r="N165" s="123" t="str">
        <f>IF(Main[[#This Row],[Tech Start Date]]&lt;1/1/1990,"",IF(Main[[#This Row],[Class]]="C",WORKDAY(Main[[#This Row],[Tech Start Date]],19),IF(Main[[#This Row],[Class]]="B", WORKDAY(Main[[#This Row],[Tech Start Date]],12),IF(Main[[#This Row],[Class]]="A",WORKDAY(Main[[#This Row],[Tech Start Date]],4),""))))</f>
        <v/>
      </c>
      <c r="O165" s="123" t="str">
        <f>IF(Main[[#This Row],[Tech Start Date]]&lt;1/1/1990,"",IF(Main[[#This Row],[Class]]="C",WORKDAY(Main[[#This Row],[Tech Start Date]],23),IF(Main[[#This Row],[Class]]="B", WORKDAY(Main[[#This Row],[Tech Start Date]],15),IF(Main[[#This Row],[Class]]="A",WORKDAY(Main[[#This Row],[Tech Start Date]],5),""))))</f>
        <v/>
      </c>
      <c r="P165" s="123" t="str">
        <f>IF(Main[[#This Row],[Tech Start Date]]&lt;1/1/1990,"",IF(Main[[#This Row],[Class]]="C",WORKDAY(Main[[#This Row],[Tech Start Date]],28),IF(Main[[#This Row],[Class]]="B", WORKDAY(Main[[#This Row],[Tech Start Date]],19),IF(Main[[#This Row],[Class]]="A",WORKDAY(Main[[#This Row],[Tech Start Date]],9),""))))</f>
        <v/>
      </c>
      <c r="Q165" s="120"/>
      <c r="R165" s="120"/>
      <c r="S165" s="118" t="s">
        <v>6</v>
      </c>
      <c r="T165" s="124" t="s">
        <v>4</v>
      </c>
      <c r="U165" s="118" t="s">
        <v>7</v>
      </c>
      <c r="V165" s="118" t="s">
        <v>1937</v>
      </c>
      <c r="W165" s="118" t="s">
        <v>1945</v>
      </c>
      <c r="X165" s="118" t="s">
        <v>50</v>
      </c>
      <c r="Y165" s="118" t="s">
        <v>3261</v>
      </c>
      <c r="Z165" s="118" t="s">
        <v>4</v>
      </c>
    </row>
    <row r="166" spans="1:26" ht="18.600000000000001" customHeight="1">
      <c r="A166" s="142" t="str">
        <f>IF(priority(Main[[#This Row],[Comments]])&lt;&gt;0, priority(Main[[#This Row],[Comments]]),"")</f>
        <v/>
      </c>
      <c r="B166" s="90" t="s">
        <v>3433</v>
      </c>
      <c r="C166" s="72" t="s">
        <v>138</v>
      </c>
      <c r="D166" s="73" t="s">
        <v>3434</v>
      </c>
      <c r="E166" s="74">
        <v>40924.465787037036</v>
      </c>
      <c r="F166" s="74">
        <v>41008</v>
      </c>
      <c r="G166" s="75" t="str">
        <f>IF(stdProdLT(Main[[#This Row],[Comments]])=0.1,"N/A",IF(stdProdLT(Main[[#This Row],[Comments]])=0,"",stdProdLT(Main[[#This Row],[Comments]])))</f>
        <v/>
      </c>
      <c r="H166" s="76" t="str">
        <f>IF(AND(Main[[#This Row],[In Stock Date]]&lt;&gt;"",Main[[#This Row],[Revised Due Date]]&lt;&gt;""),Main[[#This Row],[In Stock Date]]-Main[[#This Row],[Revised Due Date]],"")</f>
        <v/>
      </c>
      <c r="I166" s="72" t="s">
        <v>4</v>
      </c>
      <c r="J166" s="72" t="s">
        <v>4</v>
      </c>
      <c r="K166" s="72" t="s">
        <v>4</v>
      </c>
      <c r="L166" s="74"/>
      <c r="M166" s="77" t="str">
        <f>IF(Main[[#This Row],[Tech Start Date]]&lt;1/1/1990,"",IF(Main[[#This Row],[Class]]="C",WORKDAY(Main[[#This Row],[Tech Start Date]],9),IF(Main[[#This Row],[Class]]="B", WORKDAY(Main[[#This Row],[Tech Start Date]],6),IF(Main[[#This Row],[Class]]="A",WORKDAY(Main[[#This Row],[Tech Start Date]],2),""))))</f>
        <v/>
      </c>
      <c r="N166" s="77" t="str">
        <f>IF(Main[[#This Row],[Tech Start Date]]&lt;1/1/1990,"",IF(Main[[#This Row],[Class]]="C",WORKDAY(Main[[#This Row],[Tech Start Date]],19),IF(Main[[#This Row],[Class]]="B", WORKDAY(Main[[#This Row],[Tech Start Date]],12),IF(Main[[#This Row],[Class]]="A",WORKDAY(Main[[#This Row],[Tech Start Date]],4),""))))</f>
        <v/>
      </c>
      <c r="O166" s="77" t="str">
        <f>IF(Main[[#This Row],[Tech Start Date]]&lt;1/1/1990,"",IF(Main[[#This Row],[Class]]="C",WORKDAY(Main[[#This Row],[Tech Start Date]],23),IF(Main[[#This Row],[Class]]="B", WORKDAY(Main[[#This Row],[Tech Start Date]],15),IF(Main[[#This Row],[Class]]="A",WORKDAY(Main[[#This Row],[Tech Start Date]],5),""))))</f>
        <v/>
      </c>
      <c r="P166" s="77" t="str">
        <f>IF(Main[[#This Row],[Tech Start Date]]&lt;1/1/1990,"",IF(Main[[#This Row],[Class]]="C",WORKDAY(Main[[#This Row],[Tech Start Date]],28),IF(Main[[#This Row],[Class]]="B", WORKDAY(Main[[#This Row],[Tech Start Date]],19),IF(Main[[#This Row],[Class]]="A",WORKDAY(Main[[#This Row],[Tech Start Date]],9),""))))</f>
        <v/>
      </c>
      <c r="Q166" s="74">
        <v>40935</v>
      </c>
      <c r="R166" s="74"/>
      <c r="S166" s="72" t="s">
        <v>49</v>
      </c>
      <c r="T166" s="80" t="s">
        <v>3435</v>
      </c>
      <c r="U166" s="72" t="s">
        <v>7</v>
      </c>
      <c r="V166" s="72" t="s">
        <v>1947</v>
      </c>
      <c r="W166" s="72" t="s">
        <v>1945</v>
      </c>
      <c r="X166" s="72" t="s">
        <v>3058</v>
      </c>
      <c r="Y166" s="72" t="s">
        <v>3255</v>
      </c>
      <c r="Z166" s="72" t="s">
        <v>4</v>
      </c>
    </row>
    <row r="167" spans="1:26" ht="18.600000000000001" customHeight="1">
      <c r="A167" s="142" t="str">
        <f>IF(priority(Main[[#This Row],[Comments]])&lt;&gt;0, priority(Main[[#This Row],[Comments]]),"")</f>
        <v/>
      </c>
      <c r="B167" s="126" t="s">
        <v>1062</v>
      </c>
      <c r="C167" s="118" t="s">
        <v>31</v>
      </c>
      <c r="D167" s="119" t="s">
        <v>77</v>
      </c>
      <c r="E167" s="120"/>
      <c r="F167" s="120">
        <v>40512</v>
      </c>
      <c r="G167" s="121" t="str">
        <f>IF(stdProdLT(Main[[#This Row],[Comments]])=0.1,"N/A",IF(stdProdLT(Main[[#This Row],[Comments]])=0,"",stdProdLT(Main[[#This Row],[Comments]])))</f>
        <v/>
      </c>
      <c r="H167" s="122" t="str">
        <f>IF(AND(Main[[#This Row],[In Stock Date]]&lt;&gt;"",Main[[#This Row],[Revised Due Date]]&lt;&gt;""),Main[[#This Row],[In Stock Date]]-Main[[#This Row],[Revised Due Date]],"")</f>
        <v/>
      </c>
      <c r="I167" s="118" t="s">
        <v>4</v>
      </c>
      <c r="J167" s="118" t="s">
        <v>4</v>
      </c>
      <c r="K167" s="118" t="s">
        <v>4</v>
      </c>
      <c r="L167" s="120"/>
      <c r="M167" s="123" t="str">
        <f>IF(Main[[#This Row],[Tech Start Date]]&lt;1/1/1990,"",IF(Main[[#This Row],[Class]]="C",WORKDAY(Main[[#This Row],[Tech Start Date]],9),IF(Main[[#This Row],[Class]]="B", WORKDAY(Main[[#This Row],[Tech Start Date]],6),IF(Main[[#This Row],[Class]]="A",WORKDAY(Main[[#This Row],[Tech Start Date]],2),""))))</f>
        <v/>
      </c>
      <c r="N167" s="123" t="str">
        <f>IF(Main[[#This Row],[Tech Start Date]]&lt;1/1/1990,"",IF(Main[[#This Row],[Class]]="C",WORKDAY(Main[[#This Row],[Tech Start Date]],19),IF(Main[[#This Row],[Class]]="B", WORKDAY(Main[[#This Row],[Tech Start Date]],12),IF(Main[[#This Row],[Class]]="A",WORKDAY(Main[[#This Row],[Tech Start Date]],4),""))))</f>
        <v/>
      </c>
      <c r="O167" s="123" t="str">
        <f>IF(Main[[#This Row],[Tech Start Date]]&lt;1/1/1990,"",IF(Main[[#This Row],[Class]]="C",WORKDAY(Main[[#This Row],[Tech Start Date]],23),IF(Main[[#This Row],[Class]]="B", WORKDAY(Main[[#This Row],[Tech Start Date]],15),IF(Main[[#This Row],[Class]]="A",WORKDAY(Main[[#This Row],[Tech Start Date]],5),""))))</f>
        <v/>
      </c>
      <c r="P167" s="123" t="str">
        <f>IF(Main[[#This Row],[Tech Start Date]]&lt;1/1/1990,"",IF(Main[[#This Row],[Class]]="C",WORKDAY(Main[[#This Row],[Tech Start Date]],28),IF(Main[[#This Row],[Class]]="B", WORKDAY(Main[[#This Row],[Tech Start Date]],19),IF(Main[[#This Row],[Class]]="A",WORKDAY(Main[[#This Row],[Tech Start Date]],9),""))))</f>
        <v/>
      </c>
      <c r="Q167" s="120">
        <v>40415</v>
      </c>
      <c r="R167" s="120"/>
      <c r="S167" s="118" t="s">
        <v>11</v>
      </c>
      <c r="T167" s="124" t="s">
        <v>4</v>
      </c>
      <c r="U167" s="118" t="s">
        <v>14</v>
      </c>
      <c r="V167" s="118" t="s">
        <v>1940</v>
      </c>
      <c r="W167" s="118" t="s">
        <v>1943</v>
      </c>
      <c r="X167" s="118" t="s">
        <v>2982</v>
      </c>
      <c r="Y167" s="118" t="s">
        <v>3111</v>
      </c>
      <c r="Z167" s="118" t="s">
        <v>4</v>
      </c>
    </row>
    <row r="168" spans="1:26" ht="18.600000000000001" customHeight="1">
      <c r="A168" s="142" t="str">
        <f>IF(priority(Main[[#This Row],[Comments]])&lt;&gt;0, priority(Main[[#This Row],[Comments]]),"")</f>
        <v/>
      </c>
      <c r="B168" s="90" t="s">
        <v>1063</v>
      </c>
      <c r="C168" s="72" t="s">
        <v>4</v>
      </c>
      <c r="D168" s="73" t="s">
        <v>78</v>
      </c>
      <c r="E168" s="74"/>
      <c r="F168" s="74"/>
      <c r="G168" s="75" t="str">
        <f>IF(stdProdLT(Main[[#This Row],[Comments]])=0.1,"N/A",IF(stdProdLT(Main[[#This Row],[Comments]])=0,"",stdProdLT(Main[[#This Row],[Comments]])))</f>
        <v/>
      </c>
      <c r="H168" s="76" t="str">
        <f>IF(AND(Main[[#This Row],[In Stock Date]]&lt;&gt;"",Main[[#This Row],[Revised Due Date]]&lt;&gt;""),Main[[#This Row],[In Stock Date]]-Main[[#This Row],[Revised Due Date]],"")</f>
        <v/>
      </c>
      <c r="I168" s="72" t="s">
        <v>4</v>
      </c>
      <c r="J168" s="72" t="s">
        <v>4</v>
      </c>
      <c r="K168" s="72" t="s">
        <v>4</v>
      </c>
      <c r="L168" s="74"/>
      <c r="M168" s="77" t="str">
        <f>IF(Main[[#This Row],[Tech Start Date]]&lt;1/1/1990,"",IF(Main[[#This Row],[Class]]="C",WORKDAY(Main[[#This Row],[Tech Start Date]],9),IF(Main[[#This Row],[Class]]="B", WORKDAY(Main[[#This Row],[Tech Start Date]],6),IF(Main[[#This Row],[Class]]="A",WORKDAY(Main[[#This Row],[Tech Start Date]],2),""))))</f>
        <v/>
      </c>
      <c r="N168" s="77" t="str">
        <f>IF(Main[[#This Row],[Tech Start Date]]&lt;1/1/1990,"",IF(Main[[#This Row],[Class]]="C",WORKDAY(Main[[#This Row],[Tech Start Date]],19),IF(Main[[#This Row],[Class]]="B", WORKDAY(Main[[#This Row],[Tech Start Date]],12),IF(Main[[#This Row],[Class]]="A",WORKDAY(Main[[#This Row],[Tech Start Date]],4),""))))</f>
        <v/>
      </c>
      <c r="O168" s="77" t="str">
        <f>IF(Main[[#This Row],[Tech Start Date]]&lt;1/1/1990,"",IF(Main[[#This Row],[Class]]="C",WORKDAY(Main[[#This Row],[Tech Start Date]],23),IF(Main[[#This Row],[Class]]="B", WORKDAY(Main[[#This Row],[Tech Start Date]],15),IF(Main[[#This Row],[Class]]="A",WORKDAY(Main[[#This Row],[Tech Start Date]],5),""))))</f>
        <v/>
      </c>
      <c r="P168" s="77" t="str">
        <f>IF(Main[[#This Row],[Tech Start Date]]&lt;1/1/1990,"",IF(Main[[#This Row],[Class]]="C",WORKDAY(Main[[#This Row],[Tech Start Date]],28),IF(Main[[#This Row],[Class]]="B", WORKDAY(Main[[#This Row],[Tech Start Date]],19),IF(Main[[#This Row],[Class]]="A",WORKDAY(Main[[#This Row],[Tech Start Date]],9),""))))</f>
        <v/>
      </c>
      <c r="Q168" s="74"/>
      <c r="R168" s="74"/>
      <c r="S168" s="72" t="s">
        <v>49</v>
      </c>
      <c r="T168" s="80" t="s">
        <v>4</v>
      </c>
      <c r="U168" s="72" t="s">
        <v>14</v>
      </c>
      <c r="V168" s="72" t="s">
        <v>1937</v>
      </c>
      <c r="W168" s="72" t="s">
        <v>1941</v>
      </c>
      <c r="X168" s="72" t="s">
        <v>311</v>
      </c>
      <c r="Y168" s="72" t="s">
        <v>4</v>
      </c>
      <c r="Z168" s="72" t="s">
        <v>4</v>
      </c>
    </row>
    <row r="169" spans="1:26" ht="18.600000000000001" customHeight="1">
      <c r="A169" s="142" t="str">
        <f>IF(priority(Main[[#This Row],[Comments]])&lt;&gt;0, priority(Main[[#This Row],[Comments]]),"")</f>
        <v/>
      </c>
      <c r="B169" s="90" t="s">
        <v>2115</v>
      </c>
      <c r="C169" s="72" t="s">
        <v>2116</v>
      </c>
      <c r="D169" s="73" t="s">
        <v>2117</v>
      </c>
      <c r="E169" s="74"/>
      <c r="F169" s="74">
        <v>40831</v>
      </c>
      <c r="G169" s="75" t="str">
        <f>IF(stdProdLT(Main[[#This Row],[Comments]])=0.1,"N/A",IF(stdProdLT(Main[[#This Row],[Comments]])=0,"",stdProdLT(Main[[#This Row],[Comments]])))</f>
        <v/>
      </c>
      <c r="H169" s="76" t="str">
        <f>IF(AND(Main[[#This Row],[In Stock Date]]&lt;&gt;"",Main[[#This Row],[Revised Due Date]]&lt;&gt;""),Main[[#This Row],[In Stock Date]]-Main[[#This Row],[Revised Due Date]],"")</f>
        <v/>
      </c>
      <c r="I169" s="72" t="s">
        <v>4</v>
      </c>
      <c r="J169" s="72" t="s">
        <v>4</v>
      </c>
      <c r="K169" s="72" t="s">
        <v>4</v>
      </c>
      <c r="L169" s="74"/>
      <c r="M169" s="77" t="str">
        <f>IF(Main[[#This Row],[Tech Start Date]]&lt;1/1/1990,"",IF(Main[[#This Row],[Class]]="C",WORKDAY(Main[[#This Row],[Tech Start Date]],9),IF(Main[[#This Row],[Class]]="B", WORKDAY(Main[[#This Row],[Tech Start Date]],6),IF(Main[[#This Row],[Class]]="A",WORKDAY(Main[[#This Row],[Tech Start Date]],2),""))))</f>
        <v/>
      </c>
      <c r="N169" s="77" t="str">
        <f>IF(Main[[#This Row],[Tech Start Date]]&lt;1/1/1990,"",IF(Main[[#This Row],[Class]]="C",WORKDAY(Main[[#This Row],[Tech Start Date]],19),IF(Main[[#This Row],[Class]]="B", WORKDAY(Main[[#This Row],[Tech Start Date]],12),IF(Main[[#This Row],[Class]]="A",WORKDAY(Main[[#This Row],[Tech Start Date]],4),""))))</f>
        <v/>
      </c>
      <c r="O169" s="77" t="str">
        <f>IF(Main[[#This Row],[Tech Start Date]]&lt;1/1/1990,"",IF(Main[[#This Row],[Class]]="C",WORKDAY(Main[[#This Row],[Tech Start Date]],23),IF(Main[[#This Row],[Class]]="B", WORKDAY(Main[[#This Row],[Tech Start Date]],15),IF(Main[[#This Row],[Class]]="A",WORKDAY(Main[[#This Row],[Tech Start Date]],5),""))))</f>
        <v/>
      </c>
      <c r="P169" s="77" t="str">
        <f>IF(Main[[#This Row],[Tech Start Date]]&lt;1/1/1990,"",IF(Main[[#This Row],[Class]]="C",WORKDAY(Main[[#This Row],[Tech Start Date]],28),IF(Main[[#This Row],[Class]]="B", WORKDAY(Main[[#This Row],[Tech Start Date]],19),IF(Main[[#This Row],[Class]]="A",WORKDAY(Main[[#This Row],[Tech Start Date]],9),""))))</f>
        <v/>
      </c>
      <c r="Q169" s="74">
        <v>40786</v>
      </c>
      <c r="R169" s="74"/>
      <c r="S169" s="72" t="s">
        <v>11</v>
      </c>
      <c r="T169" s="80" t="s">
        <v>4</v>
      </c>
      <c r="U169" s="72" t="s">
        <v>12</v>
      </c>
      <c r="V169" s="72" t="s">
        <v>1940</v>
      </c>
      <c r="W169" s="72" t="s">
        <v>1945</v>
      </c>
      <c r="X169" s="72" t="s">
        <v>2983</v>
      </c>
      <c r="Y169" s="72" t="s">
        <v>3112</v>
      </c>
      <c r="Z169" s="72" t="s">
        <v>4</v>
      </c>
    </row>
    <row r="170" spans="1:26" ht="18.600000000000001" customHeight="1">
      <c r="A170" s="142" t="str">
        <f>IF(priority(Main[[#This Row],[Comments]])&lt;&gt;0, priority(Main[[#This Row],[Comments]]),"")</f>
        <v/>
      </c>
      <c r="B170" s="90" t="s">
        <v>2244</v>
      </c>
      <c r="C170" s="72" t="s">
        <v>2245</v>
      </c>
      <c r="D170" s="73" t="s">
        <v>2246</v>
      </c>
      <c r="E170" s="74">
        <v>40798.585381944446</v>
      </c>
      <c r="F170" s="74">
        <v>40848</v>
      </c>
      <c r="G170" s="75" t="str">
        <f>IF(stdProdLT(Main[[#This Row],[Comments]])=0.1,"N/A",IF(stdProdLT(Main[[#This Row],[Comments]])=0,"",stdProdLT(Main[[#This Row],[Comments]])))</f>
        <v/>
      </c>
      <c r="H170" s="76" t="str">
        <f>IF(AND(Main[[#This Row],[In Stock Date]]&lt;&gt;"",Main[[#This Row],[Revised Due Date]]&lt;&gt;""),Main[[#This Row],[In Stock Date]]-Main[[#This Row],[Revised Due Date]],"")</f>
        <v/>
      </c>
      <c r="I170" s="72" t="s">
        <v>4</v>
      </c>
      <c r="J170" s="72" t="s">
        <v>4</v>
      </c>
      <c r="K170" s="72" t="s">
        <v>4</v>
      </c>
      <c r="L170" s="74"/>
      <c r="M170" s="77" t="str">
        <f>IF(Main[[#This Row],[Tech Start Date]]&lt;1/1/1990,"",IF(Main[[#This Row],[Class]]="C",WORKDAY(Main[[#This Row],[Tech Start Date]],9),IF(Main[[#This Row],[Class]]="B", WORKDAY(Main[[#This Row],[Tech Start Date]],6),IF(Main[[#This Row],[Class]]="A",WORKDAY(Main[[#This Row],[Tech Start Date]],2),""))))</f>
        <v/>
      </c>
      <c r="N170" s="77" t="str">
        <f>IF(Main[[#This Row],[Tech Start Date]]&lt;1/1/1990,"",IF(Main[[#This Row],[Class]]="C",WORKDAY(Main[[#This Row],[Tech Start Date]],19),IF(Main[[#This Row],[Class]]="B", WORKDAY(Main[[#This Row],[Tech Start Date]],12),IF(Main[[#This Row],[Class]]="A",WORKDAY(Main[[#This Row],[Tech Start Date]],4),""))))</f>
        <v/>
      </c>
      <c r="O170" s="77" t="str">
        <f>IF(Main[[#This Row],[Tech Start Date]]&lt;1/1/1990,"",IF(Main[[#This Row],[Class]]="C",WORKDAY(Main[[#This Row],[Tech Start Date]],23),IF(Main[[#This Row],[Class]]="B", WORKDAY(Main[[#This Row],[Tech Start Date]],15),IF(Main[[#This Row],[Class]]="A",WORKDAY(Main[[#This Row],[Tech Start Date]],5),""))))</f>
        <v/>
      </c>
      <c r="P170" s="77" t="str">
        <f>IF(Main[[#This Row],[Tech Start Date]]&lt;1/1/1990,"",IF(Main[[#This Row],[Class]]="C",WORKDAY(Main[[#This Row],[Tech Start Date]],28),IF(Main[[#This Row],[Class]]="B", WORKDAY(Main[[#This Row],[Tech Start Date]],19),IF(Main[[#This Row],[Class]]="A",WORKDAY(Main[[#This Row],[Tech Start Date]],9),""))))</f>
        <v/>
      </c>
      <c r="Q170" s="74"/>
      <c r="R170" s="74"/>
      <c r="S170" s="72" t="s">
        <v>49</v>
      </c>
      <c r="T170" s="80" t="s">
        <v>4</v>
      </c>
      <c r="U170" s="72" t="s">
        <v>7</v>
      </c>
      <c r="V170" s="72" t="s">
        <v>1937</v>
      </c>
      <c r="W170" s="72" t="s">
        <v>1942</v>
      </c>
      <c r="X170" s="72" t="s">
        <v>2984</v>
      </c>
      <c r="Y170" s="72" t="s">
        <v>3113</v>
      </c>
      <c r="Z170" s="72" t="s">
        <v>4</v>
      </c>
    </row>
    <row r="171" spans="1:26" ht="18.600000000000001" customHeight="1">
      <c r="A171" s="142" t="str">
        <f>IF(priority(Main[[#This Row],[Comments]])&lt;&gt;0, priority(Main[[#This Row],[Comments]]),"")</f>
        <v/>
      </c>
      <c r="B171" s="90" t="s">
        <v>1064</v>
      </c>
      <c r="C171" s="72" t="s">
        <v>79</v>
      </c>
      <c r="D171" s="73" t="s">
        <v>80</v>
      </c>
      <c r="E171" s="74"/>
      <c r="F171" s="74"/>
      <c r="G171" s="75" t="str">
        <f>IF(stdProdLT(Main[[#This Row],[Comments]])=0.1,"N/A",IF(stdProdLT(Main[[#This Row],[Comments]])=0,"",stdProdLT(Main[[#This Row],[Comments]])))</f>
        <v/>
      </c>
      <c r="H171" s="76" t="str">
        <f>IF(AND(Main[[#This Row],[In Stock Date]]&lt;&gt;"",Main[[#This Row],[Revised Due Date]]&lt;&gt;""),Main[[#This Row],[In Stock Date]]-Main[[#This Row],[Revised Due Date]],"")</f>
        <v/>
      </c>
      <c r="I171" s="72" t="s">
        <v>81</v>
      </c>
      <c r="J171" s="72" t="s">
        <v>4</v>
      </c>
      <c r="K171" s="81" t="s">
        <v>4</v>
      </c>
      <c r="L171" s="74"/>
      <c r="M171" s="77" t="str">
        <f>IF(Main[[#This Row],[Tech Start Date]]&lt;1/1/1990,"",IF(Main[[#This Row],[Class]]="C",WORKDAY(Main[[#This Row],[Tech Start Date]],9),IF(Main[[#This Row],[Class]]="B", WORKDAY(Main[[#This Row],[Tech Start Date]],6),IF(Main[[#This Row],[Class]]="A",WORKDAY(Main[[#This Row],[Tech Start Date]],2),""))))</f>
        <v/>
      </c>
      <c r="N171" s="77" t="str">
        <f>IF(Main[[#This Row],[Tech Start Date]]&lt;1/1/1990,"",IF(Main[[#This Row],[Class]]="C",WORKDAY(Main[[#This Row],[Tech Start Date]],19),IF(Main[[#This Row],[Class]]="B", WORKDAY(Main[[#This Row],[Tech Start Date]],12),IF(Main[[#This Row],[Class]]="A",WORKDAY(Main[[#This Row],[Tech Start Date]],4),""))))</f>
        <v/>
      </c>
      <c r="O171" s="77" t="str">
        <f>IF(Main[[#This Row],[Tech Start Date]]&lt;1/1/1990,"",IF(Main[[#This Row],[Class]]="C",WORKDAY(Main[[#This Row],[Tech Start Date]],23),IF(Main[[#This Row],[Class]]="B", WORKDAY(Main[[#This Row],[Tech Start Date]],15),IF(Main[[#This Row],[Class]]="A",WORKDAY(Main[[#This Row],[Tech Start Date]],5),""))))</f>
        <v/>
      </c>
      <c r="P171" s="77" t="str">
        <f>IF(Main[[#This Row],[Tech Start Date]]&lt;1/1/1990,"",IF(Main[[#This Row],[Class]]="C",WORKDAY(Main[[#This Row],[Tech Start Date]],28),IF(Main[[#This Row],[Class]]="B", WORKDAY(Main[[#This Row],[Tech Start Date]],19),IF(Main[[#This Row],[Class]]="A",WORKDAY(Main[[#This Row],[Tech Start Date]],9),""))))</f>
        <v/>
      </c>
      <c r="Q171" s="74">
        <v>39986</v>
      </c>
      <c r="R171" s="74"/>
      <c r="S171" s="72" t="s">
        <v>11</v>
      </c>
      <c r="T171" s="80" t="s">
        <v>4</v>
      </c>
      <c r="U171" s="72" t="s">
        <v>14</v>
      </c>
      <c r="V171" s="72" t="s">
        <v>1940</v>
      </c>
      <c r="W171" s="72" t="s">
        <v>1948</v>
      </c>
      <c r="X171" s="72" t="s">
        <v>2972</v>
      </c>
      <c r="Y171" s="72" t="s">
        <v>3114</v>
      </c>
      <c r="Z171" s="72" t="s">
        <v>4</v>
      </c>
    </row>
    <row r="172" spans="1:26" ht="18.600000000000001" customHeight="1">
      <c r="A172" s="142" t="str">
        <f>IF(priority(Main[[#This Row],[Comments]])&lt;&gt;0, priority(Main[[#This Row],[Comments]]),"")</f>
        <v/>
      </c>
      <c r="B172" s="90" t="s">
        <v>1065</v>
      </c>
      <c r="C172" s="72" t="s">
        <v>4</v>
      </c>
      <c r="D172" s="73" t="s">
        <v>82</v>
      </c>
      <c r="E172" s="74"/>
      <c r="F172" s="74"/>
      <c r="G172" s="75" t="str">
        <f>IF(stdProdLT(Main[[#This Row],[Comments]])=0.1,"N/A",IF(stdProdLT(Main[[#This Row],[Comments]])=0,"",stdProdLT(Main[[#This Row],[Comments]])))</f>
        <v/>
      </c>
      <c r="H172" s="76" t="str">
        <f>IF(AND(Main[[#This Row],[In Stock Date]]&lt;&gt;"",Main[[#This Row],[Revised Due Date]]&lt;&gt;""),Main[[#This Row],[In Stock Date]]-Main[[#This Row],[Revised Due Date]],"")</f>
        <v/>
      </c>
      <c r="I172" s="72" t="s">
        <v>4</v>
      </c>
      <c r="J172" s="72" t="s">
        <v>4</v>
      </c>
      <c r="K172" s="81" t="s">
        <v>4</v>
      </c>
      <c r="L172" s="74"/>
      <c r="M172" s="77" t="str">
        <f>IF(Main[[#This Row],[Tech Start Date]]&lt;1/1/1990,"",IF(Main[[#This Row],[Class]]="C",WORKDAY(Main[[#This Row],[Tech Start Date]],9),IF(Main[[#This Row],[Class]]="B", WORKDAY(Main[[#This Row],[Tech Start Date]],6),IF(Main[[#This Row],[Class]]="A",WORKDAY(Main[[#This Row],[Tech Start Date]],2),""))))</f>
        <v/>
      </c>
      <c r="N172" s="77" t="str">
        <f>IF(Main[[#This Row],[Tech Start Date]]&lt;1/1/1990,"",IF(Main[[#This Row],[Class]]="C",WORKDAY(Main[[#This Row],[Tech Start Date]],19),IF(Main[[#This Row],[Class]]="B", WORKDAY(Main[[#This Row],[Tech Start Date]],12),IF(Main[[#This Row],[Class]]="A",WORKDAY(Main[[#This Row],[Tech Start Date]],4),""))))</f>
        <v/>
      </c>
      <c r="O172" s="77" t="str">
        <f>IF(Main[[#This Row],[Tech Start Date]]&lt;1/1/1990,"",IF(Main[[#This Row],[Class]]="C",WORKDAY(Main[[#This Row],[Tech Start Date]],23),IF(Main[[#This Row],[Class]]="B", WORKDAY(Main[[#This Row],[Tech Start Date]],15),IF(Main[[#This Row],[Class]]="A",WORKDAY(Main[[#This Row],[Tech Start Date]],5),""))))</f>
        <v/>
      </c>
      <c r="P172" s="77" t="str">
        <f>IF(Main[[#This Row],[Tech Start Date]]&lt;1/1/1990,"",IF(Main[[#This Row],[Class]]="C",WORKDAY(Main[[#This Row],[Tech Start Date]],28),IF(Main[[#This Row],[Class]]="B", WORKDAY(Main[[#This Row],[Tech Start Date]],19),IF(Main[[#This Row],[Class]]="A",WORKDAY(Main[[#This Row],[Tech Start Date]],9),""))))</f>
        <v/>
      </c>
      <c r="Q172" s="74">
        <v>40602</v>
      </c>
      <c r="R172" s="74"/>
      <c r="S172" s="72" t="s">
        <v>6</v>
      </c>
      <c r="T172" s="80" t="s">
        <v>4</v>
      </c>
      <c r="U172" s="72" t="s">
        <v>14</v>
      </c>
      <c r="V172" s="72" t="s">
        <v>1947</v>
      </c>
      <c r="W172" s="72" t="s">
        <v>1941</v>
      </c>
      <c r="X172" s="72" t="s">
        <v>30</v>
      </c>
      <c r="Y172" s="72" t="s">
        <v>3115</v>
      </c>
      <c r="Z172" s="72" t="s">
        <v>4</v>
      </c>
    </row>
    <row r="173" spans="1:26" ht="18.600000000000001" customHeight="1">
      <c r="A173" s="142" t="str">
        <f>IF(priority(Main[[#This Row],[Comments]])&lt;&gt;0, priority(Main[[#This Row],[Comments]]),"")</f>
        <v/>
      </c>
      <c r="B173" s="139" t="s">
        <v>2762</v>
      </c>
      <c r="C173" s="132" t="s">
        <v>2763</v>
      </c>
      <c r="D173" s="133" t="s">
        <v>2764</v>
      </c>
      <c r="E173" s="134"/>
      <c r="F173" s="134"/>
      <c r="G173" s="135" t="str">
        <f>IF(stdProdLT(Main[[#This Row],[Comments]])=0.1,"N/A",IF(stdProdLT(Main[[#This Row],[Comments]])=0,"",stdProdLT(Main[[#This Row],[Comments]])))</f>
        <v/>
      </c>
      <c r="H173" s="136" t="str">
        <f>IF(AND(Main[[#This Row],[In Stock Date]]&lt;&gt;"",Main[[#This Row],[Revised Due Date]]&lt;&gt;""),Main[[#This Row],[In Stock Date]]-Main[[#This Row],[Revised Due Date]],"")</f>
        <v/>
      </c>
      <c r="I173" s="132" t="s">
        <v>4</v>
      </c>
      <c r="J173" s="132" t="s">
        <v>4</v>
      </c>
      <c r="K173" s="132" t="s">
        <v>4</v>
      </c>
      <c r="L173" s="134"/>
      <c r="M173" s="137" t="str">
        <f>IF(Main[[#This Row],[Tech Start Date]]&lt;1/1/1990,"",IF(Main[[#This Row],[Class]]="C",WORKDAY(Main[[#This Row],[Tech Start Date]],9),IF(Main[[#This Row],[Class]]="B", WORKDAY(Main[[#This Row],[Tech Start Date]],6),IF(Main[[#This Row],[Class]]="A",WORKDAY(Main[[#This Row],[Tech Start Date]],2),""))))</f>
        <v/>
      </c>
      <c r="N173" s="137" t="str">
        <f>IF(Main[[#This Row],[Tech Start Date]]&lt;1/1/1990,"",IF(Main[[#This Row],[Class]]="C",WORKDAY(Main[[#This Row],[Tech Start Date]],19),IF(Main[[#This Row],[Class]]="B", WORKDAY(Main[[#This Row],[Tech Start Date]],12),IF(Main[[#This Row],[Class]]="A",WORKDAY(Main[[#This Row],[Tech Start Date]],4),""))))</f>
        <v/>
      </c>
      <c r="O173" s="137" t="str">
        <f>IF(Main[[#This Row],[Tech Start Date]]&lt;1/1/1990,"",IF(Main[[#This Row],[Class]]="C",WORKDAY(Main[[#This Row],[Tech Start Date]],23),IF(Main[[#This Row],[Class]]="B", WORKDAY(Main[[#This Row],[Tech Start Date]],15),IF(Main[[#This Row],[Class]]="A",WORKDAY(Main[[#This Row],[Tech Start Date]],5),""))))</f>
        <v/>
      </c>
      <c r="P173" s="137" t="str">
        <f>IF(Main[[#This Row],[Tech Start Date]]&lt;1/1/1990,"",IF(Main[[#This Row],[Class]]="C",WORKDAY(Main[[#This Row],[Tech Start Date]],28),IF(Main[[#This Row],[Class]]="B", WORKDAY(Main[[#This Row],[Tech Start Date]],19),IF(Main[[#This Row],[Class]]="A",WORKDAY(Main[[#This Row],[Tech Start Date]],9),""))))</f>
        <v/>
      </c>
      <c r="Q173" s="134"/>
      <c r="R173" s="134"/>
      <c r="S173" s="132" t="s">
        <v>6</v>
      </c>
      <c r="T173" s="138" t="s">
        <v>4</v>
      </c>
      <c r="U173" s="132" t="s">
        <v>14</v>
      </c>
      <c r="V173" s="132" t="s">
        <v>1940</v>
      </c>
      <c r="W173" s="132" t="s">
        <v>1945</v>
      </c>
      <c r="X173" s="132" t="s">
        <v>897</v>
      </c>
      <c r="Y173" s="132" t="s">
        <v>3116</v>
      </c>
      <c r="Z173" s="132" t="s">
        <v>4</v>
      </c>
    </row>
    <row r="174" spans="1:26" ht="18.600000000000001" customHeight="1">
      <c r="A174" s="142" t="str">
        <f>IF(priority(Main[[#This Row],[Comments]])&lt;&gt;0, priority(Main[[#This Row],[Comments]]),"")</f>
        <v/>
      </c>
      <c r="B174" s="139" t="s">
        <v>1057</v>
      </c>
      <c r="C174" s="132" t="s">
        <v>83</v>
      </c>
      <c r="D174" s="133" t="s">
        <v>84</v>
      </c>
      <c r="E174" s="134"/>
      <c r="F174" s="134"/>
      <c r="G174" s="135" t="str">
        <f>IF(stdProdLT(Main[[#This Row],[Comments]])=0.1,"N/A",IF(stdProdLT(Main[[#This Row],[Comments]])=0,"",stdProdLT(Main[[#This Row],[Comments]])))</f>
        <v/>
      </c>
      <c r="H174" s="136" t="str">
        <f>IF(AND(Main[[#This Row],[In Stock Date]]&lt;&gt;"",Main[[#This Row],[Revised Due Date]]&lt;&gt;""),Main[[#This Row],[In Stock Date]]-Main[[#This Row],[Revised Due Date]],"")</f>
        <v/>
      </c>
      <c r="I174" s="132" t="s">
        <v>4</v>
      </c>
      <c r="J174" s="132" t="s">
        <v>4</v>
      </c>
      <c r="K174" s="132" t="s">
        <v>4</v>
      </c>
      <c r="L174" s="134"/>
      <c r="M174" s="137" t="str">
        <f>IF(Main[[#This Row],[Tech Start Date]]&lt;1/1/1990,"",IF(Main[[#This Row],[Class]]="C",WORKDAY(Main[[#This Row],[Tech Start Date]],9),IF(Main[[#This Row],[Class]]="B", WORKDAY(Main[[#This Row],[Tech Start Date]],6),IF(Main[[#This Row],[Class]]="A",WORKDAY(Main[[#This Row],[Tech Start Date]],2),""))))</f>
        <v/>
      </c>
      <c r="N174" s="137" t="str">
        <f>IF(Main[[#This Row],[Tech Start Date]]&lt;1/1/1990,"",IF(Main[[#This Row],[Class]]="C",WORKDAY(Main[[#This Row],[Tech Start Date]],19),IF(Main[[#This Row],[Class]]="B", WORKDAY(Main[[#This Row],[Tech Start Date]],12),IF(Main[[#This Row],[Class]]="A",WORKDAY(Main[[#This Row],[Tech Start Date]],4),""))))</f>
        <v/>
      </c>
      <c r="O174" s="137" t="str">
        <f>IF(Main[[#This Row],[Tech Start Date]]&lt;1/1/1990,"",IF(Main[[#This Row],[Class]]="C",WORKDAY(Main[[#This Row],[Tech Start Date]],23),IF(Main[[#This Row],[Class]]="B", WORKDAY(Main[[#This Row],[Tech Start Date]],15),IF(Main[[#This Row],[Class]]="A",WORKDAY(Main[[#This Row],[Tech Start Date]],5),""))))</f>
        <v/>
      </c>
      <c r="P174" s="137" t="str">
        <f>IF(Main[[#This Row],[Tech Start Date]]&lt;1/1/1990,"",IF(Main[[#This Row],[Class]]="C",WORKDAY(Main[[#This Row],[Tech Start Date]],28),IF(Main[[#This Row],[Class]]="B", WORKDAY(Main[[#This Row],[Tech Start Date]],19),IF(Main[[#This Row],[Class]]="A",WORKDAY(Main[[#This Row],[Tech Start Date]],9),""))))</f>
        <v/>
      </c>
      <c r="Q174" s="134">
        <v>40259</v>
      </c>
      <c r="R174" s="134"/>
      <c r="S174" s="132" t="s">
        <v>11</v>
      </c>
      <c r="T174" s="138" t="s">
        <v>4</v>
      </c>
      <c r="U174" s="132" t="s">
        <v>14</v>
      </c>
      <c r="V174" s="132" t="s">
        <v>1937</v>
      </c>
      <c r="W174" s="132" t="s">
        <v>1948</v>
      </c>
      <c r="X174" s="132" t="s">
        <v>2969</v>
      </c>
      <c r="Y174" s="132" t="s">
        <v>4</v>
      </c>
      <c r="Z174" s="132" t="s">
        <v>4</v>
      </c>
    </row>
    <row r="175" spans="1:26" ht="18.600000000000001" customHeight="1">
      <c r="A175" s="146" t="str">
        <f>IF(priority(Main[[#This Row],[Comments]])&lt;&gt;0, priority(Main[[#This Row],[Comments]]),"")</f>
        <v/>
      </c>
      <c r="B175" s="139" t="s">
        <v>1769</v>
      </c>
      <c r="C175" s="132" t="s">
        <v>4</v>
      </c>
      <c r="D175" s="133" t="s">
        <v>2365</v>
      </c>
      <c r="E175" s="134"/>
      <c r="F175" s="134"/>
      <c r="G175" s="135" t="str">
        <f>IF(stdProdLT(Main[[#This Row],[Comments]])=0.1,"N/A",IF(stdProdLT(Main[[#This Row],[Comments]])=0,"",stdProdLT(Main[[#This Row],[Comments]])))</f>
        <v/>
      </c>
      <c r="H175" s="136" t="str">
        <f>IF(AND(Main[[#This Row],[In Stock Date]]&lt;&gt;"",Main[[#This Row],[Revised Due Date]]&lt;&gt;""),Main[[#This Row],[In Stock Date]]-Main[[#This Row],[Revised Due Date]],"")</f>
        <v/>
      </c>
      <c r="I175" s="132" t="s">
        <v>131</v>
      </c>
      <c r="J175" s="132" t="s">
        <v>70</v>
      </c>
      <c r="K175" s="132" t="s">
        <v>1946</v>
      </c>
      <c r="L175" s="134"/>
      <c r="M175" s="137" t="str">
        <f>IF(Main[[#This Row],[Tech Start Date]]&lt;1/1/1990,"",IF(Main[[#This Row],[Class]]="C",WORKDAY(Main[[#This Row],[Tech Start Date]],9),IF(Main[[#This Row],[Class]]="B", WORKDAY(Main[[#This Row],[Tech Start Date]],6),IF(Main[[#This Row],[Class]]="A",WORKDAY(Main[[#This Row],[Tech Start Date]],2),""))))</f>
        <v/>
      </c>
      <c r="N175" s="137" t="str">
        <f>IF(Main[[#This Row],[Tech Start Date]]&lt;1/1/1990,"",IF(Main[[#This Row],[Class]]="C",WORKDAY(Main[[#This Row],[Tech Start Date]],19),IF(Main[[#This Row],[Class]]="B", WORKDAY(Main[[#This Row],[Tech Start Date]],12),IF(Main[[#This Row],[Class]]="A",WORKDAY(Main[[#This Row],[Tech Start Date]],4),""))))</f>
        <v/>
      </c>
      <c r="O175" s="137" t="str">
        <f>IF(Main[[#This Row],[Tech Start Date]]&lt;1/1/1990,"",IF(Main[[#This Row],[Class]]="C",WORKDAY(Main[[#This Row],[Tech Start Date]],23),IF(Main[[#This Row],[Class]]="B", WORKDAY(Main[[#This Row],[Tech Start Date]],15),IF(Main[[#This Row],[Class]]="A",WORKDAY(Main[[#This Row],[Tech Start Date]],5),""))))</f>
        <v/>
      </c>
      <c r="P175" s="137" t="str">
        <f>IF(Main[[#This Row],[Tech Start Date]]&lt;1/1/1990,"",IF(Main[[#This Row],[Class]]="C",WORKDAY(Main[[#This Row],[Tech Start Date]],28),IF(Main[[#This Row],[Class]]="B", WORKDAY(Main[[#This Row],[Tech Start Date]],19),IF(Main[[#This Row],[Class]]="A",WORKDAY(Main[[#This Row],[Tech Start Date]],9),""))))</f>
        <v/>
      </c>
      <c r="Q175" s="134">
        <v>40786</v>
      </c>
      <c r="R175" s="134"/>
      <c r="S175" s="132" t="s">
        <v>6</v>
      </c>
      <c r="T175" s="138" t="s">
        <v>4</v>
      </c>
      <c r="U175" s="132" t="s">
        <v>14</v>
      </c>
      <c r="V175" s="132" t="s">
        <v>1940</v>
      </c>
      <c r="W175" s="132" t="s">
        <v>1941</v>
      </c>
      <c r="X175" s="132" t="s">
        <v>404</v>
      </c>
      <c r="Y175" s="132" t="s">
        <v>4</v>
      </c>
      <c r="Z175" s="132" t="s">
        <v>44</v>
      </c>
    </row>
    <row r="176" spans="1:26" ht="18.600000000000001" customHeight="1">
      <c r="A176" s="142" t="str">
        <f>IF(priority(Main[[#This Row],[Comments]])&lt;&gt;0, priority(Main[[#This Row],[Comments]]),"")</f>
        <v/>
      </c>
      <c r="B176" s="139" t="s">
        <v>1969</v>
      </c>
      <c r="C176" s="132" t="s">
        <v>4</v>
      </c>
      <c r="D176" s="133" t="s">
        <v>2473</v>
      </c>
      <c r="E176" s="134">
        <v>40721.395208333335</v>
      </c>
      <c r="F176" s="134"/>
      <c r="G176" s="135" t="str">
        <f>IF(stdProdLT(Main[[#This Row],[Comments]])=0.1,"N/A",IF(stdProdLT(Main[[#This Row],[Comments]])=0,"",stdProdLT(Main[[#This Row],[Comments]])))</f>
        <v/>
      </c>
      <c r="H176" s="136" t="str">
        <f>IF(AND(Main[[#This Row],[In Stock Date]]&lt;&gt;"",Main[[#This Row],[Revised Due Date]]&lt;&gt;""),Main[[#This Row],[In Stock Date]]-Main[[#This Row],[Revised Due Date]],"")</f>
        <v/>
      </c>
      <c r="I176" s="132" t="s">
        <v>69</v>
      </c>
      <c r="J176" s="132" t="s">
        <v>21</v>
      </c>
      <c r="K176" s="132" t="s">
        <v>1946</v>
      </c>
      <c r="L176" s="134"/>
      <c r="M176" s="137" t="str">
        <f>IF(Main[[#This Row],[Tech Start Date]]&lt;1/1/1990,"",IF(Main[[#This Row],[Class]]="C",WORKDAY(Main[[#This Row],[Tech Start Date]],9),IF(Main[[#This Row],[Class]]="B", WORKDAY(Main[[#This Row],[Tech Start Date]],6),IF(Main[[#This Row],[Class]]="A",WORKDAY(Main[[#This Row],[Tech Start Date]],2),""))))</f>
        <v/>
      </c>
      <c r="N176" s="137" t="str">
        <f>IF(Main[[#This Row],[Tech Start Date]]&lt;1/1/1990,"",IF(Main[[#This Row],[Class]]="C",WORKDAY(Main[[#This Row],[Tech Start Date]],19),IF(Main[[#This Row],[Class]]="B", WORKDAY(Main[[#This Row],[Tech Start Date]],12),IF(Main[[#This Row],[Class]]="A",WORKDAY(Main[[#This Row],[Tech Start Date]],4),""))))</f>
        <v/>
      </c>
      <c r="O176" s="137" t="str">
        <f>IF(Main[[#This Row],[Tech Start Date]]&lt;1/1/1990,"",IF(Main[[#This Row],[Class]]="C",WORKDAY(Main[[#This Row],[Tech Start Date]],23),IF(Main[[#This Row],[Class]]="B", WORKDAY(Main[[#This Row],[Tech Start Date]],15),IF(Main[[#This Row],[Class]]="A",WORKDAY(Main[[#This Row],[Tech Start Date]],5),""))))</f>
        <v/>
      </c>
      <c r="P176" s="137" t="str">
        <f>IF(Main[[#This Row],[Tech Start Date]]&lt;1/1/1990,"",IF(Main[[#This Row],[Class]]="C",WORKDAY(Main[[#This Row],[Tech Start Date]],28),IF(Main[[#This Row],[Class]]="B", WORKDAY(Main[[#This Row],[Tech Start Date]],19),IF(Main[[#This Row],[Class]]="A",WORKDAY(Main[[#This Row],[Tech Start Date]],9),""))))</f>
        <v/>
      </c>
      <c r="Q176" s="134">
        <v>40753</v>
      </c>
      <c r="R176" s="134"/>
      <c r="S176" s="132" t="s">
        <v>6</v>
      </c>
      <c r="T176" s="138" t="s">
        <v>4</v>
      </c>
      <c r="U176" s="132" t="s">
        <v>29</v>
      </c>
      <c r="V176" s="132" t="s">
        <v>1940</v>
      </c>
      <c r="W176" s="132" t="s">
        <v>1941</v>
      </c>
      <c r="X176" s="132" t="s">
        <v>2970</v>
      </c>
      <c r="Y176" s="132" t="s">
        <v>3087</v>
      </c>
      <c r="Z176" s="132" t="s">
        <v>44</v>
      </c>
    </row>
    <row r="177" spans="1:26" ht="18.600000000000001" customHeight="1">
      <c r="A177" s="142" t="str">
        <f>IF(priority(Main[[#This Row],[Comments]])&lt;&gt;0, priority(Main[[#This Row],[Comments]]),"")</f>
        <v/>
      </c>
      <c r="B177" s="139" t="s">
        <v>1055</v>
      </c>
      <c r="C177" s="132" t="s">
        <v>4</v>
      </c>
      <c r="D177" s="133" t="s">
        <v>62</v>
      </c>
      <c r="E177" s="134"/>
      <c r="F177" s="134"/>
      <c r="G177" s="135" t="str">
        <f>IF(stdProdLT(Main[[#This Row],[Comments]])=0.1,"N/A",IF(stdProdLT(Main[[#This Row],[Comments]])=0,"",stdProdLT(Main[[#This Row],[Comments]])))</f>
        <v/>
      </c>
      <c r="H177" s="136" t="str">
        <f>IF(AND(Main[[#This Row],[In Stock Date]]&lt;&gt;"",Main[[#This Row],[Revised Due Date]]&lt;&gt;""),Main[[#This Row],[In Stock Date]]-Main[[#This Row],[Revised Due Date]],"")</f>
        <v/>
      </c>
      <c r="I177" s="132" t="s">
        <v>44</v>
      </c>
      <c r="J177" s="132" t="s">
        <v>28</v>
      </c>
      <c r="K177" s="132" t="s">
        <v>1946</v>
      </c>
      <c r="L177" s="134"/>
      <c r="M177" s="137" t="str">
        <f>IF(Main[[#This Row],[Tech Start Date]]&lt;1/1/1990,"",IF(Main[[#This Row],[Class]]="C",WORKDAY(Main[[#This Row],[Tech Start Date]],9),IF(Main[[#This Row],[Class]]="B", WORKDAY(Main[[#This Row],[Tech Start Date]],6),IF(Main[[#This Row],[Class]]="A",WORKDAY(Main[[#This Row],[Tech Start Date]],2),""))))</f>
        <v/>
      </c>
      <c r="N177" s="137" t="str">
        <f>IF(Main[[#This Row],[Tech Start Date]]&lt;1/1/1990,"",IF(Main[[#This Row],[Class]]="C",WORKDAY(Main[[#This Row],[Tech Start Date]],19),IF(Main[[#This Row],[Class]]="B", WORKDAY(Main[[#This Row],[Tech Start Date]],12),IF(Main[[#This Row],[Class]]="A",WORKDAY(Main[[#This Row],[Tech Start Date]],4),""))))</f>
        <v/>
      </c>
      <c r="O177" s="137" t="str">
        <f>IF(Main[[#This Row],[Tech Start Date]]&lt;1/1/1990,"",IF(Main[[#This Row],[Class]]="C",WORKDAY(Main[[#This Row],[Tech Start Date]],23),IF(Main[[#This Row],[Class]]="B", WORKDAY(Main[[#This Row],[Tech Start Date]],15),IF(Main[[#This Row],[Class]]="A",WORKDAY(Main[[#This Row],[Tech Start Date]],5),""))))</f>
        <v/>
      </c>
      <c r="P177" s="137" t="str">
        <f>IF(Main[[#This Row],[Tech Start Date]]&lt;1/1/1990,"",IF(Main[[#This Row],[Class]]="C",WORKDAY(Main[[#This Row],[Tech Start Date]],28),IF(Main[[#This Row],[Class]]="B", WORKDAY(Main[[#This Row],[Tech Start Date]],19),IF(Main[[#This Row],[Class]]="A",WORKDAY(Main[[#This Row],[Tech Start Date]],9),""))))</f>
        <v/>
      </c>
      <c r="Q177" s="134"/>
      <c r="R177" s="134"/>
      <c r="S177" s="132" t="s">
        <v>23</v>
      </c>
      <c r="T177" s="138" t="s">
        <v>4</v>
      </c>
      <c r="U177" s="132" t="s">
        <v>14</v>
      </c>
      <c r="V177" s="132" t="s">
        <v>1940</v>
      </c>
      <c r="W177" s="132" t="s">
        <v>1939</v>
      </c>
      <c r="X177" s="132" t="s">
        <v>102</v>
      </c>
      <c r="Y177" s="132" t="s">
        <v>4</v>
      </c>
      <c r="Z177" s="132" t="s">
        <v>44</v>
      </c>
    </row>
    <row r="178" spans="1:26" ht="18.600000000000001" customHeight="1">
      <c r="A178" s="146" t="str">
        <f>IF(priority(Main[[#This Row],[Comments]])&lt;&gt;0, priority(Main[[#This Row],[Comments]]),"")</f>
        <v/>
      </c>
      <c r="B178" s="139" t="s">
        <v>1056</v>
      </c>
      <c r="C178" s="132" t="s">
        <v>63</v>
      </c>
      <c r="D178" s="133" t="s">
        <v>64</v>
      </c>
      <c r="E178" s="134"/>
      <c r="F178" s="134">
        <v>40513</v>
      </c>
      <c r="G178" s="135" t="str">
        <f>IF(stdProdLT(Main[[#This Row],[Comments]])=0.1,"N/A",IF(stdProdLT(Main[[#This Row],[Comments]])=0,"",stdProdLT(Main[[#This Row],[Comments]])))</f>
        <v/>
      </c>
      <c r="H178" s="136" t="str">
        <f>IF(AND(Main[[#This Row],[In Stock Date]]&lt;&gt;"",Main[[#This Row],[Revised Due Date]]&lt;&gt;""),Main[[#This Row],[In Stock Date]]-Main[[#This Row],[Revised Due Date]],"")</f>
        <v/>
      </c>
      <c r="I178" s="132" t="s">
        <v>65</v>
      </c>
      <c r="J178" s="132" t="s">
        <v>28</v>
      </c>
      <c r="K178" s="132" t="s">
        <v>4</v>
      </c>
      <c r="L178" s="134"/>
      <c r="M178" s="137" t="str">
        <f>IF(Main[[#This Row],[Tech Start Date]]&lt;1/1/1990,"",IF(Main[[#This Row],[Class]]="C",WORKDAY(Main[[#This Row],[Tech Start Date]],9),IF(Main[[#This Row],[Class]]="B", WORKDAY(Main[[#This Row],[Tech Start Date]],6),IF(Main[[#This Row],[Class]]="A",WORKDAY(Main[[#This Row],[Tech Start Date]],2),""))))</f>
        <v/>
      </c>
      <c r="N178" s="137" t="str">
        <f>IF(Main[[#This Row],[Tech Start Date]]&lt;1/1/1990,"",IF(Main[[#This Row],[Class]]="C",WORKDAY(Main[[#This Row],[Tech Start Date]],19),IF(Main[[#This Row],[Class]]="B", WORKDAY(Main[[#This Row],[Tech Start Date]],12),IF(Main[[#This Row],[Class]]="A",WORKDAY(Main[[#This Row],[Tech Start Date]],4),""))))</f>
        <v/>
      </c>
      <c r="O178" s="137" t="str">
        <f>IF(Main[[#This Row],[Tech Start Date]]&lt;1/1/1990,"",IF(Main[[#This Row],[Class]]="C",WORKDAY(Main[[#This Row],[Tech Start Date]],23),IF(Main[[#This Row],[Class]]="B", WORKDAY(Main[[#This Row],[Tech Start Date]],15),IF(Main[[#This Row],[Class]]="A",WORKDAY(Main[[#This Row],[Tech Start Date]],5),""))))</f>
        <v/>
      </c>
      <c r="P178" s="137" t="str">
        <f>IF(Main[[#This Row],[Tech Start Date]]&lt;1/1/1990,"",IF(Main[[#This Row],[Class]]="C",WORKDAY(Main[[#This Row],[Tech Start Date]],28),IF(Main[[#This Row],[Class]]="B", WORKDAY(Main[[#This Row],[Tech Start Date]],19),IF(Main[[#This Row],[Class]]="A",WORKDAY(Main[[#This Row],[Tech Start Date]],9),""))))</f>
        <v/>
      </c>
      <c r="Q178" s="134">
        <v>40513</v>
      </c>
      <c r="R178" s="134"/>
      <c r="S178" s="132" t="s">
        <v>11</v>
      </c>
      <c r="T178" s="138" t="s">
        <v>4</v>
      </c>
      <c r="U178" s="132" t="s">
        <v>14</v>
      </c>
      <c r="V178" s="132" t="s">
        <v>1940</v>
      </c>
      <c r="W178" s="132" t="s">
        <v>1942</v>
      </c>
      <c r="X178" s="132" t="s">
        <v>2966</v>
      </c>
      <c r="Y178" s="132" t="s">
        <v>3084</v>
      </c>
      <c r="Z178" s="132" t="s">
        <v>536</v>
      </c>
    </row>
    <row r="179" spans="1:26" ht="18.600000000000001" customHeight="1">
      <c r="A179" s="146" t="str">
        <f>IF(priority(Main[[#This Row],[Comments]])&lt;&gt;0, priority(Main[[#This Row],[Comments]]),"")</f>
        <v/>
      </c>
      <c r="B179" s="139" t="s">
        <v>2076</v>
      </c>
      <c r="C179" s="132" t="s">
        <v>702</v>
      </c>
      <c r="D179" s="133" t="s">
        <v>2077</v>
      </c>
      <c r="E179" s="134"/>
      <c r="F179" s="134"/>
      <c r="G179" s="135" t="str">
        <f>IF(stdProdLT(Main[[#This Row],[Comments]])=0.1,"N/A",IF(stdProdLT(Main[[#This Row],[Comments]])=0,"",stdProdLT(Main[[#This Row],[Comments]])))</f>
        <v/>
      </c>
      <c r="H179" s="136" t="str">
        <f>IF(AND(Main[[#This Row],[In Stock Date]]&lt;&gt;"",Main[[#This Row],[Revised Due Date]]&lt;&gt;""),Main[[#This Row],[In Stock Date]]-Main[[#This Row],[Revised Due Date]],"")</f>
        <v/>
      </c>
      <c r="I179" s="132" t="s">
        <v>4</v>
      </c>
      <c r="J179" s="132" t="s">
        <v>4</v>
      </c>
      <c r="K179" s="132" t="s">
        <v>4</v>
      </c>
      <c r="L179" s="134"/>
      <c r="M179" s="137" t="str">
        <f>IF(Main[[#This Row],[Tech Start Date]]&lt;1/1/1990,"",IF(Main[[#This Row],[Class]]="C",WORKDAY(Main[[#This Row],[Tech Start Date]],9),IF(Main[[#This Row],[Class]]="B", WORKDAY(Main[[#This Row],[Tech Start Date]],6),IF(Main[[#This Row],[Class]]="A",WORKDAY(Main[[#This Row],[Tech Start Date]],2),""))))</f>
        <v/>
      </c>
      <c r="N179" s="137" t="str">
        <f>IF(Main[[#This Row],[Tech Start Date]]&lt;1/1/1990,"",IF(Main[[#This Row],[Class]]="C",WORKDAY(Main[[#This Row],[Tech Start Date]],19),IF(Main[[#This Row],[Class]]="B", WORKDAY(Main[[#This Row],[Tech Start Date]],12),IF(Main[[#This Row],[Class]]="A",WORKDAY(Main[[#This Row],[Tech Start Date]],4),""))))</f>
        <v/>
      </c>
      <c r="O179" s="137" t="str">
        <f>IF(Main[[#This Row],[Tech Start Date]]&lt;1/1/1990,"",IF(Main[[#This Row],[Class]]="C",WORKDAY(Main[[#This Row],[Tech Start Date]],23),IF(Main[[#This Row],[Class]]="B", WORKDAY(Main[[#This Row],[Tech Start Date]],15),IF(Main[[#This Row],[Class]]="A",WORKDAY(Main[[#This Row],[Tech Start Date]],5),""))))</f>
        <v/>
      </c>
      <c r="P179" s="137" t="str">
        <f>IF(Main[[#This Row],[Tech Start Date]]&lt;1/1/1990,"",IF(Main[[#This Row],[Class]]="C",WORKDAY(Main[[#This Row],[Tech Start Date]],28),IF(Main[[#This Row],[Class]]="B", WORKDAY(Main[[#This Row],[Tech Start Date]],19),IF(Main[[#This Row],[Class]]="A",WORKDAY(Main[[#This Row],[Tech Start Date]],9),""))))</f>
        <v/>
      </c>
      <c r="Q179" s="134">
        <v>40760</v>
      </c>
      <c r="R179" s="134"/>
      <c r="S179" s="132" t="s">
        <v>11</v>
      </c>
      <c r="T179" s="138" t="s">
        <v>4</v>
      </c>
      <c r="U179" s="132" t="s">
        <v>14</v>
      </c>
      <c r="V179" s="132" t="s">
        <v>1938</v>
      </c>
      <c r="W179" s="132" t="s">
        <v>1939</v>
      </c>
      <c r="X179" s="132" t="s">
        <v>2967</v>
      </c>
      <c r="Y179" s="132" t="s">
        <v>4</v>
      </c>
      <c r="Z179" s="132" t="s">
        <v>4</v>
      </c>
    </row>
    <row r="180" spans="1:26" ht="18.600000000000001" customHeight="1">
      <c r="A180" s="142" t="str">
        <f>IF(priority(Main[[#This Row],[Comments]])&lt;&gt;0, priority(Main[[#This Row],[Comments]]),"")</f>
        <v/>
      </c>
      <c r="B180" s="90" t="s">
        <v>1047</v>
      </c>
      <c r="C180" s="72" t="s">
        <v>53</v>
      </c>
      <c r="D180" s="73" t="s">
        <v>54</v>
      </c>
      <c r="E180" s="74"/>
      <c r="F180" s="74"/>
      <c r="G180" s="75" t="str">
        <f>IF(stdProdLT(Main[[#This Row],[Comments]])=0.1,"N/A",IF(stdProdLT(Main[[#This Row],[Comments]])=0,"",stdProdLT(Main[[#This Row],[Comments]])))</f>
        <v/>
      </c>
      <c r="H180" s="76" t="str">
        <f>IF(AND(Main[[#This Row],[In Stock Date]]&lt;&gt;"",Main[[#This Row],[Revised Due Date]]&lt;&gt;""),Main[[#This Row],[In Stock Date]]-Main[[#This Row],[Revised Due Date]],"")</f>
        <v/>
      </c>
      <c r="I180" s="72" t="s">
        <v>4</v>
      </c>
      <c r="J180" s="72" t="s">
        <v>28</v>
      </c>
      <c r="K180" s="72" t="s">
        <v>1950</v>
      </c>
      <c r="L180" s="74"/>
      <c r="M180" s="77" t="str">
        <f>IF(Main[[#This Row],[Tech Start Date]]&lt;1/1/1990,"",IF(Main[[#This Row],[Class]]="C",WORKDAY(Main[[#This Row],[Tech Start Date]],9),IF(Main[[#This Row],[Class]]="B", WORKDAY(Main[[#This Row],[Tech Start Date]],6),IF(Main[[#This Row],[Class]]="A",WORKDAY(Main[[#This Row],[Tech Start Date]],2),""))))</f>
        <v/>
      </c>
      <c r="N180" s="77" t="str">
        <f>IF(Main[[#This Row],[Tech Start Date]]&lt;1/1/1990,"",IF(Main[[#This Row],[Class]]="C",WORKDAY(Main[[#This Row],[Tech Start Date]],19),IF(Main[[#This Row],[Class]]="B", WORKDAY(Main[[#This Row],[Tech Start Date]],12),IF(Main[[#This Row],[Class]]="A",WORKDAY(Main[[#This Row],[Tech Start Date]],4),""))))</f>
        <v/>
      </c>
      <c r="O180" s="77" t="str">
        <f>IF(Main[[#This Row],[Tech Start Date]]&lt;1/1/1990,"",IF(Main[[#This Row],[Class]]="C",WORKDAY(Main[[#This Row],[Tech Start Date]],23),IF(Main[[#This Row],[Class]]="B", WORKDAY(Main[[#This Row],[Tech Start Date]],15),IF(Main[[#This Row],[Class]]="A",WORKDAY(Main[[#This Row],[Tech Start Date]],5),""))))</f>
        <v/>
      </c>
      <c r="P180" s="77" t="str">
        <f>IF(Main[[#This Row],[Tech Start Date]]&lt;1/1/1990,"",IF(Main[[#This Row],[Class]]="C",WORKDAY(Main[[#This Row],[Tech Start Date]],28),IF(Main[[#This Row],[Class]]="B", WORKDAY(Main[[#This Row],[Tech Start Date]],19),IF(Main[[#This Row],[Class]]="A",WORKDAY(Main[[#This Row],[Tech Start Date]],9),""))))</f>
        <v/>
      </c>
      <c r="Q180" s="74">
        <v>40626</v>
      </c>
      <c r="R180" s="74"/>
      <c r="S180" s="72" t="s">
        <v>11</v>
      </c>
      <c r="T180" s="80" t="s">
        <v>4</v>
      </c>
      <c r="U180" s="72" t="s">
        <v>14</v>
      </c>
      <c r="V180" s="72" t="s">
        <v>1938</v>
      </c>
      <c r="W180" s="72" t="s">
        <v>1939</v>
      </c>
      <c r="X180" s="72" t="s">
        <v>2967</v>
      </c>
      <c r="Y180" s="72" t="s">
        <v>3085</v>
      </c>
      <c r="Z180" s="72" t="s">
        <v>3322</v>
      </c>
    </row>
    <row r="181" spans="1:26" ht="18.600000000000001" customHeight="1">
      <c r="A181" s="142" t="str">
        <f>IF(priority(Main[[#This Row],[Comments]])&lt;&gt;0, priority(Main[[#This Row],[Comments]]),"")</f>
        <v/>
      </c>
      <c r="B181" s="90" t="s">
        <v>1048</v>
      </c>
      <c r="C181" s="72" t="s">
        <v>4</v>
      </c>
      <c r="D181" s="73" t="s">
        <v>55</v>
      </c>
      <c r="E181" s="74"/>
      <c r="F181" s="74"/>
      <c r="G181" s="75" t="str">
        <f>IF(stdProdLT(Main[[#This Row],[Comments]])=0.1,"N/A",IF(stdProdLT(Main[[#This Row],[Comments]])=0,"",stdProdLT(Main[[#This Row],[Comments]])))</f>
        <v/>
      </c>
      <c r="H181" s="76" t="str">
        <f>IF(AND(Main[[#This Row],[In Stock Date]]&lt;&gt;"",Main[[#This Row],[Revised Due Date]]&lt;&gt;""),Main[[#This Row],[In Stock Date]]-Main[[#This Row],[Revised Due Date]],"")</f>
        <v/>
      </c>
      <c r="I181" s="72" t="s">
        <v>4</v>
      </c>
      <c r="J181" s="72" t="s">
        <v>4</v>
      </c>
      <c r="K181" s="81" t="s">
        <v>4</v>
      </c>
      <c r="L181" s="74"/>
      <c r="M181" s="77" t="str">
        <f>IF(Main[[#This Row],[Tech Start Date]]&lt;1/1/1990,"",IF(Main[[#This Row],[Class]]="C",WORKDAY(Main[[#This Row],[Tech Start Date]],9),IF(Main[[#This Row],[Class]]="B", WORKDAY(Main[[#This Row],[Tech Start Date]],6),IF(Main[[#This Row],[Class]]="A",WORKDAY(Main[[#This Row],[Tech Start Date]],2),""))))</f>
        <v/>
      </c>
      <c r="N181" s="77" t="str">
        <f>IF(Main[[#This Row],[Tech Start Date]]&lt;1/1/1990,"",IF(Main[[#This Row],[Class]]="C",WORKDAY(Main[[#This Row],[Tech Start Date]],19),IF(Main[[#This Row],[Class]]="B", WORKDAY(Main[[#This Row],[Tech Start Date]],12),IF(Main[[#This Row],[Class]]="A",WORKDAY(Main[[#This Row],[Tech Start Date]],4),""))))</f>
        <v/>
      </c>
      <c r="O181" s="77" t="str">
        <f>IF(Main[[#This Row],[Tech Start Date]]&lt;1/1/1990,"",IF(Main[[#This Row],[Class]]="C",WORKDAY(Main[[#This Row],[Tech Start Date]],23),IF(Main[[#This Row],[Class]]="B", WORKDAY(Main[[#This Row],[Tech Start Date]],15),IF(Main[[#This Row],[Class]]="A",WORKDAY(Main[[#This Row],[Tech Start Date]],5),""))))</f>
        <v/>
      </c>
      <c r="P181" s="77" t="str">
        <f>IF(Main[[#This Row],[Tech Start Date]]&lt;1/1/1990,"",IF(Main[[#This Row],[Class]]="C",WORKDAY(Main[[#This Row],[Tech Start Date]],28),IF(Main[[#This Row],[Class]]="B", WORKDAY(Main[[#This Row],[Tech Start Date]],19),IF(Main[[#This Row],[Class]]="A",WORKDAY(Main[[#This Row],[Tech Start Date]],9),""))))</f>
        <v/>
      </c>
      <c r="Q181" s="74"/>
      <c r="R181" s="74"/>
      <c r="S181" s="72" t="s">
        <v>6</v>
      </c>
      <c r="T181" s="80" t="s">
        <v>4</v>
      </c>
      <c r="U181" s="72" t="s">
        <v>14</v>
      </c>
      <c r="V181" s="72" t="s">
        <v>1940</v>
      </c>
      <c r="W181" s="72" t="s">
        <v>1941</v>
      </c>
      <c r="X181" s="72" t="s">
        <v>311</v>
      </c>
      <c r="Y181" s="72" t="s">
        <v>4</v>
      </c>
      <c r="Z181" s="72" t="s">
        <v>4</v>
      </c>
    </row>
    <row r="182" spans="1:26" ht="18.600000000000001" customHeight="1">
      <c r="A182" s="142" t="str">
        <f>IF(priority(Main[[#This Row],[Comments]])&lt;&gt;0, priority(Main[[#This Row],[Comments]]),"")</f>
        <v/>
      </c>
      <c r="B182" s="90" t="s">
        <v>1049</v>
      </c>
      <c r="C182" s="72" t="s">
        <v>4</v>
      </c>
      <c r="D182" s="73" t="s">
        <v>56</v>
      </c>
      <c r="E182" s="74"/>
      <c r="F182" s="74"/>
      <c r="G182" s="75" t="str">
        <f>IF(stdProdLT(Main[[#This Row],[Comments]])=0.1,"N/A",IF(stdProdLT(Main[[#This Row],[Comments]])=0,"",stdProdLT(Main[[#This Row],[Comments]])))</f>
        <v/>
      </c>
      <c r="H182" s="76" t="str">
        <f>IF(AND(Main[[#This Row],[In Stock Date]]&lt;&gt;"",Main[[#This Row],[Revised Due Date]]&lt;&gt;""),Main[[#This Row],[In Stock Date]]-Main[[#This Row],[Revised Due Date]],"")</f>
        <v/>
      </c>
      <c r="I182" s="72" t="s">
        <v>4</v>
      </c>
      <c r="J182" s="72" t="s">
        <v>4</v>
      </c>
      <c r="K182" s="72" t="s">
        <v>4</v>
      </c>
      <c r="L182" s="74"/>
      <c r="M182" s="77" t="str">
        <f>IF(Main[[#This Row],[Tech Start Date]]&lt;1/1/1990,"",IF(Main[[#This Row],[Class]]="C",WORKDAY(Main[[#This Row],[Tech Start Date]],9),IF(Main[[#This Row],[Class]]="B", WORKDAY(Main[[#This Row],[Tech Start Date]],6),IF(Main[[#This Row],[Class]]="A",WORKDAY(Main[[#This Row],[Tech Start Date]],2),""))))</f>
        <v/>
      </c>
      <c r="N182" s="77" t="str">
        <f>IF(Main[[#This Row],[Tech Start Date]]&lt;1/1/1990,"",IF(Main[[#This Row],[Class]]="C",WORKDAY(Main[[#This Row],[Tech Start Date]],19),IF(Main[[#This Row],[Class]]="B", WORKDAY(Main[[#This Row],[Tech Start Date]],12),IF(Main[[#This Row],[Class]]="A",WORKDAY(Main[[#This Row],[Tech Start Date]],4),""))))</f>
        <v/>
      </c>
      <c r="O182" s="77" t="str">
        <f>IF(Main[[#This Row],[Tech Start Date]]&lt;1/1/1990,"",IF(Main[[#This Row],[Class]]="C",WORKDAY(Main[[#This Row],[Tech Start Date]],23),IF(Main[[#This Row],[Class]]="B", WORKDAY(Main[[#This Row],[Tech Start Date]],15),IF(Main[[#This Row],[Class]]="A",WORKDAY(Main[[#This Row],[Tech Start Date]],5),""))))</f>
        <v/>
      </c>
      <c r="P182" s="77" t="str">
        <f>IF(Main[[#This Row],[Tech Start Date]]&lt;1/1/1990,"",IF(Main[[#This Row],[Class]]="C",WORKDAY(Main[[#This Row],[Tech Start Date]],28),IF(Main[[#This Row],[Class]]="B", WORKDAY(Main[[#This Row],[Tech Start Date]],19),IF(Main[[#This Row],[Class]]="A",WORKDAY(Main[[#This Row],[Tech Start Date]],9),""))))</f>
        <v/>
      </c>
      <c r="Q182" s="74"/>
      <c r="R182" s="74"/>
      <c r="S182" s="72" t="s">
        <v>49</v>
      </c>
      <c r="T182" s="80" t="s">
        <v>4</v>
      </c>
      <c r="U182" s="72" t="s">
        <v>14</v>
      </c>
      <c r="V182" s="72" t="s">
        <v>1940</v>
      </c>
      <c r="W182" s="72" t="s">
        <v>1941</v>
      </c>
      <c r="X182" s="72" t="s">
        <v>311</v>
      </c>
      <c r="Y182" s="72" t="s">
        <v>4</v>
      </c>
      <c r="Z182" s="72" t="s">
        <v>4</v>
      </c>
    </row>
    <row r="183" spans="1:26" ht="18.600000000000001" customHeight="1">
      <c r="A183" s="142" t="str">
        <f>IF(priority(Main[[#This Row],[Comments]])&lt;&gt;0, priority(Main[[#This Row],[Comments]]),"")</f>
        <v/>
      </c>
      <c r="B183" s="90" t="s">
        <v>1050</v>
      </c>
      <c r="C183" s="72" t="s">
        <v>4</v>
      </c>
      <c r="D183" s="73" t="s">
        <v>57</v>
      </c>
      <c r="E183" s="74"/>
      <c r="F183" s="74"/>
      <c r="G183" s="75" t="str">
        <f>IF(stdProdLT(Main[[#This Row],[Comments]])=0.1,"N/A",IF(stdProdLT(Main[[#This Row],[Comments]])=0,"",stdProdLT(Main[[#This Row],[Comments]])))</f>
        <v/>
      </c>
      <c r="H183" s="76" t="str">
        <f>IF(AND(Main[[#This Row],[In Stock Date]]&lt;&gt;"",Main[[#This Row],[Revised Due Date]]&lt;&gt;""),Main[[#This Row],[In Stock Date]]-Main[[#This Row],[Revised Due Date]],"")</f>
        <v/>
      </c>
      <c r="I183" s="72" t="s">
        <v>4</v>
      </c>
      <c r="J183" s="72" t="s">
        <v>4</v>
      </c>
      <c r="K183" s="72" t="s">
        <v>4</v>
      </c>
      <c r="L183" s="74"/>
      <c r="M183" s="77" t="str">
        <f>IF(Main[[#This Row],[Tech Start Date]]&lt;1/1/1990,"",IF(Main[[#This Row],[Class]]="C",WORKDAY(Main[[#This Row],[Tech Start Date]],9),IF(Main[[#This Row],[Class]]="B", WORKDAY(Main[[#This Row],[Tech Start Date]],6),IF(Main[[#This Row],[Class]]="A",WORKDAY(Main[[#This Row],[Tech Start Date]],2),""))))</f>
        <v/>
      </c>
      <c r="N183" s="77" t="str">
        <f>IF(Main[[#This Row],[Tech Start Date]]&lt;1/1/1990,"",IF(Main[[#This Row],[Class]]="C",WORKDAY(Main[[#This Row],[Tech Start Date]],19),IF(Main[[#This Row],[Class]]="B", WORKDAY(Main[[#This Row],[Tech Start Date]],12),IF(Main[[#This Row],[Class]]="A",WORKDAY(Main[[#This Row],[Tech Start Date]],4),""))))</f>
        <v/>
      </c>
      <c r="O183" s="77" t="str">
        <f>IF(Main[[#This Row],[Tech Start Date]]&lt;1/1/1990,"",IF(Main[[#This Row],[Class]]="C",WORKDAY(Main[[#This Row],[Tech Start Date]],23),IF(Main[[#This Row],[Class]]="B", WORKDAY(Main[[#This Row],[Tech Start Date]],15),IF(Main[[#This Row],[Class]]="A",WORKDAY(Main[[#This Row],[Tech Start Date]],5),""))))</f>
        <v/>
      </c>
      <c r="P183" s="77" t="str">
        <f>IF(Main[[#This Row],[Tech Start Date]]&lt;1/1/1990,"",IF(Main[[#This Row],[Class]]="C",WORKDAY(Main[[#This Row],[Tech Start Date]],28),IF(Main[[#This Row],[Class]]="B", WORKDAY(Main[[#This Row],[Tech Start Date]],19),IF(Main[[#This Row],[Class]]="A",WORKDAY(Main[[#This Row],[Tech Start Date]],9),""))))</f>
        <v/>
      </c>
      <c r="Q183" s="74"/>
      <c r="R183" s="74"/>
      <c r="S183" s="72" t="s">
        <v>49</v>
      </c>
      <c r="T183" s="80" t="s">
        <v>4</v>
      </c>
      <c r="U183" s="72" t="s">
        <v>14</v>
      </c>
      <c r="V183" s="72" t="s">
        <v>1947</v>
      </c>
      <c r="W183" s="72" t="s">
        <v>1941</v>
      </c>
      <c r="X183" s="72" t="s">
        <v>311</v>
      </c>
      <c r="Y183" s="72" t="s">
        <v>4</v>
      </c>
      <c r="Z183" s="72" t="s">
        <v>4</v>
      </c>
    </row>
    <row r="184" spans="1:26" ht="18.600000000000001" customHeight="1">
      <c r="A184" s="142" t="str">
        <f>IF(priority(Main[[#This Row],[Comments]])&lt;&gt;0, priority(Main[[#This Row],[Comments]]),"")</f>
        <v/>
      </c>
      <c r="B184" s="90" t="s">
        <v>1051</v>
      </c>
      <c r="C184" s="72" t="s">
        <v>58</v>
      </c>
      <c r="D184" s="73" t="s">
        <v>59</v>
      </c>
      <c r="E184" s="74"/>
      <c r="F184" s="74"/>
      <c r="G184" s="75" t="str">
        <f>IF(stdProdLT(Main[[#This Row],[Comments]])=0.1,"N/A",IF(stdProdLT(Main[[#This Row],[Comments]])=0,"",stdProdLT(Main[[#This Row],[Comments]])))</f>
        <v/>
      </c>
      <c r="H184" s="76" t="str">
        <f>IF(AND(Main[[#This Row],[In Stock Date]]&lt;&gt;"",Main[[#This Row],[Revised Due Date]]&lt;&gt;""),Main[[#This Row],[In Stock Date]]-Main[[#This Row],[Revised Due Date]],"")</f>
        <v/>
      </c>
      <c r="I184" s="72" t="s">
        <v>4</v>
      </c>
      <c r="J184" s="72" t="s">
        <v>4</v>
      </c>
      <c r="K184" s="72" t="s">
        <v>4</v>
      </c>
      <c r="L184" s="74"/>
      <c r="M184" s="77" t="str">
        <f>IF(Main[[#This Row],[Tech Start Date]]&lt;1/1/1990,"",IF(Main[[#This Row],[Class]]="C",WORKDAY(Main[[#This Row],[Tech Start Date]],9),IF(Main[[#This Row],[Class]]="B", WORKDAY(Main[[#This Row],[Tech Start Date]],6),IF(Main[[#This Row],[Class]]="A",WORKDAY(Main[[#This Row],[Tech Start Date]],2),""))))</f>
        <v/>
      </c>
      <c r="N184" s="77" t="str">
        <f>IF(Main[[#This Row],[Tech Start Date]]&lt;1/1/1990,"",IF(Main[[#This Row],[Class]]="C",WORKDAY(Main[[#This Row],[Tech Start Date]],19),IF(Main[[#This Row],[Class]]="B", WORKDAY(Main[[#This Row],[Tech Start Date]],12),IF(Main[[#This Row],[Class]]="A",WORKDAY(Main[[#This Row],[Tech Start Date]],4),""))))</f>
        <v/>
      </c>
      <c r="O184" s="77" t="str">
        <f>IF(Main[[#This Row],[Tech Start Date]]&lt;1/1/1990,"",IF(Main[[#This Row],[Class]]="C",WORKDAY(Main[[#This Row],[Tech Start Date]],23),IF(Main[[#This Row],[Class]]="B", WORKDAY(Main[[#This Row],[Tech Start Date]],15),IF(Main[[#This Row],[Class]]="A",WORKDAY(Main[[#This Row],[Tech Start Date]],5),""))))</f>
        <v/>
      </c>
      <c r="P184" s="77" t="str">
        <f>IF(Main[[#This Row],[Tech Start Date]]&lt;1/1/1990,"",IF(Main[[#This Row],[Class]]="C",WORKDAY(Main[[#This Row],[Tech Start Date]],28),IF(Main[[#This Row],[Class]]="B", WORKDAY(Main[[#This Row],[Tech Start Date]],19),IF(Main[[#This Row],[Class]]="A",WORKDAY(Main[[#This Row],[Tech Start Date]],9),""))))</f>
        <v/>
      </c>
      <c r="Q184" s="74"/>
      <c r="R184" s="74"/>
      <c r="S184" s="72" t="s">
        <v>11</v>
      </c>
      <c r="T184" s="80" t="s">
        <v>4</v>
      </c>
      <c r="U184" s="72" t="s">
        <v>14</v>
      </c>
      <c r="V184" s="72" t="s">
        <v>1938</v>
      </c>
      <c r="W184" s="72" t="s">
        <v>1942</v>
      </c>
      <c r="X184" s="72" t="s">
        <v>2972</v>
      </c>
      <c r="Y184" s="72" t="s">
        <v>3092</v>
      </c>
      <c r="Z184" s="72" t="s">
        <v>4</v>
      </c>
    </row>
    <row r="185" spans="1:26" ht="18.600000000000001" customHeight="1">
      <c r="A185" s="142" t="str">
        <f>IF(priority(Main[[#This Row],[Comments]])&lt;&gt;0, priority(Main[[#This Row],[Comments]]),"")</f>
        <v/>
      </c>
      <c r="B185" s="90" t="s">
        <v>1052</v>
      </c>
      <c r="C185" s="72" t="s">
        <v>4</v>
      </c>
      <c r="D185" s="73" t="s">
        <v>60</v>
      </c>
      <c r="E185" s="74"/>
      <c r="F185" s="74"/>
      <c r="G185" s="75" t="str">
        <f>IF(stdProdLT(Main[[#This Row],[Comments]])=0.1,"N/A",IF(stdProdLT(Main[[#This Row],[Comments]])=0,"",stdProdLT(Main[[#This Row],[Comments]])))</f>
        <v/>
      </c>
      <c r="H185" s="76" t="str">
        <f>IF(AND(Main[[#This Row],[In Stock Date]]&lt;&gt;"",Main[[#This Row],[Revised Due Date]]&lt;&gt;""),Main[[#This Row],[In Stock Date]]-Main[[#This Row],[Revised Due Date]],"")</f>
        <v/>
      </c>
      <c r="I185" s="72" t="s">
        <v>4</v>
      </c>
      <c r="J185" s="72" t="s">
        <v>4</v>
      </c>
      <c r="K185" s="72" t="s">
        <v>4</v>
      </c>
      <c r="L185" s="74"/>
      <c r="M185" s="77" t="str">
        <f>IF(Main[[#This Row],[Tech Start Date]]&lt;1/1/1990,"",IF(Main[[#This Row],[Class]]="C",WORKDAY(Main[[#This Row],[Tech Start Date]],9),IF(Main[[#This Row],[Class]]="B", WORKDAY(Main[[#This Row],[Tech Start Date]],6),IF(Main[[#This Row],[Class]]="A",WORKDAY(Main[[#This Row],[Tech Start Date]],2),""))))</f>
        <v/>
      </c>
      <c r="N185" s="77" t="str">
        <f>IF(Main[[#This Row],[Tech Start Date]]&lt;1/1/1990,"",IF(Main[[#This Row],[Class]]="C",WORKDAY(Main[[#This Row],[Tech Start Date]],19),IF(Main[[#This Row],[Class]]="B", WORKDAY(Main[[#This Row],[Tech Start Date]],12),IF(Main[[#This Row],[Class]]="A",WORKDAY(Main[[#This Row],[Tech Start Date]],4),""))))</f>
        <v/>
      </c>
      <c r="O185" s="77" t="str">
        <f>IF(Main[[#This Row],[Tech Start Date]]&lt;1/1/1990,"",IF(Main[[#This Row],[Class]]="C",WORKDAY(Main[[#This Row],[Tech Start Date]],23),IF(Main[[#This Row],[Class]]="B", WORKDAY(Main[[#This Row],[Tech Start Date]],15),IF(Main[[#This Row],[Class]]="A",WORKDAY(Main[[#This Row],[Tech Start Date]],5),""))))</f>
        <v/>
      </c>
      <c r="P185" s="77" t="str">
        <f>IF(Main[[#This Row],[Tech Start Date]]&lt;1/1/1990,"",IF(Main[[#This Row],[Class]]="C",WORKDAY(Main[[#This Row],[Tech Start Date]],28),IF(Main[[#This Row],[Class]]="B", WORKDAY(Main[[#This Row],[Tech Start Date]],19),IF(Main[[#This Row],[Class]]="A",WORKDAY(Main[[#This Row],[Tech Start Date]],9),""))))</f>
        <v/>
      </c>
      <c r="Q185" s="74"/>
      <c r="R185" s="74"/>
      <c r="S185" s="72" t="s">
        <v>49</v>
      </c>
      <c r="T185" s="80" t="s">
        <v>4</v>
      </c>
      <c r="U185" s="72" t="s">
        <v>14</v>
      </c>
      <c r="V185" s="72" t="s">
        <v>1938</v>
      </c>
      <c r="W185" s="72" t="s">
        <v>1941</v>
      </c>
      <c r="X185" s="72" t="s">
        <v>311</v>
      </c>
      <c r="Y185" s="72" t="s">
        <v>4</v>
      </c>
      <c r="Z185" s="72" t="s">
        <v>4</v>
      </c>
    </row>
    <row r="186" spans="1:26" ht="18.600000000000001" customHeight="1">
      <c r="A186" s="142" t="str">
        <f>IF(priority(Main[[#This Row],[Comments]])&lt;&gt;0, priority(Main[[#This Row],[Comments]]),"")</f>
        <v/>
      </c>
      <c r="B186" s="90" t="s">
        <v>2356</v>
      </c>
      <c r="C186" s="72" t="s">
        <v>4</v>
      </c>
      <c r="D186" s="73" t="s">
        <v>2357</v>
      </c>
      <c r="E186" s="74">
        <v>40841.712557870371</v>
      </c>
      <c r="F186" s="74"/>
      <c r="G186" s="75" t="str">
        <f>IF(stdProdLT(Main[[#This Row],[Comments]])=0.1,"N/A",IF(stdProdLT(Main[[#This Row],[Comments]])=0,"",stdProdLT(Main[[#This Row],[Comments]])))</f>
        <v/>
      </c>
      <c r="H186" s="76" t="str">
        <f>IF(AND(Main[[#This Row],[In Stock Date]]&lt;&gt;"",Main[[#This Row],[Revised Due Date]]&lt;&gt;""),Main[[#This Row],[In Stock Date]]-Main[[#This Row],[Revised Due Date]],"")</f>
        <v/>
      </c>
      <c r="I186" s="72" t="s">
        <v>927</v>
      </c>
      <c r="J186" s="72" t="s">
        <v>52</v>
      </c>
      <c r="K186" s="72" t="s">
        <v>4</v>
      </c>
      <c r="L186" s="74"/>
      <c r="M186" s="77" t="str">
        <f>IF(Main[[#This Row],[Tech Start Date]]&lt;1/1/1990,"",IF(Main[[#This Row],[Class]]="C",WORKDAY(Main[[#This Row],[Tech Start Date]],9),IF(Main[[#This Row],[Class]]="B", WORKDAY(Main[[#This Row],[Tech Start Date]],6),IF(Main[[#This Row],[Class]]="A",WORKDAY(Main[[#This Row],[Tech Start Date]],2),""))))</f>
        <v/>
      </c>
      <c r="N186" s="77" t="str">
        <f>IF(Main[[#This Row],[Tech Start Date]]&lt;1/1/1990,"",IF(Main[[#This Row],[Class]]="C",WORKDAY(Main[[#This Row],[Tech Start Date]],19),IF(Main[[#This Row],[Class]]="B", WORKDAY(Main[[#This Row],[Tech Start Date]],12),IF(Main[[#This Row],[Class]]="A",WORKDAY(Main[[#This Row],[Tech Start Date]],4),""))))</f>
        <v/>
      </c>
      <c r="O186" s="77" t="str">
        <f>IF(Main[[#This Row],[Tech Start Date]]&lt;1/1/1990,"",IF(Main[[#This Row],[Class]]="C",WORKDAY(Main[[#This Row],[Tech Start Date]],23),IF(Main[[#This Row],[Class]]="B", WORKDAY(Main[[#This Row],[Tech Start Date]],15),IF(Main[[#This Row],[Class]]="A",WORKDAY(Main[[#This Row],[Tech Start Date]],5),""))))</f>
        <v/>
      </c>
      <c r="P186" s="77" t="str">
        <f>IF(Main[[#This Row],[Tech Start Date]]&lt;1/1/1990,"",IF(Main[[#This Row],[Class]]="C",WORKDAY(Main[[#This Row],[Tech Start Date]],28),IF(Main[[#This Row],[Class]]="B", WORKDAY(Main[[#This Row],[Tech Start Date]],19),IF(Main[[#This Row],[Class]]="A",WORKDAY(Main[[#This Row],[Tech Start Date]],9),""))))</f>
        <v/>
      </c>
      <c r="Q186" s="74">
        <v>40856</v>
      </c>
      <c r="R186" s="74"/>
      <c r="S186" s="72" t="s">
        <v>6</v>
      </c>
      <c r="T186" s="80" t="s">
        <v>4</v>
      </c>
      <c r="U186" s="72" t="s">
        <v>29</v>
      </c>
      <c r="V186" s="72" t="s">
        <v>1937</v>
      </c>
      <c r="W186" s="72" t="s">
        <v>1945</v>
      </c>
      <c r="X186" s="72" t="s">
        <v>2973</v>
      </c>
      <c r="Y186" s="72" t="s">
        <v>3094</v>
      </c>
      <c r="Z186" s="72" t="s">
        <v>129</v>
      </c>
    </row>
    <row r="187" spans="1:26" ht="18.600000000000001" customHeight="1">
      <c r="A187" s="142" t="str">
        <f>IF(priority(Main[[#This Row],[Comments]])&lt;&gt;0, priority(Main[[#This Row],[Comments]]),"")</f>
        <v/>
      </c>
      <c r="B187" s="139" t="s">
        <v>1054</v>
      </c>
      <c r="C187" s="132" t="s">
        <v>4</v>
      </c>
      <c r="D187" s="133" t="s">
        <v>61</v>
      </c>
      <c r="E187" s="134"/>
      <c r="F187" s="134"/>
      <c r="G187" s="135" t="str">
        <f>IF(stdProdLT(Main[[#This Row],[Comments]])=0.1,"N/A",IF(stdProdLT(Main[[#This Row],[Comments]])=0,"",stdProdLT(Main[[#This Row],[Comments]])))</f>
        <v/>
      </c>
      <c r="H187" s="136" t="str">
        <f>IF(AND(Main[[#This Row],[In Stock Date]]&lt;&gt;"",Main[[#This Row],[Revised Due Date]]&lt;&gt;""),Main[[#This Row],[In Stock Date]]-Main[[#This Row],[Revised Due Date]],"")</f>
        <v/>
      </c>
      <c r="I187" s="132" t="s">
        <v>4</v>
      </c>
      <c r="J187" s="132" t="s">
        <v>4</v>
      </c>
      <c r="K187" s="132" t="s">
        <v>4</v>
      </c>
      <c r="L187" s="134"/>
      <c r="M187" s="137" t="str">
        <f>IF(Main[[#This Row],[Tech Start Date]]&lt;1/1/1990,"",IF(Main[[#This Row],[Class]]="C",WORKDAY(Main[[#This Row],[Tech Start Date]],9),IF(Main[[#This Row],[Class]]="B", WORKDAY(Main[[#This Row],[Tech Start Date]],6),IF(Main[[#This Row],[Class]]="A",WORKDAY(Main[[#This Row],[Tech Start Date]],2),""))))</f>
        <v/>
      </c>
      <c r="N187" s="137" t="str">
        <f>IF(Main[[#This Row],[Tech Start Date]]&lt;1/1/1990,"",IF(Main[[#This Row],[Class]]="C",WORKDAY(Main[[#This Row],[Tech Start Date]],19),IF(Main[[#This Row],[Class]]="B", WORKDAY(Main[[#This Row],[Tech Start Date]],12),IF(Main[[#This Row],[Class]]="A",WORKDAY(Main[[#This Row],[Tech Start Date]],4),""))))</f>
        <v/>
      </c>
      <c r="O187" s="137" t="str">
        <f>IF(Main[[#This Row],[Tech Start Date]]&lt;1/1/1990,"",IF(Main[[#This Row],[Class]]="C",WORKDAY(Main[[#This Row],[Tech Start Date]],23),IF(Main[[#This Row],[Class]]="B", WORKDAY(Main[[#This Row],[Tech Start Date]],15),IF(Main[[#This Row],[Class]]="A",WORKDAY(Main[[#This Row],[Tech Start Date]],5),""))))</f>
        <v/>
      </c>
      <c r="P187" s="137" t="str">
        <f>IF(Main[[#This Row],[Tech Start Date]]&lt;1/1/1990,"",IF(Main[[#This Row],[Class]]="C",WORKDAY(Main[[#This Row],[Tech Start Date]],28),IF(Main[[#This Row],[Class]]="B", WORKDAY(Main[[#This Row],[Tech Start Date]],19),IF(Main[[#This Row],[Class]]="A",WORKDAY(Main[[#This Row],[Tech Start Date]],9),""))))</f>
        <v/>
      </c>
      <c r="Q187" s="134">
        <v>40564</v>
      </c>
      <c r="R187" s="134"/>
      <c r="S187" s="132" t="s">
        <v>23</v>
      </c>
      <c r="T187" s="138" t="s">
        <v>4</v>
      </c>
      <c r="U187" s="132" t="s">
        <v>12</v>
      </c>
      <c r="V187" s="132" t="s">
        <v>1940</v>
      </c>
      <c r="W187" s="132" t="s">
        <v>1941</v>
      </c>
      <c r="X187" s="132" t="s">
        <v>423</v>
      </c>
      <c r="Y187" s="132" t="s">
        <v>3095</v>
      </c>
      <c r="Z187" s="132" t="s">
        <v>4</v>
      </c>
    </row>
    <row r="188" spans="1:26" ht="18.600000000000001" customHeight="1">
      <c r="A188" s="142" t="str">
        <f>IF(priority(Main[[#This Row],[Comments]])&lt;&gt;0, priority(Main[[#This Row],[Comments]]),"")</f>
        <v/>
      </c>
      <c r="B188" s="90" t="s">
        <v>1058</v>
      </c>
      <c r="C188" s="72" t="s">
        <v>53</v>
      </c>
      <c r="D188" s="73" t="s">
        <v>66</v>
      </c>
      <c r="E188" s="74"/>
      <c r="F188" s="74"/>
      <c r="G188" s="75" t="str">
        <f>IF(stdProdLT(Main[[#This Row],[Comments]])=0.1,"N/A",IF(stdProdLT(Main[[#This Row],[Comments]])=0,"",stdProdLT(Main[[#This Row],[Comments]])))</f>
        <v/>
      </c>
      <c r="H188" s="76" t="str">
        <f>IF(AND(Main[[#This Row],[In Stock Date]]&lt;&gt;"",Main[[#This Row],[Revised Due Date]]&lt;&gt;""),Main[[#This Row],[In Stock Date]]-Main[[#This Row],[Revised Due Date]],"")</f>
        <v/>
      </c>
      <c r="I188" s="72" t="s">
        <v>4</v>
      </c>
      <c r="J188" s="72" t="s">
        <v>4</v>
      </c>
      <c r="K188" s="72" t="s">
        <v>4</v>
      </c>
      <c r="L188" s="74"/>
      <c r="M188" s="77" t="str">
        <f>IF(Main[[#This Row],[Tech Start Date]]&lt;1/1/1990,"",IF(Main[[#This Row],[Class]]="C",WORKDAY(Main[[#This Row],[Tech Start Date]],9),IF(Main[[#This Row],[Class]]="B", WORKDAY(Main[[#This Row],[Tech Start Date]],6),IF(Main[[#This Row],[Class]]="A",WORKDAY(Main[[#This Row],[Tech Start Date]],2),""))))</f>
        <v/>
      </c>
      <c r="N188" s="77" t="str">
        <f>IF(Main[[#This Row],[Tech Start Date]]&lt;1/1/1990,"",IF(Main[[#This Row],[Class]]="C",WORKDAY(Main[[#This Row],[Tech Start Date]],19),IF(Main[[#This Row],[Class]]="B", WORKDAY(Main[[#This Row],[Tech Start Date]],12),IF(Main[[#This Row],[Class]]="A",WORKDAY(Main[[#This Row],[Tech Start Date]],4),""))))</f>
        <v/>
      </c>
      <c r="O188" s="77" t="str">
        <f>IF(Main[[#This Row],[Tech Start Date]]&lt;1/1/1990,"",IF(Main[[#This Row],[Class]]="C",WORKDAY(Main[[#This Row],[Tech Start Date]],23),IF(Main[[#This Row],[Class]]="B", WORKDAY(Main[[#This Row],[Tech Start Date]],15),IF(Main[[#This Row],[Class]]="A",WORKDAY(Main[[#This Row],[Tech Start Date]],5),""))))</f>
        <v/>
      </c>
      <c r="P188" s="77" t="str">
        <f>IF(Main[[#This Row],[Tech Start Date]]&lt;1/1/1990,"",IF(Main[[#This Row],[Class]]="C",WORKDAY(Main[[#This Row],[Tech Start Date]],28),IF(Main[[#This Row],[Class]]="B", WORKDAY(Main[[#This Row],[Tech Start Date]],19),IF(Main[[#This Row],[Class]]="A",WORKDAY(Main[[#This Row],[Tech Start Date]],9),""))))</f>
        <v/>
      </c>
      <c r="Q188" s="74">
        <v>40667</v>
      </c>
      <c r="R188" s="74"/>
      <c r="S188" s="72" t="s">
        <v>11</v>
      </c>
      <c r="T188" s="80" t="s">
        <v>4</v>
      </c>
      <c r="U188" s="72" t="s">
        <v>14</v>
      </c>
      <c r="V188" s="72" t="s">
        <v>1938</v>
      </c>
      <c r="W188" s="72" t="s">
        <v>1939</v>
      </c>
      <c r="X188" s="72" t="s">
        <v>2967</v>
      </c>
      <c r="Y188" s="72" t="s">
        <v>4</v>
      </c>
      <c r="Z188" s="72" t="s">
        <v>4</v>
      </c>
    </row>
    <row r="189" spans="1:26" ht="18.600000000000001" customHeight="1">
      <c r="A189" s="142" t="str">
        <f>IF(priority(Main[[#This Row],[Comments]])&lt;&gt;0, priority(Main[[#This Row],[Comments]]),"")</f>
        <v/>
      </c>
      <c r="B189" s="90" t="s">
        <v>2054</v>
      </c>
      <c r="C189" s="72" t="s">
        <v>4</v>
      </c>
      <c r="D189" s="73" t="s">
        <v>2055</v>
      </c>
      <c r="E189" s="74">
        <v>40749.684224537035</v>
      </c>
      <c r="F189" s="74"/>
      <c r="G189" s="75" t="str">
        <f>IF(stdProdLT(Main[[#This Row],[Comments]])=0.1,"N/A",IF(stdProdLT(Main[[#This Row],[Comments]])=0,"",stdProdLT(Main[[#This Row],[Comments]])))</f>
        <v/>
      </c>
      <c r="H189" s="76" t="str">
        <f>IF(AND(Main[[#This Row],[In Stock Date]]&lt;&gt;"",Main[[#This Row],[Revised Due Date]]&lt;&gt;""),Main[[#This Row],[In Stock Date]]-Main[[#This Row],[Revised Due Date]],"")</f>
        <v/>
      </c>
      <c r="I189" s="72" t="s">
        <v>4</v>
      </c>
      <c r="J189" s="72" t="s">
        <v>4</v>
      </c>
      <c r="K189" s="72" t="s">
        <v>4</v>
      </c>
      <c r="L189" s="74"/>
      <c r="M189" s="77" t="str">
        <f>IF(Main[[#This Row],[Tech Start Date]]&lt;1/1/1990,"",IF(Main[[#This Row],[Class]]="C",WORKDAY(Main[[#This Row],[Tech Start Date]],9),IF(Main[[#This Row],[Class]]="B", WORKDAY(Main[[#This Row],[Tech Start Date]],6),IF(Main[[#This Row],[Class]]="A",WORKDAY(Main[[#This Row],[Tech Start Date]],2),""))))</f>
        <v/>
      </c>
      <c r="N189" s="77" t="str">
        <f>IF(Main[[#This Row],[Tech Start Date]]&lt;1/1/1990,"",IF(Main[[#This Row],[Class]]="C",WORKDAY(Main[[#This Row],[Tech Start Date]],19),IF(Main[[#This Row],[Class]]="B", WORKDAY(Main[[#This Row],[Tech Start Date]],12),IF(Main[[#This Row],[Class]]="A",WORKDAY(Main[[#This Row],[Tech Start Date]],4),""))))</f>
        <v/>
      </c>
      <c r="O189" s="77" t="str">
        <f>IF(Main[[#This Row],[Tech Start Date]]&lt;1/1/1990,"",IF(Main[[#This Row],[Class]]="C",WORKDAY(Main[[#This Row],[Tech Start Date]],23),IF(Main[[#This Row],[Class]]="B", WORKDAY(Main[[#This Row],[Tech Start Date]],15),IF(Main[[#This Row],[Class]]="A",WORKDAY(Main[[#This Row],[Tech Start Date]],5),""))))</f>
        <v/>
      </c>
      <c r="P189" s="77" t="str">
        <f>IF(Main[[#This Row],[Tech Start Date]]&lt;1/1/1990,"",IF(Main[[#This Row],[Class]]="C",WORKDAY(Main[[#This Row],[Tech Start Date]],28),IF(Main[[#This Row],[Class]]="B", WORKDAY(Main[[#This Row],[Tech Start Date]],19),IF(Main[[#This Row],[Class]]="A",WORKDAY(Main[[#This Row],[Tech Start Date]],9),""))))</f>
        <v/>
      </c>
      <c r="Q189" s="74">
        <v>40781</v>
      </c>
      <c r="R189" s="74"/>
      <c r="S189" s="72" t="s">
        <v>6</v>
      </c>
      <c r="T189" s="80" t="s">
        <v>4</v>
      </c>
      <c r="U189" s="72" t="s">
        <v>7</v>
      </c>
      <c r="V189" s="72" t="s">
        <v>1937</v>
      </c>
      <c r="W189" s="72" t="s">
        <v>4</v>
      </c>
      <c r="X189" s="72" t="s">
        <v>2971</v>
      </c>
      <c r="Y189" s="72" t="s">
        <v>3090</v>
      </c>
      <c r="Z189" s="72" t="s">
        <v>4</v>
      </c>
    </row>
    <row r="190" spans="1:26" ht="18.600000000000001" customHeight="1">
      <c r="A190" s="142" t="str">
        <f>IF(priority(Main[[#This Row],[Comments]])&lt;&gt;0, priority(Main[[#This Row],[Comments]]),"")</f>
        <v/>
      </c>
      <c r="B190" s="90" t="s">
        <v>1069</v>
      </c>
      <c r="C190" s="72" t="s">
        <v>4</v>
      </c>
      <c r="D190" s="73" t="s">
        <v>85</v>
      </c>
      <c r="E190" s="74"/>
      <c r="F190" s="74"/>
      <c r="G190" s="75" t="str">
        <f>IF(stdProdLT(Main[[#This Row],[Comments]])=0.1,"N/A",IF(stdProdLT(Main[[#This Row],[Comments]])=0,"",stdProdLT(Main[[#This Row],[Comments]])))</f>
        <v/>
      </c>
      <c r="H190" s="76" t="str">
        <f>IF(AND(Main[[#This Row],[In Stock Date]]&lt;&gt;"",Main[[#This Row],[Revised Due Date]]&lt;&gt;""),Main[[#This Row],[In Stock Date]]-Main[[#This Row],[Revised Due Date]],"")</f>
        <v/>
      </c>
      <c r="I190" s="72" t="s">
        <v>4</v>
      </c>
      <c r="J190" s="72" t="s">
        <v>4</v>
      </c>
      <c r="K190" s="72" t="s">
        <v>4</v>
      </c>
      <c r="L190" s="74"/>
      <c r="M190" s="77" t="str">
        <f>IF(Main[[#This Row],[Tech Start Date]]&lt;1/1/1990,"",IF(Main[[#This Row],[Class]]="C",WORKDAY(Main[[#This Row],[Tech Start Date]],9),IF(Main[[#This Row],[Class]]="B", WORKDAY(Main[[#This Row],[Tech Start Date]],6),IF(Main[[#This Row],[Class]]="A",WORKDAY(Main[[#This Row],[Tech Start Date]],2),""))))</f>
        <v/>
      </c>
      <c r="N190" s="77" t="str">
        <f>IF(Main[[#This Row],[Tech Start Date]]&lt;1/1/1990,"",IF(Main[[#This Row],[Class]]="C",WORKDAY(Main[[#This Row],[Tech Start Date]],19),IF(Main[[#This Row],[Class]]="B", WORKDAY(Main[[#This Row],[Tech Start Date]],12),IF(Main[[#This Row],[Class]]="A",WORKDAY(Main[[#This Row],[Tech Start Date]],4),""))))</f>
        <v/>
      </c>
      <c r="O190" s="77" t="str">
        <f>IF(Main[[#This Row],[Tech Start Date]]&lt;1/1/1990,"",IF(Main[[#This Row],[Class]]="C",WORKDAY(Main[[#This Row],[Tech Start Date]],23),IF(Main[[#This Row],[Class]]="B", WORKDAY(Main[[#This Row],[Tech Start Date]],15),IF(Main[[#This Row],[Class]]="A",WORKDAY(Main[[#This Row],[Tech Start Date]],5),""))))</f>
        <v/>
      </c>
      <c r="P190" s="77" t="str">
        <f>IF(Main[[#This Row],[Tech Start Date]]&lt;1/1/1990,"",IF(Main[[#This Row],[Class]]="C",WORKDAY(Main[[#This Row],[Tech Start Date]],28),IF(Main[[#This Row],[Class]]="B", WORKDAY(Main[[#This Row],[Tech Start Date]],19),IF(Main[[#This Row],[Class]]="A",WORKDAY(Main[[#This Row],[Tech Start Date]],9),""))))</f>
        <v/>
      </c>
      <c r="Q190" s="74"/>
      <c r="R190" s="74"/>
      <c r="S190" s="72" t="s">
        <v>6</v>
      </c>
      <c r="T190" s="80" t="s">
        <v>4</v>
      </c>
      <c r="U190" s="72" t="s">
        <v>14</v>
      </c>
      <c r="V190" s="72" t="s">
        <v>1938</v>
      </c>
      <c r="W190" s="72" t="s">
        <v>1941</v>
      </c>
      <c r="X190" s="72" t="s">
        <v>404</v>
      </c>
      <c r="Y190" s="72" t="s">
        <v>4</v>
      </c>
      <c r="Z190" s="72" t="s">
        <v>4</v>
      </c>
    </row>
    <row r="191" spans="1:26" ht="18.600000000000001" customHeight="1">
      <c r="A191" s="142" t="str">
        <f>IF(priority(Main[[#This Row],[Comments]])&lt;&gt;0, priority(Main[[#This Row],[Comments]]),"")</f>
        <v/>
      </c>
      <c r="B191" s="139" t="s">
        <v>1954</v>
      </c>
      <c r="C191" s="132" t="s">
        <v>4</v>
      </c>
      <c r="D191" s="133" t="s">
        <v>5</v>
      </c>
      <c r="E191" s="134">
        <v>40485.386250000003</v>
      </c>
      <c r="F191" s="134"/>
      <c r="G191" s="135" t="str">
        <f>IF(stdProdLT(Main[[#This Row],[Comments]])=0.1,"N/A",IF(stdProdLT(Main[[#This Row],[Comments]])=0,"",stdProdLT(Main[[#This Row],[Comments]])))</f>
        <v/>
      </c>
      <c r="H191" s="136" t="str">
        <f>IF(AND(Main[[#This Row],[In Stock Date]]&lt;&gt;"",Main[[#This Row],[Revised Due Date]]&lt;&gt;""),Main[[#This Row],[In Stock Date]]-Main[[#This Row],[Revised Due Date]],"")</f>
        <v/>
      </c>
      <c r="I191" s="132" t="s">
        <v>4</v>
      </c>
      <c r="J191" s="132" t="s">
        <v>4</v>
      </c>
      <c r="K191" s="132" t="s">
        <v>4</v>
      </c>
      <c r="L191" s="134"/>
      <c r="M191" s="137" t="str">
        <f>IF(Main[[#This Row],[Tech Start Date]]&lt;1/1/1990,"",IF(Main[[#This Row],[Class]]="C",WORKDAY(Main[[#This Row],[Tech Start Date]],9),IF(Main[[#This Row],[Class]]="B", WORKDAY(Main[[#This Row],[Tech Start Date]],6),IF(Main[[#This Row],[Class]]="A",WORKDAY(Main[[#This Row],[Tech Start Date]],2),""))))</f>
        <v/>
      </c>
      <c r="N191" s="137" t="str">
        <f>IF(Main[[#This Row],[Tech Start Date]]&lt;1/1/1990,"",IF(Main[[#This Row],[Class]]="C",WORKDAY(Main[[#This Row],[Tech Start Date]],19),IF(Main[[#This Row],[Class]]="B", WORKDAY(Main[[#This Row],[Tech Start Date]],12),IF(Main[[#This Row],[Class]]="A",WORKDAY(Main[[#This Row],[Tech Start Date]],4),""))))</f>
        <v/>
      </c>
      <c r="O191" s="137" t="str">
        <f>IF(Main[[#This Row],[Tech Start Date]]&lt;1/1/1990,"",IF(Main[[#This Row],[Class]]="C",WORKDAY(Main[[#This Row],[Tech Start Date]],23),IF(Main[[#This Row],[Class]]="B", WORKDAY(Main[[#This Row],[Tech Start Date]],15),IF(Main[[#This Row],[Class]]="A",WORKDAY(Main[[#This Row],[Tech Start Date]],5),""))))</f>
        <v/>
      </c>
      <c r="P191" s="137" t="str">
        <f>IF(Main[[#This Row],[Tech Start Date]]&lt;1/1/1990,"",IF(Main[[#This Row],[Class]]="C",WORKDAY(Main[[#This Row],[Tech Start Date]],28),IF(Main[[#This Row],[Class]]="B", WORKDAY(Main[[#This Row],[Tech Start Date]],19),IF(Main[[#This Row],[Class]]="A",WORKDAY(Main[[#This Row],[Tech Start Date]],9),""))))</f>
        <v/>
      </c>
      <c r="Q191" s="134">
        <v>40508</v>
      </c>
      <c r="R191" s="134"/>
      <c r="S191" s="132" t="s">
        <v>6</v>
      </c>
      <c r="T191" s="138" t="s">
        <v>4</v>
      </c>
      <c r="U191" s="132" t="s">
        <v>7</v>
      </c>
      <c r="V191" s="132" t="s">
        <v>1937</v>
      </c>
      <c r="W191" s="132" t="s">
        <v>4</v>
      </c>
      <c r="X191" s="132" t="s">
        <v>2971</v>
      </c>
      <c r="Y191" s="132" t="s">
        <v>3090</v>
      </c>
      <c r="Z191" s="132" t="s">
        <v>4</v>
      </c>
    </row>
    <row r="192" spans="1:26" ht="18.600000000000001" customHeight="1">
      <c r="A192" s="142" t="str">
        <f>IF(priority(Main[[#This Row],[Comments]])&lt;&gt;0, priority(Main[[#This Row],[Comments]]),"")</f>
        <v/>
      </c>
      <c r="B192" s="90" t="s">
        <v>1024</v>
      </c>
      <c r="C192" s="72" t="s">
        <v>4</v>
      </c>
      <c r="D192" s="73" t="s">
        <v>8</v>
      </c>
      <c r="E192" s="74">
        <v>40679.251782407409</v>
      </c>
      <c r="F192" s="74"/>
      <c r="G192" s="75" t="str">
        <f>IF(stdProdLT(Main[[#This Row],[Comments]])=0.1,"N/A",IF(stdProdLT(Main[[#This Row],[Comments]])=0,"",stdProdLT(Main[[#This Row],[Comments]])))</f>
        <v/>
      </c>
      <c r="H192" s="76" t="str">
        <f>IF(AND(Main[[#This Row],[In Stock Date]]&lt;&gt;"",Main[[#This Row],[Revised Due Date]]&lt;&gt;""),Main[[#This Row],[In Stock Date]]-Main[[#This Row],[Revised Due Date]],"")</f>
        <v/>
      </c>
      <c r="I192" s="72" t="s">
        <v>4</v>
      </c>
      <c r="J192" s="72" t="s">
        <v>4</v>
      </c>
      <c r="K192" s="72" t="s">
        <v>4</v>
      </c>
      <c r="L192" s="74"/>
      <c r="M192" s="77" t="str">
        <f>IF(Main[[#This Row],[Tech Start Date]]&lt;1/1/1990,"",IF(Main[[#This Row],[Class]]="C",WORKDAY(Main[[#This Row],[Tech Start Date]],9),IF(Main[[#This Row],[Class]]="B", WORKDAY(Main[[#This Row],[Tech Start Date]],6),IF(Main[[#This Row],[Class]]="A",WORKDAY(Main[[#This Row],[Tech Start Date]],2),""))))</f>
        <v/>
      </c>
      <c r="N192" s="77" t="str">
        <f>IF(Main[[#This Row],[Tech Start Date]]&lt;1/1/1990,"",IF(Main[[#This Row],[Class]]="C",WORKDAY(Main[[#This Row],[Tech Start Date]],19),IF(Main[[#This Row],[Class]]="B", WORKDAY(Main[[#This Row],[Tech Start Date]],12),IF(Main[[#This Row],[Class]]="A",WORKDAY(Main[[#This Row],[Tech Start Date]],4),""))))</f>
        <v/>
      </c>
      <c r="O192" s="77" t="str">
        <f>IF(Main[[#This Row],[Tech Start Date]]&lt;1/1/1990,"",IF(Main[[#This Row],[Class]]="C",WORKDAY(Main[[#This Row],[Tech Start Date]],23),IF(Main[[#This Row],[Class]]="B", WORKDAY(Main[[#This Row],[Tech Start Date]],15),IF(Main[[#This Row],[Class]]="A",WORKDAY(Main[[#This Row],[Tech Start Date]],5),""))))</f>
        <v/>
      </c>
      <c r="P192" s="77" t="str">
        <f>IF(Main[[#This Row],[Tech Start Date]]&lt;1/1/1990,"",IF(Main[[#This Row],[Class]]="C",WORKDAY(Main[[#This Row],[Tech Start Date]],28),IF(Main[[#This Row],[Class]]="B", WORKDAY(Main[[#This Row],[Tech Start Date]],19),IF(Main[[#This Row],[Class]]="A",WORKDAY(Main[[#This Row],[Tech Start Date]],9),""))))</f>
        <v/>
      </c>
      <c r="Q192" s="74"/>
      <c r="R192" s="74"/>
      <c r="S192" s="72" t="s">
        <v>6</v>
      </c>
      <c r="T192" s="80" t="s">
        <v>4</v>
      </c>
      <c r="U192" s="72" t="s">
        <v>7</v>
      </c>
      <c r="V192" s="72" t="s">
        <v>1937</v>
      </c>
      <c r="W192" s="72" t="s">
        <v>4</v>
      </c>
      <c r="X192" s="72" t="s">
        <v>2974</v>
      </c>
      <c r="Y192" s="72" t="s">
        <v>3096</v>
      </c>
      <c r="Z192" s="72" t="s">
        <v>4</v>
      </c>
    </row>
    <row r="193" spans="1:26" ht="18.600000000000001" customHeight="1">
      <c r="A193" s="142" t="str">
        <f>IF(priority(Main[[#This Row],[Comments]])&lt;&gt;0, priority(Main[[#This Row],[Comments]]),"")</f>
        <v/>
      </c>
      <c r="B193" s="90" t="s">
        <v>1025</v>
      </c>
      <c r="C193" s="72" t="s">
        <v>9</v>
      </c>
      <c r="D193" s="73" t="s">
        <v>10</v>
      </c>
      <c r="E193" s="74"/>
      <c r="F193" s="74"/>
      <c r="G193" s="75" t="str">
        <f>IF(stdProdLT(Main[[#This Row],[Comments]])=0.1,"N/A",IF(stdProdLT(Main[[#This Row],[Comments]])=0,"",stdProdLT(Main[[#This Row],[Comments]])))</f>
        <v/>
      </c>
      <c r="H193" s="76" t="str">
        <f>IF(AND(Main[[#This Row],[In Stock Date]]&lt;&gt;"",Main[[#This Row],[Revised Due Date]]&lt;&gt;""),Main[[#This Row],[In Stock Date]]-Main[[#This Row],[Revised Due Date]],"")</f>
        <v/>
      </c>
      <c r="I193" s="72" t="s">
        <v>4</v>
      </c>
      <c r="J193" s="72" t="s">
        <v>4</v>
      </c>
      <c r="K193" s="72" t="s">
        <v>4</v>
      </c>
      <c r="L193" s="74"/>
      <c r="M193" s="77" t="str">
        <f>IF(Main[[#This Row],[Tech Start Date]]&lt;1/1/1990,"",IF(Main[[#This Row],[Class]]="C",WORKDAY(Main[[#This Row],[Tech Start Date]],9),IF(Main[[#This Row],[Class]]="B", WORKDAY(Main[[#This Row],[Tech Start Date]],6),IF(Main[[#This Row],[Class]]="A",WORKDAY(Main[[#This Row],[Tech Start Date]],2),""))))</f>
        <v/>
      </c>
      <c r="N193" s="77" t="str">
        <f>IF(Main[[#This Row],[Tech Start Date]]&lt;1/1/1990,"",IF(Main[[#This Row],[Class]]="C",WORKDAY(Main[[#This Row],[Tech Start Date]],19),IF(Main[[#This Row],[Class]]="B", WORKDAY(Main[[#This Row],[Tech Start Date]],12),IF(Main[[#This Row],[Class]]="A",WORKDAY(Main[[#This Row],[Tech Start Date]],4),""))))</f>
        <v/>
      </c>
      <c r="O193" s="77" t="str">
        <f>IF(Main[[#This Row],[Tech Start Date]]&lt;1/1/1990,"",IF(Main[[#This Row],[Class]]="C",WORKDAY(Main[[#This Row],[Tech Start Date]],23),IF(Main[[#This Row],[Class]]="B", WORKDAY(Main[[#This Row],[Tech Start Date]],15),IF(Main[[#This Row],[Class]]="A",WORKDAY(Main[[#This Row],[Tech Start Date]],5),""))))</f>
        <v/>
      </c>
      <c r="P193" s="77" t="str">
        <f>IF(Main[[#This Row],[Tech Start Date]]&lt;1/1/1990,"",IF(Main[[#This Row],[Class]]="C",WORKDAY(Main[[#This Row],[Tech Start Date]],28),IF(Main[[#This Row],[Class]]="B", WORKDAY(Main[[#This Row],[Tech Start Date]],19),IF(Main[[#This Row],[Class]]="A",WORKDAY(Main[[#This Row],[Tech Start Date]],9),""))))</f>
        <v/>
      </c>
      <c r="Q193" s="74">
        <v>40504</v>
      </c>
      <c r="R193" s="74"/>
      <c r="S193" s="72" t="s">
        <v>11</v>
      </c>
      <c r="T193" s="80" t="s">
        <v>4</v>
      </c>
      <c r="U193" s="72" t="s">
        <v>12</v>
      </c>
      <c r="V193" s="72" t="s">
        <v>1938</v>
      </c>
      <c r="W193" s="72" t="s">
        <v>1939</v>
      </c>
      <c r="X193" s="72" t="s">
        <v>2975</v>
      </c>
      <c r="Y193" s="72" t="s">
        <v>4</v>
      </c>
      <c r="Z193" s="72" t="s">
        <v>4</v>
      </c>
    </row>
    <row r="194" spans="1:26" ht="18.600000000000001" customHeight="1">
      <c r="A194" s="142" t="str">
        <f>IF(priority(Main[[#This Row],[Comments]])&lt;&gt;0, priority(Main[[#This Row],[Comments]]),"")</f>
        <v/>
      </c>
      <c r="B194" s="90" t="s">
        <v>1026</v>
      </c>
      <c r="C194" s="72" t="s">
        <v>4</v>
      </c>
      <c r="D194" s="73" t="s">
        <v>13</v>
      </c>
      <c r="E194" s="74"/>
      <c r="F194" s="74"/>
      <c r="G194" s="75" t="str">
        <f>IF(stdProdLT(Main[[#This Row],[Comments]])=0.1,"N/A",IF(stdProdLT(Main[[#This Row],[Comments]])=0,"",stdProdLT(Main[[#This Row],[Comments]])))</f>
        <v/>
      </c>
      <c r="H194" s="76" t="str">
        <f>IF(AND(Main[[#This Row],[In Stock Date]]&lt;&gt;"",Main[[#This Row],[Revised Due Date]]&lt;&gt;""),Main[[#This Row],[In Stock Date]]-Main[[#This Row],[Revised Due Date]],"")</f>
        <v/>
      </c>
      <c r="I194" s="72" t="s">
        <v>4</v>
      </c>
      <c r="J194" s="72" t="s">
        <v>4</v>
      </c>
      <c r="K194" s="81" t="s">
        <v>4</v>
      </c>
      <c r="L194" s="74"/>
      <c r="M194" s="77" t="str">
        <f>IF(Main[[#This Row],[Tech Start Date]]&lt;1/1/1990,"",IF(Main[[#This Row],[Class]]="C",WORKDAY(Main[[#This Row],[Tech Start Date]],9),IF(Main[[#This Row],[Class]]="B", WORKDAY(Main[[#This Row],[Tech Start Date]],6),IF(Main[[#This Row],[Class]]="A",WORKDAY(Main[[#This Row],[Tech Start Date]],2),""))))</f>
        <v/>
      </c>
      <c r="N194" s="77" t="str">
        <f>IF(Main[[#This Row],[Tech Start Date]]&lt;1/1/1990,"",IF(Main[[#This Row],[Class]]="C",WORKDAY(Main[[#This Row],[Tech Start Date]],19),IF(Main[[#This Row],[Class]]="B", WORKDAY(Main[[#This Row],[Tech Start Date]],12),IF(Main[[#This Row],[Class]]="A",WORKDAY(Main[[#This Row],[Tech Start Date]],4),""))))</f>
        <v/>
      </c>
      <c r="O194" s="77" t="str">
        <f>IF(Main[[#This Row],[Tech Start Date]]&lt;1/1/1990,"",IF(Main[[#This Row],[Class]]="C",WORKDAY(Main[[#This Row],[Tech Start Date]],23),IF(Main[[#This Row],[Class]]="B", WORKDAY(Main[[#This Row],[Tech Start Date]],15),IF(Main[[#This Row],[Class]]="A",WORKDAY(Main[[#This Row],[Tech Start Date]],5),""))))</f>
        <v/>
      </c>
      <c r="P194" s="77" t="str">
        <f>IF(Main[[#This Row],[Tech Start Date]]&lt;1/1/1990,"",IF(Main[[#This Row],[Class]]="C",WORKDAY(Main[[#This Row],[Tech Start Date]],28),IF(Main[[#This Row],[Class]]="B", WORKDAY(Main[[#This Row],[Tech Start Date]],19),IF(Main[[#This Row],[Class]]="A",WORKDAY(Main[[#This Row],[Tech Start Date]],9),""))))</f>
        <v/>
      </c>
      <c r="Q194" s="74"/>
      <c r="R194" s="74"/>
      <c r="S194" s="72" t="s">
        <v>6</v>
      </c>
      <c r="T194" s="80" t="s">
        <v>4</v>
      </c>
      <c r="U194" s="72" t="s">
        <v>14</v>
      </c>
      <c r="V194" s="72" t="s">
        <v>1940</v>
      </c>
      <c r="W194" s="72" t="s">
        <v>1941</v>
      </c>
      <c r="X194" s="72" t="s">
        <v>311</v>
      </c>
      <c r="Y194" s="72" t="s">
        <v>4</v>
      </c>
      <c r="Z194" s="72" t="s">
        <v>4</v>
      </c>
    </row>
    <row r="195" spans="1:26" ht="18.600000000000001" customHeight="1">
      <c r="A195" s="142" t="str">
        <f>IF(priority(Main[[#This Row],[Comments]])&lt;&gt;0, priority(Main[[#This Row],[Comments]]),"")</f>
        <v/>
      </c>
      <c r="B195" s="90" t="s">
        <v>1870</v>
      </c>
      <c r="C195" s="72" t="s">
        <v>95</v>
      </c>
      <c r="D195" s="73" t="s">
        <v>918</v>
      </c>
      <c r="E195" s="74">
        <v>40428.41710648148</v>
      </c>
      <c r="F195" s="74"/>
      <c r="G195" s="75" t="str">
        <f>IF(stdProdLT(Main[[#This Row],[Comments]])=0.1,"N/A",IF(stdProdLT(Main[[#This Row],[Comments]])=0,"",stdProdLT(Main[[#This Row],[Comments]])))</f>
        <v/>
      </c>
      <c r="H195" s="76" t="str">
        <f>IF(AND(Main[[#This Row],[In Stock Date]]&lt;&gt;"",Main[[#This Row],[Revised Due Date]]&lt;&gt;""),Main[[#This Row],[In Stock Date]]-Main[[#This Row],[Revised Due Date]],"")</f>
        <v/>
      </c>
      <c r="I195" s="72" t="s">
        <v>421</v>
      </c>
      <c r="J195" s="72" t="s">
        <v>28</v>
      </c>
      <c r="K195" s="81" t="s">
        <v>1949</v>
      </c>
      <c r="L195" s="74"/>
      <c r="M195" s="77" t="str">
        <f>IF(Main[[#This Row],[Tech Start Date]]&lt;1/1/1990,"",IF(Main[[#This Row],[Class]]="C",WORKDAY(Main[[#This Row],[Tech Start Date]],9),IF(Main[[#This Row],[Class]]="B", WORKDAY(Main[[#This Row],[Tech Start Date]],6),IF(Main[[#This Row],[Class]]="A",WORKDAY(Main[[#This Row],[Tech Start Date]],2),""))))</f>
        <v/>
      </c>
      <c r="N195" s="77" t="str">
        <f>IF(Main[[#This Row],[Tech Start Date]]&lt;1/1/1990,"",IF(Main[[#This Row],[Class]]="C",WORKDAY(Main[[#This Row],[Tech Start Date]],19),IF(Main[[#This Row],[Class]]="B", WORKDAY(Main[[#This Row],[Tech Start Date]],12),IF(Main[[#This Row],[Class]]="A",WORKDAY(Main[[#This Row],[Tech Start Date]],4),""))))</f>
        <v/>
      </c>
      <c r="O195" s="77" t="str">
        <f>IF(Main[[#This Row],[Tech Start Date]]&lt;1/1/1990,"",IF(Main[[#This Row],[Class]]="C",WORKDAY(Main[[#This Row],[Tech Start Date]],23),IF(Main[[#This Row],[Class]]="B", WORKDAY(Main[[#This Row],[Tech Start Date]],15),IF(Main[[#This Row],[Class]]="A",WORKDAY(Main[[#This Row],[Tech Start Date]],5),""))))</f>
        <v/>
      </c>
      <c r="P195" s="77" t="str">
        <f>IF(Main[[#This Row],[Tech Start Date]]&lt;1/1/1990,"",IF(Main[[#This Row],[Class]]="C",WORKDAY(Main[[#This Row],[Tech Start Date]],28),IF(Main[[#This Row],[Class]]="B", WORKDAY(Main[[#This Row],[Tech Start Date]],19),IF(Main[[#This Row],[Class]]="A",WORKDAY(Main[[#This Row],[Tech Start Date]],9),""))))</f>
        <v/>
      </c>
      <c r="Q195" s="74">
        <v>40512</v>
      </c>
      <c r="R195" s="74">
        <v>40918</v>
      </c>
      <c r="S195" s="72" t="s">
        <v>17</v>
      </c>
      <c r="T195" s="80" t="s">
        <v>4</v>
      </c>
      <c r="U195" s="72" t="s">
        <v>29</v>
      </c>
      <c r="V195" s="72" t="s">
        <v>1940</v>
      </c>
      <c r="W195" s="72" t="s">
        <v>1943</v>
      </c>
      <c r="X195" s="72" t="s">
        <v>421</v>
      </c>
      <c r="Y195" s="72" t="s">
        <v>3133</v>
      </c>
      <c r="Z195" s="72" t="s">
        <v>984</v>
      </c>
    </row>
    <row r="196" spans="1:26" ht="18.600000000000001" customHeight="1">
      <c r="A196" s="142" t="str">
        <f>IF(priority(Main[[#This Row],[Comments]])&lt;&gt;0, priority(Main[[#This Row],[Comments]]),"")</f>
        <v/>
      </c>
      <c r="B196" s="90" t="s">
        <v>1066</v>
      </c>
      <c r="C196" s="72" t="s">
        <v>86</v>
      </c>
      <c r="D196" s="73" t="s">
        <v>87</v>
      </c>
      <c r="E196" s="74"/>
      <c r="F196" s="74">
        <v>40555</v>
      </c>
      <c r="G196" s="75" t="str">
        <f>IF(stdProdLT(Main[[#This Row],[Comments]])=0.1,"N/A",IF(stdProdLT(Main[[#This Row],[Comments]])=0,"",stdProdLT(Main[[#This Row],[Comments]])))</f>
        <v/>
      </c>
      <c r="H196" s="76" t="str">
        <f>IF(AND(Main[[#This Row],[In Stock Date]]&lt;&gt;"",Main[[#This Row],[Revised Due Date]]&lt;&gt;""),Main[[#This Row],[In Stock Date]]-Main[[#This Row],[Revised Due Date]],"")</f>
        <v/>
      </c>
      <c r="I196" s="72" t="s">
        <v>4</v>
      </c>
      <c r="J196" s="72" t="s">
        <v>75</v>
      </c>
      <c r="K196" s="72" t="s">
        <v>4</v>
      </c>
      <c r="L196" s="74"/>
      <c r="M196" s="77" t="str">
        <f>IF(Main[[#This Row],[Tech Start Date]]&lt;1/1/1990,"",IF(Main[[#This Row],[Class]]="C",WORKDAY(Main[[#This Row],[Tech Start Date]],9),IF(Main[[#This Row],[Class]]="B", WORKDAY(Main[[#This Row],[Tech Start Date]],6),IF(Main[[#This Row],[Class]]="A",WORKDAY(Main[[#This Row],[Tech Start Date]],2),""))))</f>
        <v/>
      </c>
      <c r="N196" s="77" t="str">
        <f>IF(Main[[#This Row],[Tech Start Date]]&lt;1/1/1990,"",IF(Main[[#This Row],[Class]]="C",WORKDAY(Main[[#This Row],[Tech Start Date]],19),IF(Main[[#This Row],[Class]]="B", WORKDAY(Main[[#This Row],[Tech Start Date]],12),IF(Main[[#This Row],[Class]]="A",WORKDAY(Main[[#This Row],[Tech Start Date]],4),""))))</f>
        <v/>
      </c>
      <c r="O196" s="77" t="str">
        <f>IF(Main[[#This Row],[Tech Start Date]]&lt;1/1/1990,"",IF(Main[[#This Row],[Class]]="C",WORKDAY(Main[[#This Row],[Tech Start Date]],23),IF(Main[[#This Row],[Class]]="B", WORKDAY(Main[[#This Row],[Tech Start Date]],15),IF(Main[[#This Row],[Class]]="A",WORKDAY(Main[[#This Row],[Tech Start Date]],5),""))))</f>
        <v/>
      </c>
      <c r="P196" s="77" t="str">
        <f>IF(Main[[#This Row],[Tech Start Date]]&lt;1/1/1990,"",IF(Main[[#This Row],[Class]]="C",WORKDAY(Main[[#This Row],[Tech Start Date]],28),IF(Main[[#This Row],[Class]]="B", WORKDAY(Main[[#This Row],[Tech Start Date]],19),IF(Main[[#This Row],[Class]]="A",WORKDAY(Main[[#This Row],[Tech Start Date]],9),""))))</f>
        <v/>
      </c>
      <c r="Q196" s="74">
        <v>40446</v>
      </c>
      <c r="R196" s="74"/>
      <c r="S196" s="72" t="s">
        <v>49</v>
      </c>
      <c r="T196" s="80" t="s">
        <v>4</v>
      </c>
      <c r="U196" s="72" t="s">
        <v>14</v>
      </c>
      <c r="V196" s="72" t="s">
        <v>1940</v>
      </c>
      <c r="W196" s="72" t="s">
        <v>1939</v>
      </c>
      <c r="X196" s="72" t="s">
        <v>311</v>
      </c>
      <c r="Y196" s="72" t="s">
        <v>3134</v>
      </c>
      <c r="Z196" s="72" t="s">
        <v>311</v>
      </c>
    </row>
    <row r="197" spans="1:26" ht="18.600000000000001" customHeight="1">
      <c r="A197" s="142" t="str">
        <f>IF(priority(Main[[#This Row],[Comments]])&lt;&gt;0, priority(Main[[#This Row],[Comments]]),"")</f>
        <v/>
      </c>
      <c r="B197" s="90" t="s">
        <v>2595</v>
      </c>
      <c r="C197" s="72" t="s">
        <v>2392</v>
      </c>
      <c r="D197" s="73" t="s">
        <v>2596</v>
      </c>
      <c r="E197" s="74"/>
      <c r="F197" s="74">
        <v>41008</v>
      </c>
      <c r="G197" s="75" t="str">
        <f>IF(stdProdLT(Main[[#This Row],[Comments]])=0.1,"N/A",IF(stdProdLT(Main[[#This Row],[Comments]])=0,"",stdProdLT(Main[[#This Row],[Comments]])))</f>
        <v/>
      </c>
      <c r="H197" s="76" t="str">
        <f>IF(AND(Main[[#This Row],[In Stock Date]]&lt;&gt;"",Main[[#This Row],[Revised Due Date]]&lt;&gt;""),Main[[#This Row],[In Stock Date]]-Main[[#This Row],[Revised Due Date]],"")</f>
        <v/>
      </c>
      <c r="I197" s="72" t="s">
        <v>4</v>
      </c>
      <c r="J197" s="72" t="s">
        <v>4</v>
      </c>
      <c r="K197" s="72" t="s">
        <v>4</v>
      </c>
      <c r="L197" s="74"/>
      <c r="M197" s="77" t="str">
        <f>IF(Main[[#This Row],[Tech Start Date]]&lt;1/1/1990,"",IF(Main[[#This Row],[Class]]="C",WORKDAY(Main[[#This Row],[Tech Start Date]],9),IF(Main[[#This Row],[Class]]="B", WORKDAY(Main[[#This Row],[Tech Start Date]],6),IF(Main[[#This Row],[Class]]="A",WORKDAY(Main[[#This Row],[Tech Start Date]],2),""))))</f>
        <v/>
      </c>
      <c r="N197" s="77" t="str">
        <f>IF(Main[[#This Row],[Tech Start Date]]&lt;1/1/1990,"",IF(Main[[#This Row],[Class]]="C",WORKDAY(Main[[#This Row],[Tech Start Date]],19),IF(Main[[#This Row],[Class]]="B", WORKDAY(Main[[#This Row],[Tech Start Date]],12),IF(Main[[#This Row],[Class]]="A",WORKDAY(Main[[#This Row],[Tech Start Date]],4),""))))</f>
        <v/>
      </c>
      <c r="O197" s="77" t="str">
        <f>IF(Main[[#This Row],[Tech Start Date]]&lt;1/1/1990,"",IF(Main[[#This Row],[Class]]="C",WORKDAY(Main[[#This Row],[Tech Start Date]],23),IF(Main[[#This Row],[Class]]="B", WORKDAY(Main[[#This Row],[Tech Start Date]],15),IF(Main[[#This Row],[Class]]="A",WORKDAY(Main[[#This Row],[Tech Start Date]],5),""))))</f>
        <v/>
      </c>
      <c r="P197" s="77" t="str">
        <f>IF(Main[[#This Row],[Tech Start Date]]&lt;1/1/1990,"",IF(Main[[#This Row],[Class]]="C",WORKDAY(Main[[#This Row],[Tech Start Date]],28),IF(Main[[#This Row],[Class]]="B", WORKDAY(Main[[#This Row],[Tech Start Date]],19),IF(Main[[#This Row],[Class]]="A",WORKDAY(Main[[#This Row],[Tech Start Date]],9),""))))</f>
        <v/>
      </c>
      <c r="Q197" s="74">
        <v>40826</v>
      </c>
      <c r="R197" s="74"/>
      <c r="S197" s="72" t="s">
        <v>11</v>
      </c>
      <c r="T197" s="80" t="s">
        <v>4</v>
      </c>
      <c r="U197" s="72" t="s">
        <v>12</v>
      </c>
      <c r="V197" s="72" t="s">
        <v>1940</v>
      </c>
      <c r="W197" s="72" t="s">
        <v>1943</v>
      </c>
      <c r="X197" s="72" t="s">
        <v>2995</v>
      </c>
      <c r="Y197" s="72" t="s">
        <v>4</v>
      </c>
      <c r="Z197" s="72" t="s">
        <v>4</v>
      </c>
    </row>
    <row r="198" spans="1:26" ht="18.600000000000001" customHeight="1">
      <c r="A198" s="142" t="str">
        <f>IF(priority(Main[[#This Row],[Comments]])&lt;&gt;0, priority(Main[[#This Row],[Comments]]),"")</f>
        <v/>
      </c>
      <c r="B198" s="90" t="s">
        <v>1067</v>
      </c>
      <c r="C198" s="72" t="s">
        <v>88</v>
      </c>
      <c r="D198" s="73" t="s">
        <v>89</v>
      </c>
      <c r="E198" s="74"/>
      <c r="F198" s="74">
        <v>40709</v>
      </c>
      <c r="G198" s="75" t="str">
        <f>IF(stdProdLT(Main[[#This Row],[Comments]])=0.1,"N/A",IF(stdProdLT(Main[[#This Row],[Comments]])=0,"",stdProdLT(Main[[#This Row],[Comments]])))</f>
        <v/>
      </c>
      <c r="H198" s="76" t="str">
        <f>IF(AND(Main[[#This Row],[In Stock Date]]&lt;&gt;"",Main[[#This Row],[Revised Due Date]]&lt;&gt;""),Main[[#This Row],[In Stock Date]]-Main[[#This Row],[Revised Due Date]],"")</f>
        <v/>
      </c>
      <c r="I198" s="72" t="s">
        <v>4</v>
      </c>
      <c r="J198" s="72" t="s">
        <v>28</v>
      </c>
      <c r="K198" s="72" t="s">
        <v>1950</v>
      </c>
      <c r="L198" s="74"/>
      <c r="M198" s="77" t="str">
        <f>IF(Main[[#This Row],[Tech Start Date]]&lt;1/1/1990,"",IF(Main[[#This Row],[Class]]="C",WORKDAY(Main[[#This Row],[Tech Start Date]],9),IF(Main[[#This Row],[Class]]="B", WORKDAY(Main[[#This Row],[Tech Start Date]],6),IF(Main[[#This Row],[Class]]="A",WORKDAY(Main[[#This Row],[Tech Start Date]],2),""))))</f>
        <v/>
      </c>
      <c r="N198" s="77" t="str">
        <f>IF(Main[[#This Row],[Tech Start Date]]&lt;1/1/1990,"",IF(Main[[#This Row],[Class]]="C",WORKDAY(Main[[#This Row],[Tech Start Date]],19),IF(Main[[#This Row],[Class]]="B", WORKDAY(Main[[#This Row],[Tech Start Date]],12),IF(Main[[#This Row],[Class]]="A",WORKDAY(Main[[#This Row],[Tech Start Date]],4),""))))</f>
        <v/>
      </c>
      <c r="O198" s="77" t="str">
        <f>IF(Main[[#This Row],[Tech Start Date]]&lt;1/1/1990,"",IF(Main[[#This Row],[Class]]="C",WORKDAY(Main[[#This Row],[Tech Start Date]],23),IF(Main[[#This Row],[Class]]="B", WORKDAY(Main[[#This Row],[Tech Start Date]],15),IF(Main[[#This Row],[Class]]="A",WORKDAY(Main[[#This Row],[Tech Start Date]],5),""))))</f>
        <v/>
      </c>
      <c r="P198" s="77" t="str">
        <f>IF(Main[[#This Row],[Tech Start Date]]&lt;1/1/1990,"",IF(Main[[#This Row],[Class]]="C",WORKDAY(Main[[#This Row],[Tech Start Date]],28),IF(Main[[#This Row],[Class]]="B", WORKDAY(Main[[#This Row],[Tech Start Date]],19),IF(Main[[#This Row],[Class]]="A",WORKDAY(Main[[#This Row],[Tech Start Date]],9),""))))</f>
        <v/>
      </c>
      <c r="Q198" s="74">
        <v>40612</v>
      </c>
      <c r="R198" s="74"/>
      <c r="S198" s="72" t="s">
        <v>11</v>
      </c>
      <c r="T198" s="80" t="s">
        <v>4</v>
      </c>
      <c r="U198" s="72" t="s">
        <v>14</v>
      </c>
      <c r="V198" s="72" t="s">
        <v>1937</v>
      </c>
      <c r="W198" s="72" t="s">
        <v>1942</v>
      </c>
      <c r="X198" s="72" t="s">
        <v>2996</v>
      </c>
      <c r="Y198" s="72" t="s">
        <v>3135</v>
      </c>
      <c r="Z198" s="72" t="s">
        <v>129</v>
      </c>
    </row>
    <row r="199" spans="1:26" ht="18.600000000000001" customHeight="1">
      <c r="A199" s="142" t="str">
        <f>IF(priority(Main[[#This Row],[Comments]])&lt;&gt;0, priority(Main[[#This Row],[Comments]]),"")</f>
        <v/>
      </c>
      <c r="B199" s="126" t="s">
        <v>1068</v>
      </c>
      <c r="C199" s="118" t="s">
        <v>4</v>
      </c>
      <c r="D199" s="119" t="s">
        <v>90</v>
      </c>
      <c r="E199" s="120"/>
      <c r="F199" s="120"/>
      <c r="G199" s="121" t="str">
        <f>IF(stdProdLT(Main[[#This Row],[Comments]])=0.1,"N/A",IF(stdProdLT(Main[[#This Row],[Comments]])=0,"",stdProdLT(Main[[#This Row],[Comments]])))</f>
        <v/>
      </c>
      <c r="H199" s="122" t="str">
        <f>IF(AND(Main[[#This Row],[In Stock Date]]&lt;&gt;"",Main[[#This Row],[Revised Due Date]]&lt;&gt;""),Main[[#This Row],[In Stock Date]]-Main[[#This Row],[Revised Due Date]],"")</f>
        <v/>
      </c>
      <c r="I199" s="118" t="s">
        <v>4</v>
      </c>
      <c r="J199" s="118" t="s">
        <v>4</v>
      </c>
      <c r="K199" s="118" t="s">
        <v>4</v>
      </c>
      <c r="L199" s="120"/>
      <c r="M199" s="123" t="str">
        <f>IF(Main[[#This Row],[Tech Start Date]]&lt;1/1/1990,"",IF(Main[[#This Row],[Class]]="C",WORKDAY(Main[[#This Row],[Tech Start Date]],9),IF(Main[[#This Row],[Class]]="B", WORKDAY(Main[[#This Row],[Tech Start Date]],6),IF(Main[[#This Row],[Class]]="A",WORKDAY(Main[[#This Row],[Tech Start Date]],2),""))))</f>
        <v/>
      </c>
      <c r="N199" s="123" t="str">
        <f>IF(Main[[#This Row],[Tech Start Date]]&lt;1/1/1990,"",IF(Main[[#This Row],[Class]]="C",WORKDAY(Main[[#This Row],[Tech Start Date]],19),IF(Main[[#This Row],[Class]]="B", WORKDAY(Main[[#This Row],[Tech Start Date]],12),IF(Main[[#This Row],[Class]]="A",WORKDAY(Main[[#This Row],[Tech Start Date]],4),""))))</f>
        <v/>
      </c>
      <c r="O199" s="123" t="str">
        <f>IF(Main[[#This Row],[Tech Start Date]]&lt;1/1/1990,"",IF(Main[[#This Row],[Class]]="C",WORKDAY(Main[[#This Row],[Tech Start Date]],23),IF(Main[[#This Row],[Class]]="B", WORKDAY(Main[[#This Row],[Tech Start Date]],15),IF(Main[[#This Row],[Class]]="A",WORKDAY(Main[[#This Row],[Tech Start Date]],5),""))))</f>
        <v/>
      </c>
      <c r="P199" s="123" t="str">
        <f>IF(Main[[#This Row],[Tech Start Date]]&lt;1/1/1990,"",IF(Main[[#This Row],[Class]]="C",WORKDAY(Main[[#This Row],[Tech Start Date]],28),IF(Main[[#This Row],[Class]]="B", WORKDAY(Main[[#This Row],[Tech Start Date]],19),IF(Main[[#This Row],[Class]]="A",WORKDAY(Main[[#This Row],[Tech Start Date]],9),""))))</f>
        <v/>
      </c>
      <c r="Q199" s="120"/>
      <c r="R199" s="120"/>
      <c r="S199" s="118" t="s">
        <v>23</v>
      </c>
      <c r="T199" s="124" t="s">
        <v>4</v>
      </c>
      <c r="U199" s="118" t="s">
        <v>14</v>
      </c>
      <c r="V199" s="118" t="s">
        <v>1937</v>
      </c>
      <c r="W199" s="118" t="s">
        <v>1941</v>
      </c>
      <c r="X199" s="118" t="s">
        <v>404</v>
      </c>
      <c r="Y199" s="118" t="s">
        <v>3116</v>
      </c>
      <c r="Z199" s="118" t="s">
        <v>4</v>
      </c>
    </row>
    <row r="200" spans="1:26" ht="18.600000000000001" customHeight="1">
      <c r="A200" s="142" t="str">
        <f>IF(priority(Main[[#This Row],[Comments]])&lt;&gt;0, priority(Main[[#This Row],[Comments]]),"")</f>
        <v/>
      </c>
      <c r="B200" s="90" t="s">
        <v>1917</v>
      </c>
      <c r="C200" s="72" t="s">
        <v>4</v>
      </c>
      <c r="D200" s="73" t="s">
        <v>2963</v>
      </c>
      <c r="E200" s="74">
        <v>40203.692094907405</v>
      </c>
      <c r="F200" s="74"/>
      <c r="G200" s="75" t="str">
        <f>IF(stdProdLT(Main[[#This Row],[Comments]])=0.1,"N/A",IF(stdProdLT(Main[[#This Row],[Comments]])=0,"",stdProdLT(Main[[#This Row],[Comments]])))</f>
        <v/>
      </c>
      <c r="H200" s="76" t="str">
        <f>IF(AND(Main[[#This Row],[In Stock Date]]&lt;&gt;"",Main[[#This Row],[Revised Due Date]]&lt;&gt;""),Main[[#This Row],[In Stock Date]]-Main[[#This Row],[Revised Due Date]],"")</f>
        <v/>
      </c>
      <c r="I200" s="72" t="s">
        <v>891</v>
      </c>
      <c r="J200" s="72" t="s">
        <v>28</v>
      </c>
      <c r="K200" s="72" t="s">
        <v>1949</v>
      </c>
      <c r="L200" s="74"/>
      <c r="M200" s="77" t="str">
        <f>IF(Main[[#This Row],[Tech Start Date]]&lt;1/1/1990,"",IF(Main[[#This Row],[Class]]="C",WORKDAY(Main[[#This Row],[Tech Start Date]],9),IF(Main[[#This Row],[Class]]="B", WORKDAY(Main[[#This Row],[Tech Start Date]],6),IF(Main[[#This Row],[Class]]="A",WORKDAY(Main[[#This Row],[Tech Start Date]],2),""))))</f>
        <v/>
      </c>
      <c r="N200" s="77" t="str">
        <f>IF(Main[[#This Row],[Tech Start Date]]&lt;1/1/1990,"",IF(Main[[#This Row],[Class]]="C",WORKDAY(Main[[#This Row],[Tech Start Date]],19),IF(Main[[#This Row],[Class]]="B", WORKDAY(Main[[#This Row],[Tech Start Date]],12),IF(Main[[#This Row],[Class]]="A",WORKDAY(Main[[#This Row],[Tech Start Date]],4),""))))</f>
        <v/>
      </c>
      <c r="O200" s="77" t="str">
        <f>IF(Main[[#This Row],[Tech Start Date]]&lt;1/1/1990,"",IF(Main[[#This Row],[Class]]="C",WORKDAY(Main[[#This Row],[Tech Start Date]],23),IF(Main[[#This Row],[Class]]="B", WORKDAY(Main[[#This Row],[Tech Start Date]],15),IF(Main[[#This Row],[Class]]="A",WORKDAY(Main[[#This Row],[Tech Start Date]],5),""))))</f>
        <v/>
      </c>
      <c r="P200" s="77" t="str">
        <f>IF(Main[[#This Row],[Tech Start Date]]&lt;1/1/1990,"",IF(Main[[#This Row],[Class]]="C",WORKDAY(Main[[#This Row],[Tech Start Date]],28),IF(Main[[#This Row],[Class]]="B", WORKDAY(Main[[#This Row],[Tech Start Date]],19),IF(Main[[#This Row],[Class]]="A",WORKDAY(Main[[#This Row],[Tech Start Date]],9),""))))</f>
        <v/>
      </c>
      <c r="Q200" s="74">
        <v>40724</v>
      </c>
      <c r="R200" s="74">
        <v>40998</v>
      </c>
      <c r="S200" s="72" t="s">
        <v>17</v>
      </c>
      <c r="T200" s="80" t="s">
        <v>2512</v>
      </c>
      <c r="U200" s="72" t="s">
        <v>29</v>
      </c>
      <c r="V200" s="72" t="s">
        <v>1937</v>
      </c>
      <c r="W200" s="72" t="s">
        <v>1942</v>
      </c>
      <c r="X200" s="72" t="s">
        <v>129</v>
      </c>
      <c r="Y200" s="72" t="s">
        <v>3091</v>
      </c>
      <c r="Z200" s="72" t="s">
        <v>129</v>
      </c>
    </row>
    <row r="201" spans="1:26" ht="18.600000000000001" customHeight="1">
      <c r="A201" s="142" t="str">
        <f>IF(priority(Main[[#This Row],[Comments]])&lt;&gt;0, priority(Main[[#This Row],[Comments]]),"")</f>
        <v/>
      </c>
      <c r="B201" s="90" t="s">
        <v>1070</v>
      </c>
      <c r="C201" s="72" t="s">
        <v>93</v>
      </c>
      <c r="D201" s="73" t="s">
        <v>94</v>
      </c>
      <c r="E201" s="74"/>
      <c r="F201" s="74">
        <v>40299</v>
      </c>
      <c r="G201" s="75" t="str">
        <f>IF(stdProdLT(Main[[#This Row],[Comments]])=0.1,"N/A",IF(stdProdLT(Main[[#This Row],[Comments]])=0,"",stdProdLT(Main[[#This Row],[Comments]])))</f>
        <v/>
      </c>
      <c r="H201" s="76" t="str">
        <f>IF(AND(Main[[#This Row],[In Stock Date]]&lt;&gt;"",Main[[#This Row],[Revised Due Date]]&lt;&gt;""),Main[[#This Row],[In Stock Date]]-Main[[#This Row],[Revised Due Date]],"")</f>
        <v/>
      </c>
      <c r="I201" s="72" t="s">
        <v>4</v>
      </c>
      <c r="J201" s="72" t="s">
        <v>4</v>
      </c>
      <c r="K201" s="72" t="s">
        <v>4</v>
      </c>
      <c r="L201" s="74"/>
      <c r="M201" s="77" t="str">
        <f>IF(Main[[#This Row],[Tech Start Date]]&lt;1/1/1990,"",IF(Main[[#This Row],[Class]]="C",WORKDAY(Main[[#This Row],[Tech Start Date]],9),IF(Main[[#This Row],[Class]]="B", WORKDAY(Main[[#This Row],[Tech Start Date]],6),IF(Main[[#This Row],[Class]]="A",WORKDAY(Main[[#This Row],[Tech Start Date]],2),""))))</f>
        <v/>
      </c>
      <c r="N201" s="77" t="str">
        <f>IF(Main[[#This Row],[Tech Start Date]]&lt;1/1/1990,"",IF(Main[[#This Row],[Class]]="C",WORKDAY(Main[[#This Row],[Tech Start Date]],19),IF(Main[[#This Row],[Class]]="B", WORKDAY(Main[[#This Row],[Tech Start Date]],12),IF(Main[[#This Row],[Class]]="A",WORKDAY(Main[[#This Row],[Tech Start Date]],4),""))))</f>
        <v/>
      </c>
      <c r="O201" s="77" t="str">
        <f>IF(Main[[#This Row],[Tech Start Date]]&lt;1/1/1990,"",IF(Main[[#This Row],[Class]]="C",WORKDAY(Main[[#This Row],[Tech Start Date]],23),IF(Main[[#This Row],[Class]]="B", WORKDAY(Main[[#This Row],[Tech Start Date]],15),IF(Main[[#This Row],[Class]]="A",WORKDAY(Main[[#This Row],[Tech Start Date]],5),""))))</f>
        <v/>
      </c>
      <c r="P201" s="77" t="str">
        <f>IF(Main[[#This Row],[Tech Start Date]]&lt;1/1/1990,"",IF(Main[[#This Row],[Class]]="C",WORKDAY(Main[[#This Row],[Tech Start Date]],28),IF(Main[[#This Row],[Class]]="B", WORKDAY(Main[[#This Row],[Tech Start Date]],19),IF(Main[[#This Row],[Class]]="A",WORKDAY(Main[[#This Row],[Tech Start Date]],9),""))))</f>
        <v/>
      </c>
      <c r="Q201" s="74">
        <v>40209</v>
      </c>
      <c r="R201" s="74"/>
      <c r="S201" s="72" t="s">
        <v>11</v>
      </c>
      <c r="T201" s="80" t="s">
        <v>4</v>
      </c>
      <c r="U201" s="72" t="s">
        <v>14</v>
      </c>
      <c r="V201" s="72" t="s">
        <v>1937</v>
      </c>
      <c r="W201" s="72" t="s">
        <v>1948</v>
      </c>
      <c r="X201" s="72" t="s">
        <v>2997</v>
      </c>
      <c r="Y201" s="72" t="s">
        <v>4</v>
      </c>
      <c r="Z201" s="72" t="s">
        <v>4</v>
      </c>
    </row>
    <row r="202" spans="1:26" ht="18.600000000000001" customHeight="1">
      <c r="A202" s="142" t="str">
        <f>IF(priority(Main[[#This Row],[Comments]])&lt;&gt;0, priority(Main[[#This Row],[Comments]]),"")</f>
        <v/>
      </c>
      <c r="B202" s="90" t="s">
        <v>1568</v>
      </c>
      <c r="C202" s="72" t="s">
        <v>4</v>
      </c>
      <c r="D202" s="73" t="s">
        <v>2768</v>
      </c>
      <c r="E202" s="74">
        <v>40718.447500000002</v>
      </c>
      <c r="F202" s="74"/>
      <c r="G202" s="75" t="str">
        <f>IF(stdProdLT(Main[[#This Row],[Comments]])=0.1,"N/A",IF(stdProdLT(Main[[#This Row],[Comments]])=0,"",stdProdLT(Main[[#This Row],[Comments]])))</f>
        <v/>
      </c>
      <c r="H202" s="76" t="str">
        <f>IF(AND(Main[[#This Row],[In Stock Date]]&lt;&gt;"",Main[[#This Row],[Revised Due Date]]&lt;&gt;""),Main[[#This Row],[In Stock Date]]-Main[[#This Row],[Revised Due Date]],"")</f>
        <v/>
      </c>
      <c r="I202" s="72" t="s">
        <v>536</v>
      </c>
      <c r="J202" s="72" t="s">
        <v>52</v>
      </c>
      <c r="K202" s="72" t="s">
        <v>1946</v>
      </c>
      <c r="L202" s="74"/>
      <c r="M202" s="77" t="str">
        <f>IF(Main[[#This Row],[Tech Start Date]]&lt;1/1/1990,"",IF(Main[[#This Row],[Class]]="C",WORKDAY(Main[[#This Row],[Tech Start Date]],9),IF(Main[[#This Row],[Class]]="B", WORKDAY(Main[[#This Row],[Tech Start Date]],6),IF(Main[[#This Row],[Class]]="A",WORKDAY(Main[[#This Row],[Tech Start Date]],2),""))))</f>
        <v/>
      </c>
      <c r="N202" s="77" t="str">
        <f>IF(Main[[#This Row],[Tech Start Date]]&lt;1/1/1990,"",IF(Main[[#This Row],[Class]]="C",WORKDAY(Main[[#This Row],[Tech Start Date]],19),IF(Main[[#This Row],[Class]]="B", WORKDAY(Main[[#This Row],[Tech Start Date]],12),IF(Main[[#This Row],[Class]]="A",WORKDAY(Main[[#This Row],[Tech Start Date]],4),""))))</f>
        <v/>
      </c>
      <c r="O202" s="77" t="str">
        <f>IF(Main[[#This Row],[Tech Start Date]]&lt;1/1/1990,"",IF(Main[[#This Row],[Class]]="C",WORKDAY(Main[[#This Row],[Tech Start Date]],23),IF(Main[[#This Row],[Class]]="B", WORKDAY(Main[[#This Row],[Tech Start Date]],15),IF(Main[[#This Row],[Class]]="A",WORKDAY(Main[[#This Row],[Tech Start Date]],5),""))))</f>
        <v/>
      </c>
      <c r="P202" s="77" t="str">
        <f>IF(Main[[#This Row],[Tech Start Date]]&lt;1/1/1990,"",IF(Main[[#This Row],[Class]]="C",WORKDAY(Main[[#This Row],[Tech Start Date]],28),IF(Main[[#This Row],[Class]]="B", WORKDAY(Main[[#This Row],[Tech Start Date]],19),IF(Main[[#This Row],[Class]]="A",WORKDAY(Main[[#This Row],[Tech Start Date]],9),""))))</f>
        <v/>
      </c>
      <c r="Q202" s="74">
        <v>40786</v>
      </c>
      <c r="R202" s="74"/>
      <c r="S202" s="72" t="s">
        <v>6</v>
      </c>
      <c r="T202" s="80" t="s">
        <v>4</v>
      </c>
      <c r="U202" s="72" t="s">
        <v>29</v>
      </c>
      <c r="V202" s="72" t="s">
        <v>1940</v>
      </c>
      <c r="W202" s="72" t="s">
        <v>1941</v>
      </c>
      <c r="X202" s="72" t="s">
        <v>311</v>
      </c>
      <c r="Y202" s="72" t="s">
        <v>3099</v>
      </c>
      <c r="Z202" s="72" t="s">
        <v>30</v>
      </c>
    </row>
    <row r="203" spans="1:26" ht="18.600000000000001" customHeight="1">
      <c r="A203" s="142" t="str">
        <f>IF(priority(Main[[#This Row],[Comments]])&lt;&gt;0, priority(Main[[#This Row],[Comments]]),"")</f>
        <v/>
      </c>
      <c r="B203" s="90" t="s">
        <v>1072</v>
      </c>
      <c r="C203" s="72" t="s">
        <v>4</v>
      </c>
      <c r="D203" s="73" t="s">
        <v>39</v>
      </c>
      <c r="E203" s="74"/>
      <c r="F203" s="74"/>
      <c r="G203" s="75" t="str">
        <f>IF(stdProdLT(Main[[#This Row],[Comments]])=0.1,"N/A",IF(stdProdLT(Main[[#This Row],[Comments]])=0,"",stdProdLT(Main[[#This Row],[Comments]])))</f>
        <v/>
      </c>
      <c r="H203" s="76" t="str">
        <f>IF(AND(Main[[#This Row],[In Stock Date]]&lt;&gt;"",Main[[#This Row],[Revised Due Date]]&lt;&gt;""),Main[[#This Row],[In Stock Date]]-Main[[#This Row],[Revised Due Date]],"")</f>
        <v/>
      </c>
      <c r="I203" s="72" t="s">
        <v>4</v>
      </c>
      <c r="J203" s="72" t="s">
        <v>4</v>
      </c>
      <c r="K203" s="72" t="s">
        <v>4</v>
      </c>
      <c r="L203" s="74"/>
      <c r="M203" s="77" t="str">
        <f>IF(Main[[#This Row],[Tech Start Date]]&lt;1/1/1990,"",IF(Main[[#This Row],[Class]]="C",WORKDAY(Main[[#This Row],[Tech Start Date]],9),IF(Main[[#This Row],[Class]]="B", WORKDAY(Main[[#This Row],[Tech Start Date]],6),IF(Main[[#This Row],[Class]]="A",WORKDAY(Main[[#This Row],[Tech Start Date]],2),""))))</f>
        <v/>
      </c>
      <c r="N203" s="77" t="str">
        <f>IF(Main[[#This Row],[Tech Start Date]]&lt;1/1/1990,"",IF(Main[[#This Row],[Class]]="C",WORKDAY(Main[[#This Row],[Tech Start Date]],19),IF(Main[[#This Row],[Class]]="B", WORKDAY(Main[[#This Row],[Tech Start Date]],12),IF(Main[[#This Row],[Class]]="A",WORKDAY(Main[[#This Row],[Tech Start Date]],4),""))))</f>
        <v/>
      </c>
      <c r="O203" s="77" t="str">
        <f>IF(Main[[#This Row],[Tech Start Date]]&lt;1/1/1990,"",IF(Main[[#This Row],[Class]]="C",WORKDAY(Main[[#This Row],[Tech Start Date]],23),IF(Main[[#This Row],[Class]]="B", WORKDAY(Main[[#This Row],[Tech Start Date]],15),IF(Main[[#This Row],[Class]]="A",WORKDAY(Main[[#This Row],[Tech Start Date]],5),""))))</f>
        <v/>
      </c>
      <c r="P203" s="77" t="str">
        <f>IF(Main[[#This Row],[Tech Start Date]]&lt;1/1/1990,"",IF(Main[[#This Row],[Class]]="C",WORKDAY(Main[[#This Row],[Tech Start Date]],28),IF(Main[[#This Row],[Class]]="B", WORKDAY(Main[[#This Row],[Tech Start Date]],19),IF(Main[[#This Row],[Class]]="A",WORKDAY(Main[[#This Row],[Tech Start Date]],9),""))))</f>
        <v/>
      </c>
      <c r="Q203" s="74">
        <v>40669</v>
      </c>
      <c r="R203" s="74"/>
      <c r="S203" s="72" t="s">
        <v>6</v>
      </c>
      <c r="T203" s="80" t="s">
        <v>4</v>
      </c>
      <c r="U203" s="72" t="s">
        <v>14</v>
      </c>
      <c r="V203" s="72" t="s">
        <v>1940</v>
      </c>
      <c r="W203" s="72" t="s">
        <v>4</v>
      </c>
      <c r="X203" s="72" t="s">
        <v>2970</v>
      </c>
      <c r="Y203" s="72" t="s">
        <v>3087</v>
      </c>
      <c r="Z203" s="72" t="s">
        <v>4</v>
      </c>
    </row>
    <row r="204" spans="1:26" ht="18.600000000000001" customHeight="1">
      <c r="A204" s="142" t="str">
        <f>IF(priority(Main[[#This Row],[Comments]])&lt;&gt;0, priority(Main[[#This Row],[Comments]]),"")</f>
        <v/>
      </c>
      <c r="B204" s="90" t="s">
        <v>1073</v>
      </c>
      <c r="C204" s="72" t="s">
        <v>47</v>
      </c>
      <c r="D204" s="73" t="s">
        <v>91</v>
      </c>
      <c r="E204" s="74"/>
      <c r="F204" s="74"/>
      <c r="G204" s="75" t="str">
        <f>IF(stdProdLT(Main[[#This Row],[Comments]])=0.1,"N/A",IF(stdProdLT(Main[[#This Row],[Comments]])=0,"",stdProdLT(Main[[#This Row],[Comments]])))</f>
        <v/>
      </c>
      <c r="H204" s="76" t="str">
        <f>IF(AND(Main[[#This Row],[In Stock Date]]&lt;&gt;"",Main[[#This Row],[Revised Due Date]]&lt;&gt;""),Main[[#This Row],[In Stock Date]]-Main[[#This Row],[Revised Due Date]],"")</f>
        <v/>
      </c>
      <c r="I204" s="72" t="s">
        <v>4</v>
      </c>
      <c r="J204" s="72" t="s">
        <v>4</v>
      </c>
      <c r="K204" s="72" t="s">
        <v>4</v>
      </c>
      <c r="L204" s="74"/>
      <c r="M204" s="77" t="str">
        <f>IF(Main[[#This Row],[Tech Start Date]]&lt;1/1/1990,"",IF(Main[[#This Row],[Class]]="C",WORKDAY(Main[[#This Row],[Tech Start Date]],9),IF(Main[[#This Row],[Class]]="B", WORKDAY(Main[[#This Row],[Tech Start Date]],6),IF(Main[[#This Row],[Class]]="A",WORKDAY(Main[[#This Row],[Tech Start Date]],2),""))))</f>
        <v/>
      </c>
      <c r="N204" s="77" t="str">
        <f>IF(Main[[#This Row],[Tech Start Date]]&lt;1/1/1990,"",IF(Main[[#This Row],[Class]]="C",WORKDAY(Main[[#This Row],[Tech Start Date]],19),IF(Main[[#This Row],[Class]]="B", WORKDAY(Main[[#This Row],[Tech Start Date]],12),IF(Main[[#This Row],[Class]]="A",WORKDAY(Main[[#This Row],[Tech Start Date]],4),""))))</f>
        <v/>
      </c>
      <c r="O204" s="77" t="str">
        <f>IF(Main[[#This Row],[Tech Start Date]]&lt;1/1/1990,"",IF(Main[[#This Row],[Class]]="C",WORKDAY(Main[[#This Row],[Tech Start Date]],23),IF(Main[[#This Row],[Class]]="B", WORKDAY(Main[[#This Row],[Tech Start Date]],15),IF(Main[[#This Row],[Class]]="A",WORKDAY(Main[[#This Row],[Tech Start Date]],5),""))))</f>
        <v/>
      </c>
      <c r="P204" s="77" t="str">
        <f>IF(Main[[#This Row],[Tech Start Date]]&lt;1/1/1990,"",IF(Main[[#This Row],[Class]]="C",WORKDAY(Main[[#This Row],[Tech Start Date]],28),IF(Main[[#This Row],[Class]]="B", WORKDAY(Main[[#This Row],[Tech Start Date]],19),IF(Main[[#This Row],[Class]]="A",WORKDAY(Main[[#This Row],[Tech Start Date]],9),""))))</f>
        <v/>
      </c>
      <c r="Q204" s="74"/>
      <c r="R204" s="74"/>
      <c r="S204" s="72" t="s">
        <v>49</v>
      </c>
      <c r="T204" s="80" t="s">
        <v>4</v>
      </c>
      <c r="U204" s="72" t="s">
        <v>14</v>
      </c>
      <c r="V204" s="72" t="s">
        <v>1940</v>
      </c>
      <c r="W204" s="72" t="s">
        <v>1941</v>
      </c>
      <c r="X204" s="72" t="s">
        <v>311</v>
      </c>
      <c r="Y204" s="72" t="s">
        <v>3099</v>
      </c>
      <c r="Z204" s="72" t="s">
        <v>4</v>
      </c>
    </row>
    <row r="205" spans="1:26" ht="18.600000000000001" customHeight="1">
      <c r="A205" s="142" t="str">
        <f>IF(priority(Main[[#This Row],[Comments]])&lt;&gt;0, priority(Main[[#This Row],[Comments]]),"")</f>
        <v/>
      </c>
      <c r="B205" s="90" t="s">
        <v>1074</v>
      </c>
      <c r="C205" s="72" t="s">
        <v>4</v>
      </c>
      <c r="D205" s="73" t="s">
        <v>92</v>
      </c>
      <c r="E205" s="74"/>
      <c r="F205" s="74"/>
      <c r="G205" s="75" t="str">
        <f>IF(stdProdLT(Main[[#This Row],[Comments]])=0.1,"N/A",IF(stdProdLT(Main[[#This Row],[Comments]])=0,"",stdProdLT(Main[[#This Row],[Comments]])))</f>
        <v/>
      </c>
      <c r="H205" s="76" t="str">
        <f>IF(AND(Main[[#This Row],[In Stock Date]]&lt;&gt;"",Main[[#This Row],[Revised Due Date]]&lt;&gt;""),Main[[#This Row],[In Stock Date]]-Main[[#This Row],[Revised Due Date]],"")</f>
        <v/>
      </c>
      <c r="I205" s="72" t="s">
        <v>4</v>
      </c>
      <c r="J205" s="72" t="s">
        <v>4</v>
      </c>
      <c r="K205" s="72" t="s">
        <v>4</v>
      </c>
      <c r="L205" s="74"/>
      <c r="M205" s="77" t="str">
        <f>IF(Main[[#This Row],[Tech Start Date]]&lt;1/1/1990,"",IF(Main[[#This Row],[Class]]="C",WORKDAY(Main[[#This Row],[Tech Start Date]],9),IF(Main[[#This Row],[Class]]="B", WORKDAY(Main[[#This Row],[Tech Start Date]],6),IF(Main[[#This Row],[Class]]="A",WORKDAY(Main[[#This Row],[Tech Start Date]],2),""))))</f>
        <v/>
      </c>
      <c r="N205" s="77" t="str">
        <f>IF(Main[[#This Row],[Tech Start Date]]&lt;1/1/1990,"",IF(Main[[#This Row],[Class]]="C",WORKDAY(Main[[#This Row],[Tech Start Date]],19),IF(Main[[#This Row],[Class]]="B", WORKDAY(Main[[#This Row],[Tech Start Date]],12),IF(Main[[#This Row],[Class]]="A",WORKDAY(Main[[#This Row],[Tech Start Date]],4),""))))</f>
        <v/>
      </c>
      <c r="O205" s="77" t="str">
        <f>IF(Main[[#This Row],[Tech Start Date]]&lt;1/1/1990,"",IF(Main[[#This Row],[Class]]="C",WORKDAY(Main[[#This Row],[Tech Start Date]],23),IF(Main[[#This Row],[Class]]="B", WORKDAY(Main[[#This Row],[Tech Start Date]],15),IF(Main[[#This Row],[Class]]="A",WORKDAY(Main[[#This Row],[Tech Start Date]],5),""))))</f>
        <v/>
      </c>
      <c r="P205" s="77" t="str">
        <f>IF(Main[[#This Row],[Tech Start Date]]&lt;1/1/1990,"",IF(Main[[#This Row],[Class]]="C",WORKDAY(Main[[#This Row],[Tech Start Date]],28),IF(Main[[#This Row],[Class]]="B", WORKDAY(Main[[#This Row],[Tech Start Date]],19),IF(Main[[#This Row],[Class]]="A",WORKDAY(Main[[#This Row],[Tech Start Date]],9),""))))</f>
        <v/>
      </c>
      <c r="Q205" s="74">
        <v>40289</v>
      </c>
      <c r="R205" s="74"/>
      <c r="S205" s="72" t="s">
        <v>11</v>
      </c>
      <c r="T205" s="80" t="s">
        <v>4</v>
      </c>
      <c r="U205" s="72" t="s">
        <v>14</v>
      </c>
      <c r="V205" s="72" t="s">
        <v>1937</v>
      </c>
      <c r="W205" s="72" t="s">
        <v>1939</v>
      </c>
      <c r="X205" s="72" t="s">
        <v>2973</v>
      </c>
      <c r="Y205" s="72" t="s">
        <v>3094</v>
      </c>
      <c r="Z205" s="72" t="s">
        <v>4</v>
      </c>
    </row>
    <row r="206" spans="1:26" ht="18.600000000000001" customHeight="1">
      <c r="A206" s="142" t="str">
        <f>IF(priority(Main[[#This Row],[Comments]])&lt;&gt;0, priority(Main[[#This Row],[Comments]]),"")</f>
        <v/>
      </c>
      <c r="B206" s="90" t="s">
        <v>1075</v>
      </c>
      <c r="C206" s="72" t="s">
        <v>95</v>
      </c>
      <c r="D206" s="73" t="s">
        <v>96</v>
      </c>
      <c r="E206" s="74"/>
      <c r="F206" s="74"/>
      <c r="G206" s="75" t="str">
        <f>IF(stdProdLT(Main[[#This Row],[Comments]])=0.1,"N/A",IF(stdProdLT(Main[[#This Row],[Comments]])=0,"",stdProdLT(Main[[#This Row],[Comments]])))</f>
        <v/>
      </c>
      <c r="H206" s="76" t="str">
        <f>IF(AND(Main[[#This Row],[In Stock Date]]&lt;&gt;"",Main[[#This Row],[Revised Due Date]]&lt;&gt;""),Main[[#This Row],[In Stock Date]]-Main[[#This Row],[Revised Due Date]],"")</f>
        <v/>
      </c>
      <c r="I206" s="72" t="s">
        <v>4</v>
      </c>
      <c r="J206" s="72" t="s">
        <v>4</v>
      </c>
      <c r="K206" s="72" t="s">
        <v>4</v>
      </c>
      <c r="L206" s="74"/>
      <c r="M206" s="77" t="str">
        <f>IF(Main[[#This Row],[Tech Start Date]]&lt;1/1/1990,"",IF(Main[[#This Row],[Class]]="C",WORKDAY(Main[[#This Row],[Tech Start Date]],9),IF(Main[[#This Row],[Class]]="B", WORKDAY(Main[[#This Row],[Tech Start Date]],6),IF(Main[[#This Row],[Class]]="A",WORKDAY(Main[[#This Row],[Tech Start Date]],2),""))))</f>
        <v/>
      </c>
      <c r="N206" s="77" t="str">
        <f>IF(Main[[#This Row],[Tech Start Date]]&lt;1/1/1990,"",IF(Main[[#This Row],[Class]]="C",WORKDAY(Main[[#This Row],[Tech Start Date]],19),IF(Main[[#This Row],[Class]]="B", WORKDAY(Main[[#This Row],[Tech Start Date]],12),IF(Main[[#This Row],[Class]]="A",WORKDAY(Main[[#This Row],[Tech Start Date]],4),""))))</f>
        <v/>
      </c>
      <c r="O206" s="77" t="str">
        <f>IF(Main[[#This Row],[Tech Start Date]]&lt;1/1/1990,"",IF(Main[[#This Row],[Class]]="C",WORKDAY(Main[[#This Row],[Tech Start Date]],23),IF(Main[[#This Row],[Class]]="B", WORKDAY(Main[[#This Row],[Tech Start Date]],15),IF(Main[[#This Row],[Class]]="A",WORKDAY(Main[[#This Row],[Tech Start Date]],5),""))))</f>
        <v/>
      </c>
      <c r="P206" s="77" t="str">
        <f>IF(Main[[#This Row],[Tech Start Date]]&lt;1/1/1990,"",IF(Main[[#This Row],[Class]]="C",WORKDAY(Main[[#This Row],[Tech Start Date]],28),IF(Main[[#This Row],[Class]]="B", WORKDAY(Main[[#This Row],[Tech Start Date]],19),IF(Main[[#This Row],[Class]]="A",WORKDAY(Main[[#This Row],[Tech Start Date]],9),""))))</f>
        <v/>
      </c>
      <c r="Q206" s="74">
        <v>40302</v>
      </c>
      <c r="R206" s="74"/>
      <c r="S206" s="72" t="s">
        <v>6</v>
      </c>
      <c r="T206" s="80" t="s">
        <v>4</v>
      </c>
      <c r="U206" s="72" t="s">
        <v>14</v>
      </c>
      <c r="V206" s="72" t="s">
        <v>1937</v>
      </c>
      <c r="W206" s="72" t="s">
        <v>1943</v>
      </c>
      <c r="X206" s="72" t="s">
        <v>129</v>
      </c>
      <c r="Y206" s="72" t="s">
        <v>4</v>
      </c>
      <c r="Z206" s="72" t="s">
        <v>4</v>
      </c>
    </row>
    <row r="207" spans="1:26" ht="18.600000000000001" customHeight="1">
      <c r="A207" s="142" t="str">
        <f>IF(priority(Main[[#This Row],[Comments]])&lt;&gt;0, priority(Main[[#This Row],[Comments]]),"")</f>
        <v/>
      </c>
      <c r="B207" s="90" t="s">
        <v>1076</v>
      </c>
      <c r="C207" s="72" t="s">
        <v>4</v>
      </c>
      <c r="D207" s="73" t="s">
        <v>105</v>
      </c>
      <c r="E207" s="74"/>
      <c r="F207" s="74"/>
      <c r="G207" s="75" t="str">
        <f>IF(stdProdLT(Main[[#This Row],[Comments]])=0.1,"N/A",IF(stdProdLT(Main[[#This Row],[Comments]])=0,"",stdProdLT(Main[[#This Row],[Comments]])))</f>
        <v/>
      </c>
      <c r="H207" s="76" t="str">
        <f>IF(AND(Main[[#This Row],[In Stock Date]]&lt;&gt;"",Main[[#This Row],[Revised Due Date]]&lt;&gt;""),Main[[#This Row],[In Stock Date]]-Main[[#This Row],[Revised Due Date]],"")</f>
        <v/>
      </c>
      <c r="I207" s="72" t="s">
        <v>44</v>
      </c>
      <c r="J207" s="72" t="s">
        <v>28</v>
      </c>
      <c r="K207" s="72" t="s">
        <v>1946</v>
      </c>
      <c r="L207" s="74"/>
      <c r="M207" s="77" t="str">
        <f>IF(Main[[#This Row],[Tech Start Date]]&lt;1/1/1990,"",IF(Main[[#This Row],[Class]]="C",WORKDAY(Main[[#This Row],[Tech Start Date]],9),IF(Main[[#This Row],[Class]]="B", WORKDAY(Main[[#This Row],[Tech Start Date]],6),IF(Main[[#This Row],[Class]]="A",WORKDAY(Main[[#This Row],[Tech Start Date]],2),""))))</f>
        <v/>
      </c>
      <c r="N207" s="77" t="str">
        <f>IF(Main[[#This Row],[Tech Start Date]]&lt;1/1/1990,"",IF(Main[[#This Row],[Class]]="C",WORKDAY(Main[[#This Row],[Tech Start Date]],19),IF(Main[[#This Row],[Class]]="B", WORKDAY(Main[[#This Row],[Tech Start Date]],12),IF(Main[[#This Row],[Class]]="A",WORKDAY(Main[[#This Row],[Tech Start Date]],4),""))))</f>
        <v/>
      </c>
      <c r="O207" s="77" t="str">
        <f>IF(Main[[#This Row],[Tech Start Date]]&lt;1/1/1990,"",IF(Main[[#This Row],[Class]]="C",WORKDAY(Main[[#This Row],[Tech Start Date]],23),IF(Main[[#This Row],[Class]]="B", WORKDAY(Main[[#This Row],[Tech Start Date]],15),IF(Main[[#This Row],[Class]]="A",WORKDAY(Main[[#This Row],[Tech Start Date]],5),""))))</f>
        <v/>
      </c>
      <c r="P207" s="77" t="str">
        <f>IF(Main[[#This Row],[Tech Start Date]]&lt;1/1/1990,"",IF(Main[[#This Row],[Class]]="C",WORKDAY(Main[[#This Row],[Tech Start Date]],28),IF(Main[[#This Row],[Class]]="B", WORKDAY(Main[[#This Row],[Tech Start Date]],19),IF(Main[[#This Row],[Class]]="A",WORKDAY(Main[[#This Row],[Tech Start Date]],9),""))))</f>
        <v/>
      </c>
      <c r="Q207" s="74">
        <v>40725</v>
      </c>
      <c r="R207" s="74"/>
      <c r="S207" s="72" t="s">
        <v>6</v>
      </c>
      <c r="T207" s="80" t="s">
        <v>4</v>
      </c>
      <c r="U207" s="72" t="s">
        <v>14</v>
      </c>
      <c r="V207" s="72" t="s">
        <v>1940</v>
      </c>
      <c r="W207" s="72" t="s">
        <v>1941</v>
      </c>
      <c r="X207" s="72" t="s">
        <v>2971</v>
      </c>
      <c r="Y207" s="72" t="s">
        <v>3090</v>
      </c>
      <c r="Z207" s="72" t="s">
        <v>44</v>
      </c>
    </row>
    <row r="208" spans="1:26" ht="18.600000000000001" customHeight="1">
      <c r="A208" s="142" t="str">
        <f>IF(priority(Main[[#This Row],[Comments]])&lt;&gt;0, priority(Main[[#This Row],[Comments]]),"")</f>
        <v/>
      </c>
      <c r="B208" s="90" t="s">
        <v>1077</v>
      </c>
      <c r="C208" s="72" t="s">
        <v>106</v>
      </c>
      <c r="D208" s="73" t="s">
        <v>107</v>
      </c>
      <c r="E208" s="74"/>
      <c r="F208" s="74"/>
      <c r="G208" s="75" t="str">
        <f>IF(stdProdLT(Main[[#This Row],[Comments]])=0.1,"N/A",IF(stdProdLT(Main[[#This Row],[Comments]])=0,"",stdProdLT(Main[[#This Row],[Comments]])))</f>
        <v/>
      </c>
      <c r="H208" s="76" t="str">
        <f>IF(AND(Main[[#This Row],[In Stock Date]]&lt;&gt;"",Main[[#This Row],[Revised Due Date]]&lt;&gt;""),Main[[#This Row],[In Stock Date]]-Main[[#This Row],[Revised Due Date]],"")</f>
        <v/>
      </c>
      <c r="I208" s="72" t="s">
        <v>108</v>
      </c>
      <c r="J208" s="72" t="s">
        <v>28</v>
      </c>
      <c r="K208" s="72" t="s">
        <v>1950</v>
      </c>
      <c r="L208" s="74"/>
      <c r="M208" s="77" t="str">
        <f>IF(Main[[#This Row],[Tech Start Date]]&lt;1/1/1990,"",IF(Main[[#This Row],[Class]]="C",WORKDAY(Main[[#This Row],[Tech Start Date]],9),IF(Main[[#This Row],[Class]]="B", WORKDAY(Main[[#This Row],[Tech Start Date]],6),IF(Main[[#This Row],[Class]]="A",WORKDAY(Main[[#This Row],[Tech Start Date]],2),""))))</f>
        <v/>
      </c>
      <c r="N208" s="77" t="str">
        <f>IF(Main[[#This Row],[Tech Start Date]]&lt;1/1/1990,"",IF(Main[[#This Row],[Class]]="C",WORKDAY(Main[[#This Row],[Tech Start Date]],19),IF(Main[[#This Row],[Class]]="B", WORKDAY(Main[[#This Row],[Tech Start Date]],12),IF(Main[[#This Row],[Class]]="A",WORKDAY(Main[[#This Row],[Tech Start Date]],4),""))))</f>
        <v/>
      </c>
      <c r="O208" s="77" t="str">
        <f>IF(Main[[#This Row],[Tech Start Date]]&lt;1/1/1990,"",IF(Main[[#This Row],[Class]]="C",WORKDAY(Main[[#This Row],[Tech Start Date]],23),IF(Main[[#This Row],[Class]]="B", WORKDAY(Main[[#This Row],[Tech Start Date]],15),IF(Main[[#This Row],[Class]]="A",WORKDAY(Main[[#This Row],[Tech Start Date]],5),""))))</f>
        <v/>
      </c>
      <c r="P208" s="77" t="str">
        <f>IF(Main[[#This Row],[Tech Start Date]]&lt;1/1/1990,"",IF(Main[[#This Row],[Class]]="C",WORKDAY(Main[[#This Row],[Tech Start Date]],28),IF(Main[[#This Row],[Class]]="B", WORKDAY(Main[[#This Row],[Tech Start Date]],19),IF(Main[[#This Row],[Class]]="A",WORKDAY(Main[[#This Row],[Tech Start Date]],9),""))))</f>
        <v/>
      </c>
      <c r="Q208" s="74">
        <v>40626</v>
      </c>
      <c r="R208" s="74"/>
      <c r="S208" s="72" t="s">
        <v>11</v>
      </c>
      <c r="T208" s="80" t="s">
        <v>4</v>
      </c>
      <c r="U208" s="72" t="s">
        <v>14</v>
      </c>
      <c r="V208" s="72" t="s">
        <v>1938</v>
      </c>
      <c r="W208" s="72" t="s">
        <v>1939</v>
      </c>
      <c r="X208" s="72" t="s">
        <v>2967</v>
      </c>
      <c r="Y208" s="72" t="s">
        <v>3085</v>
      </c>
      <c r="Z208" s="72" t="s">
        <v>108</v>
      </c>
    </row>
    <row r="209" spans="1:26" ht="18.600000000000001" customHeight="1">
      <c r="A209" s="142" t="str">
        <f>IF(priority(Main[[#This Row],[Comments]])&lt;&gt;0, priority(Main[[#This Row],[Comments]]),"")</f>
        <v/>
      </c>
      <c r="B209" s="90" t="s">
        <v>1084</v>
      </c>
      <c r="C209" s="72" t="s">
        <v>31</v>
      </c>
      <c r="D209" s="73" t="s">
        <v>109</v>
      </c>
      <c r="E209" s="74"/>
      <c r="F209" s="74"/>
      <c r="G209" s="75" t="str">
        <f>IF(stdProdLT(Main[[#This Row],[Comments]])=0.1,"N/A",IF(stdProdLT(Main[[#This Row],[Comments]])=0,"",stdProdLT(Main[[#This Row],[Comments]])))</f>
        <v/>
      </c>
      <c r="H209" s="76" t="str">
        <f>IF(AND(Main[[#This Row],[In Stock Date]]&lt;&gt;"",Main[[#This Row],[Revised Due Date]]&lt;&gt;""),Main[[#This Row],[In Stock Date]]-Main[[#This Row],[Revised Due Date]],"")</f>
        <v/>
      </c>
      <c r="I209" s="72" t="s">
        <v>4</v>
      </c>
      <c r="J209" s="72" t="s">
        <v>4</v>
      </c>
      <c r="K209" s="72" t="s">
        <v>4</v>
      </c>
      <c r="L209" s="74"/>
      <c r="M209" s="77" t="str">
        <f>IF(Main[[#This Row],[Tech Start Date]]&lt;1/1/1990,"",IF(Main[[#This Row],[Class]]="C",WORKDAY(Main[[#This Row],[Tech Start Date]],9),IF(Main[[#This Row],[Class]]="B", WORKDAY(Main[[#This Row],[Tech Start Date]],6),IF(Main[[#This Row],[Class]]="A",WORKDAY(Main[[#This Row],[Tech Start Date]],2),""))))</f>
        <v/>
      </c>
      <c r="N209" s="77" t="str">
        <f>IF(Main[[#This Row],[Tech Start Date]]&lt;1/1/1990,"",IF(Main[[#This Row],[Class]]="C",WORKDAY(Main[[#This Row],[Tech Start Date]],19),IF(Main[[#This Row],[Class]]="B", WORKDAY(Main[[#This Row],[Tech Start Date]],12),IF(Main[[#This Row],[Class]]="A",WORKDAY(Main[[#This Row],[Tech Start Date]],4),""))))</f>
        <v/>
      </c>
      <c r="O209" s="77" t="str">
        <f>IF(Main[[#This Row],[Tech Start Date]]&lt;1/1/1990,"",IF(Main[[#This Row],[Class]]="C",WORKDAY(Main[[#This Row],[Tech Start Date]],23),IF(Main[[#This Row],[Class]]="B", WORKDAY(Main[[#This Row],[Tech Start Date]],15),IF(Main[[#This Row],[Class]]="A",WORKDAY(Main[[#This Row],[Tech Start Date]],5),""))))</f>
        <v/>
      </c>
      <c r="P209" s="77" t="str">
        <f>IF(Main[[#This Row],[Tech Start Date]]&lt;1/1/1990,"",IF(Main[[#This Row],[Class]]="C",WORKDAY(Main[[#This Row],[Tech Start Date]],28),IF(Main[[#This Row],[Class]]="B", WORKDAY(Main[[#This Row],[Tech Start Date]],19),IF(Main[[#This Row],[Class]]="A",WORKDAY(Main[[#This Row],[Tech Start Date]],9),""))))</f>
        <v/>
      </c>
      <c r="Q209" s="74">
        <v>40318</v>
      </c>
      <c r="R209" s="74"/>
      <c r="S209" s="72" t="s">
        <v>11</v>
      </c>
      <c r="T209" s="80" t="s">
        <v>4</v>
      </c>
      <c r="U209" s="72" t="s">
        <v>14</v>
      </c>
      <c r="V209" s="72" t="s">
        <v>1940</v>
      </c>
      <c r="W209" s="72" t="s">
        <v>1939</v>
      </c>
      <c r="X209" s="72" t="s">
        <v>2982</v>
      </c>
      <c r="Y209" s="72" t="s">
        <v>4</v>
      </c>
      <c r="Z209" s="72" t="s">
        <v>4</v>
      </c>
    </row>
    <row r="210" spans="1:26" ht="18.600000000000001" customHeight="1">
      <c r="A210" s="142" t="str">
        <f>IF(priority(Main[[#This Row],[Comments]])&lt;&gt;0, priority(Main[[#This Row],[Comments]]),"")</f>
        <v/>
      </c>
      <c r="B210" s="90" t="s">
        <v>2069</v>
      </c>
      <c r="C210" s="72" t="s">
        <v>4</v>
      </c>
      <c r="D210" s="73" t="s">
        <v>2068</v>
      </c>
      <c r="E210" s="74"/>
      <c r="F210" s="74"/>
      <c r="G210" s="75" t="str">
        <f>IF(stdProdLT(Main[[#This Row],[Comments]])=0.1,"N/A",IF(stdProdLT(Main[[#This Row],[Comments]])=0,"",stdProdLT(Main[[#This Row],[Comments]])))</f>
        <v/>
      </c>
      <c r="H210" s="76" t="str">
        <f>IF(AND(Main[[#This Row],[In Stock Date]]&lt;&gt;"",Main[[#This Row],[Revised Due Date]]&lt;&gt;""),Main[[#This Row],[In Stock Date]]-Main[[#This Row],[Revised Due Date]],"")</f>
        <v/>
      </c>
      <c r="I210" s="72" t="s">
        <v>4</v>
      </c>
      <c r="J210" s="72" t="s">
        <v>4</v>
      </c>
      <c r="K210" s="72" t="s">
        <v>4</v>
      </c>
      <c r="L210" s="74"/>
      <c r="M210" s="77" t="str">
        <f>IF(Main[[#This Row],[Tech Start Date]]&lt;1/1/1990,"",IF(Main[[#This Row],[Class]]="C",WORKDAY(Main[[#This Row],[Tech Start Date]],9),IF(Main[[#This Row],[Class]]="B", WORKDAY(Main[[#This Row],[Tech Start Date]],6),IF(Main[[#This Row],[Class]]="A",WORKDAY(Main[[#This Row],[Tech Start Date]],2),""))))</f>
        <v/>
      </c>
      <c r="N210" s="77" t="str">
        <f>IF(Main[[#This Row],[Tech Start Date]]&lt;1/1/1990,"",IF(Main[[#This Row],[Class]]="C",WORKDAY(Main[[#This Row],[Tech Start Date]],19),IF(Main[[#This Row],[Class]]="B", WORKDAY(Main[[#This Row],[Tech Start Date]],12),IF(Main[[#This Row],[Class]]="A",WORKDAY(Main[[#This Row],[Tech Start Date]],4),""))))</f>
        <v/>
      </c>
      <c r="O210" s="77" t="str">
        <f>IF(Main[[#This Row],[Tech Start Date]]&lt;1/1/1990,"",IF(Main[[#This Row],[Class]]="C",WORKDAY(Main[[#This Row],[Tech Start Date]],23),IF(Main[[#This Row],[Class]]="B", WORKDAY(Main[[#This Row],[Tech Start Date]],15),IF(Main[[#This Row],[Class]]="A",WORKDAY(Main[[#This Row],[Tech Start Date]],5),""))))</f>
        <v/>
      </c>
      <c r="P210" s="77" t="str">
        <f>IF(Main[[#This Row],[Tech Start Date]]&lt;1/1/1990,"",IF(Main[[#This Row],[Class]]="C",WORKDAY(Main[[#This Row],[Tech Start Date]],28),IF(Main[[#This Row],[Class]]="B", WORKDAY(Main[[#This Row],[Tech Start Date]],19),IF(Main[[#This Row],[Class]]="A",WORKDAY(Main[[#This Row],[Tech Start Date]],9),""))))</f>
        <v/>
      </c>
      <c r="Q210" s="74"/>
      <c r="R210" s="74"/>
      <c r="S210" s="72" t="s">
        <v>6</v>
      </c>
      <c r="T210" s="80" t="s">
        <v>4</v>
      </c>
      <c r="U210" s="72" t="s">
        <v>14</v>
      </c>
      <c r="V210" s="72" t="s">
        <v>1938</v>
      </c>
      <c r="W210" s="72" t="s">
        <v>1941</v>
      </c>
      <c r="X210" s="72" t="s">
        <v>311</v>
      </c>
      <c r="Y210" s="72" t="s">
        <v>4</v>
      </c>
      <c r="Z210" s="72" t="s">
        <v>4</v>
      </c>
    </row>
    <row r="211" spans="1:26" ht="18.600000000000001" customHeight="1">
      <c r="A211" s="142" t="str">
        <f>IF(priority(Main[[#This Row],[Comments]])&lt;&gt;0, priority(Main[[#This Row],[Comments]]),"")</f>
        <v/>
      </c>
      <c r="B211" s="90" t="s">
        <v>1085</v>
      </c>
      <c r="C211" s="72" t="s">
        <v>19</v>
      </c>
      <c r="D211" s="73" t="s">
        <v>110</v>
      </c>
      <c r="E211" s="74"/>
      <c r="F211" s="74">
        <v>40548</v>
      </c>
      <c r="G211" s="75" t="str">
        <f>IF(stdProdLT(Main[[#This Row],[Comments]])=0.1,"N/A",IF(stdProdLT(Main[[#This Row],[Comments]])=0,"",stdProdLT(Main[[#This Row],[Comments]])))</f>
        <v/>
      </c>
      <c r="H211" s="76" t="str">
        <f>IF(AND(Main[[#This Row],[In Stock Date]]&lt;&gt;"",Main[[#This Row],[Revised Due Date]]&lt;&gt;""),Main[[#This Row],[In Stock Date]]-Main[[#This Row],[Revised Due Date]],"")</f>
        <v/>
      </c>
      <c r="I211" s="72" t="s">
        <v>4</v>
      </c>
      <c r="J211" s="72" t="s">
        <v>4</v>
      </c>
      <c r="K211" s="72" t="s">
        <v>4</v>
      </c>
      <c r="L211" s="74"/>
      <c r="M211" s="77" t="str">
        <f>IF(Main[[#This Row],[Tech Start Date]]&lt;1/1/1990,"",IF(Main[[#This Row],[Class]]="C",WORKDAY(Main[[#This Row],[Tech Start Date]],9),IF(Main[[#This Row],[Class]]="B", WORKDAY(Main[[#This Row],[Tech Start Date]],6),IF(Main[[#This Row],[Class]]="A",WORKDAY(Main[[#This Row],[Tech Start Date]],2),""))))</f>
        <v/>
      </c>
      <c r="N211" s="77" t="str">
        <f>IF(Main[[#This Row],[Tech Start Date]]&lt;1/1/1990,"",IF(Main[[#This Row],[Class]]="C",WORKDAY(Main[[#This Row],[Tech Start Date]],19),IF(Main[[#This Row],[Class]]="B", WORKDAY(Main[[#This Row],[Tech Start Date]],12),IF(Main[[#This Row],[Class]]="A",WORKDAY(Main[[#This Row],[Tech Start Date]],4),""))))</f>
        <v/>
      </c>
      <c r="O211" s="77" t="str">
        <f>IF(Main[[#This Row],[Tech Start Date]]&lt;1/1/1990,"",IF(Main[[#This Row],[Class]]="C",WORKDAY(Main[[#This Row],[Tech Start Date]],23),IF(Main[[#This Row],[Class]]="B", WORKDAY(Main[[#This Row],[Tech Start Date]],15),IF(Main[[#This Row],[Class]]="A",WORKDAY(Main[[#This Row],[Tech Start Date]],5),""))))</f>
        <v/>
      </c>
      <c r="P211" s="77" t="str">
        <f>IF(Main[[#This Row],[Tech Start Date]]&lt;1/1/1990,"",IF(Main[[#This Row],[Class]]="C",WORKDAY(Main[[#This Row],[Tech Start Date]],28),IF(Main[[#This Row],[Class]]="B", WORKDAY(Main[[#This Row],[Tech Start Date]],19),IF(Main[[#This Row],[Class]]="A",WORKDAY(Main[[#This Row],[Tech Start Date]],9),""))))</f>
        <v/>
      </c>
      <c r="Q211" s="74">
        <v>40415</v>
      </c>
      <c r="R211" s="74"/>
      <c r="S211" s="72" t="s">
        <v>17</v>
      </c>
      <c r="T211" s="80" t="s">
        <v>4</v>
      </c>
      <c r="U211" s="72" t="s">
        <v>12</v>
      </c>
      <c r="V211" s="72" t="s">
        <v>1940</v>
      </c>
      <c r="W211" s="72" t="s">
        <v>1945</v>
      </c>
      <c r="X211" s="72" t="s">
        <v>2985</v>
      </c>
      <c r="Y211" s="72" t="s">
        <v>3097</v>
      </c>
      <c r="Z211" s="72" t="s">
        <v>4</v>
      </c>
    </row>
    <row r="212" spans="1:26" ht="18.600000000000001" customHeight="1">
      <c r="A212" s="142" t="str">
        <f>IF(priority(Main[[#This Row],[Comments]])&lt;&gt;0, priority(Main[[#This Row],[Comments]]),"")</f>
        <v/>
      </c>
      <c r="B212" s="90" t="s">
        <v>1078</v>
      </c>
      <c r="C212" s="72" t="s">
        <v>4</v>
      </c>
      <c r="D212" s="73" t="s">
        <v>97</v>
      </c>
      <c r="E212" s="74"/>
      <c r="F212" s="74"/>
      <c r="G212" s="75" t="str">
        <f>IF(stdProdLT(Main[[#This Row],[Comments]])=0.1,"N/A",IF(stdProdLT(Main[[#This Row],[Comments]])=0,"",stdProdLT(Main[[#This Row],[Comments]])))</f>
        <v/>
      </c>
      <c r="H212" s="76" t="str">
        <f>IF(AND(Main[[#This Row],[In Stock Date]]&lt;&gt;"",Main[[#This Row],[Revised Due Date]]&lt;&gt;""),Main[[#This Row],[In Stock Date]]-Main[[#This Row],[Revised Due Date]],"")</f>
        <v/>
      </c>
      <c r="I212" s="72" t="s">
        <v>4</v>
      </c>
      <c r="J212" s="72" t="s">
        <v>4</v>
      </c>
      <c r="K212" s="72" t="s">
        <v>4</v>
      </c>
      <c r="L212" s="74"/>
      <c r="M212" s="77" t="str">
        <f>IF(Main[[#This Row],[Tech Start Date]]&lt;1/1/1990,"",IF(Main[[#This Row],[Class]]="C",WORKDAY(Main[[#This Row],[Tech Start Date]],9),IF(Main[[#This Row],[Class]]="B", WORKDAY(Main[[#This Row],[Tech Start Date]],6),IF(Main[[#This Row],[Class]]="A",WORKDAY(Main[[#This Row],[Tech Start Date]],2),""))))</f>
        <v/>
      </c>
      <c r="N212" s="77" t="str">
        <f>IF(Main[[#This Row],[Tech Start Date]]&lt;1/1/1990,"",IF(Main[[#This Row],[Class]]="C",WORKDAY(Main[[#This Row],[Tech Start Date]],19),IF(Main[[#This Row],[Class]]="B", WORKDAY(Main[[#This Row],[Tech Start Date]],12),IF(Main[[#This Row],[Class]]="A",WORKDAY(Main[[#This Row],[Tech Start Date]],4),""))))</f>
        <v/>
      </c>
      <c r="O212" s="77" t="str">
        <f>IF(Main[[#This Row],[Tech Start Date]]&lt;1/1/1990,"",IF(Main[[#This Row],[Class]]="C",WORKDAY(Main[[#This Row],[Tech Start Date]],23),IF(Main[[#This Row],[Class]]="B", WORKDAY(Main[[#This Row],[Tech Start Date]],15),IF(Main[[#This Row],[Class]]="A",WORKDAY(Main[[#This Row],[Tech Start Date]],5),""))))</f>
        <v/>
      </c>
      <c r="P212" s="77" t="str">
        <f>IF(Main[[#This Row],[Tech Start Date]]&lt;1/1/1990,"",IF(Main[[#This Row],[Class]]="C",WORKDAY(Main[[#This Row],[Tech Start Date]],28),IF(Main[[#This Row],[Class]]="B", WORKDAY(Main[[#This Row],[Tech Start Date]],19),IF(Main[[#This Row],[Class]]="A",WORKDAY(Main[[#This Row],[Tech Start Date]],9),""))))</f>
        <v/>
      </c>
      <c r="Q212" s="74">
        <v>40858</v>
      </c>
      <c r="R212" s="74"/>
      <c r="S212" s="72" t="s">
        <v>17</v>
      </c>
      <c r="T212" s="80" t="s">
        <v>4</v>
      </c>
      <c r="U212" s="72" t="s">
        <v>14</v>
      </c>
      <c r="V212" s="72" t="s">
        <v>1937</v>
      </c>
      <c r="W212" s="72" t="s">
        <v>1942</v>
      </c>
      <c r="X212" s="72" t="s">
        <v>50</v>
      </c>
      <c r="Y212" s="72" t="s">
        <v>3117</v>
      </c>
      <c r="Z212" s="72" t="s">
        <v>4</v>
      </c>
    </row>
    <row r="213" spans="1:26" ht="18.600000000000001" customHeight="1">
      <c r="A213" s="142" t="str">
        <f>IF(priority(Main[[#This Row],[Comments]])&lt;&gt;0, priority(Main[[#This Row],[Comments]]),"")</f>
        <v/>
      </c>
      <c r="B213" s="90" t="s">
        <v>1079</v>
      </c>
      <c r="C213" s="72" t="s">
        <v>4</v>
      </c>
      <c r="D213" s="73" t="s">
        <v>98</v>
      </c>
      <c r="E213" s="74">
        <v>40373.607708333337</v>
      </c>
      <c r="F213" s="74"/>
      <c r="G213" s="75" t="str">
        <f>IF(stdProdLT(Main[[#This Row],[Comments]])=0.1,"N/A",IF(stdProdLT(Main[[#This Row],[Comments]])=0,"",stdProdLT(Main[[#This Row],[Comments]])))</f>
        <v/>
      </c>
      <c r="H213" s="76" t="str">
        <f>IF(AND(Main[[#This Row],[In Stock Date]]&lt;&gt;"",Main[[#This Row],[Revised Due Date]]&lt;&gt;""),Main[[#This Row],[In Stock Date]]-Main[[#This Row],[Revised Due Date]],"")</f>
        <v/>
      </c>
      <c r="I213" s="72" t="s">
        <v>4</v>
      </c>
      <c r="J213" s="72" t="s">
        <v>4</v>
      </c>
      <c r="K213" s="72" t="s">
        <v>4</v>
      </c>
      <c r="L213" s="74"/>
      <c r="M213" s="77" t="str">
        <f>IF(Main[[#This Row],[Tech Start Date]]&lt;1/1/1990,"",IF(Main[[#This Row],[Class]]="C",WORKDAY(Main[[#This Row],[Tech Start Date]],9),IF(Main[[#This Row],[Class]]="B", WORKDAY(Main[[#This Row],[Tech Start Date]],6),IF(Main[[#This Row],[Class]]="A",WORKDAY(Main[[#This Row],[Tech Start Date]],2),""))))</f>
        <v/>
      </c>
      <c r="N213" s="77" t="str">
        <f>IF(Main[[#This Row],[Tech Start Date]]&lt;1/1/1990,"",IF(Main[[#This Row],[Class]]="C",WORKDAY(Main[[#This Row],[Tech Start Date]],19),IF(Main[[#This Row],[Class]]="B", WORKDAY(Main[[#This Row],[Tech Start Date]],12),IF(Main[[#This Row],[Class]]="A",WORKDAY(Main[[#This Row],[Tech Start Date]],4),""))))</f>
        <v/>
      </c>
      <c r="O213" s="77" t="str">
        <f>IF(Main[[#This Row],[Tech Start Date]]&lt;1/1/1990,"",IF(Main[[#This Row],[Class]]="C",WORKDAY(Main[[#This Row],[Tech Start Date]],23),IF(Main[[#This Row],[Class]]="B", WORKDAY(Main[[#This Row],[Tech Start Date]],15),IF(Main[[#This Row],[Class]]="A",WORKDAY(Main[[#This Row],[Tech Start Date]],5),""))))</f>
        <v/>
      </c>
      <c r="P213" s="77" t="str">
        <f>IF(Main[[#This Row],[Tech Start Date]]&lt;1/1/1990,"",IF(Main[[#This Row],[Class]]="C",WORKDAY(Main[[#This Row],[Tech Start Date]],28),IF(Main[[#This Row],[Class]]="B", WORKDAY(Main[[#This Row],[Tech Start Date]],19),IF(Main[[#This Row],[Class]]="A",WORKDAY(Main[[#This Row],[Tech Start Date]],9),""))))</f>
        <v/>
      </c>
      <c r="Q213" s="74">
        <v>40382</v>
      </c>
      <c r="R213" s="74"/>
      <c r="S213" s="72" t="s">
        <v>6</v>
      </c>
      <c r="T213" s="80" t="s">
        <v>4</v>
      </c>
      <c r="U213" s="72" t="s">
        <v>7</v>
      </c>
      <c r="V213" s="72" t="s">
        <v>1937</v>
      </c>
      <c r="W213" s="72" t="s">
        <v>1941</v>
      </c>
      <c r="X213" s="72" t="s">
        <v>404</v>
      </c>
      <c r="Y213" s="72" t="s">
        <v>4</v>
      </c>
      <c r="Z213" s="72" t="s">
        <v>4</v>
      </c>
    </row>
    <row r="214" spans="1:26" ht="18.600000000000001" customHeight="1">
      <c r="A214" s="142" t="str">
        <f>IF(priority(Main[[#This Row],[Comments]])&lt;&gt;0, priority(Main[[#This Row],[Comments]]),"")</f>
        <v/>
      </c>
      <c r="B214" s="90" t="s">
        <v>1080</v>
      </c>
      <c r="C214" s="72" t="s">
        <v>99</v>
      </c>
      <c r="D214" s="73" t="s">
        <v>100</v>
      </c>
      <c r="E214" s="74"/>
      <c r="F214" s="74"/>
      <c r="G214" s="75" t="str">
        <f>IF(stdProdLT(Main[[#This Row],[Comments]])=0.1,"N/A",IF(stdProdLT(Main[[#This Row],[Comments]])=0,"",stdProdLT(Main[[#This Row],[Comments]])))</f>
        <v/>
      </c>
      <c r="H214" s="76" t="str">
        <f>IF(AND(Main[[#This Row],[In Stock Date]]&lt;&gt;"",Main[[#This Row],[Revised Due Date]]&lt;&gt;""),Main[[#This Row],[In Stock Date]]-Main[[#This Row],[Revised Due Date]],"")</f>
        <v/>
      </c>
      <c r="I214" s="72" t="s">
        <v>4</v>
      </c>
      <c r="J214" s="72" t="s">
        <v>4</v>
      </c>
      <c r="K214" s="72" t="s">
        <v>4</v>
      </c>
      <c r="L214" s="74"/>
      <c r="M214" s="77" t="str">
        <f>IF(Main[[#This Row],[Tech Start Date]]&lt;1/1/1990,"",IF(Main[[#This Row],[Class]]="C",WORKDAY(Main[[#This Row],[Tech Start Date]],9),IF(Main[[#This Row],[Class]]="B", WORKDAY(Main[[#This Row],[Tech Start Date]],6),IF(Main[[#This Row],[Class]]="A",WORKDAY(Main[[#This Row],[Tech Start Date]],2),""))))</f>
        <v/>
      </c>
      <c r="N214" s="77" t="str">
        <f>IF(Main[[#This Row],[Tech Start Date]]&lt;1/1/1990,"",IF(Main[[#This Row],[Class]]="C",WORKDAY(Main[[#This Row],[Tech Start Date]],19),IF(Main[[#This Row],[Class]]="B", WORKDAY(Main[[#This Row],[Tech Start Date]],12),IF(Main[[#This Row],[Class]]="A",WORKDAY(Main[[#This Row],[Tech Start Date]],4),""))))</f>
        <v/>
      </c>
      <c r="O214" s="77" t="str">
        <f>IF(Main[[#This Row],[Tech Start Date]]&lt;1/1/1990,"",IF(Main[[#This Row],[Class]]="C",WORKDAY(Main[[#This Row],[Tech Start Date]],23),IF(Main[[#This Row],[Class]]="B", WORKDAY(Main[[#This Row],[Tech Start Date]],15),IF(Main[[#This Row],[Class]]="A",WORKDAY(Main[[#This Row],[Tech Start Date]],5),""))))</f>
        <v/>
      </c>
      <c r="P214" s="77" t="str">
        <f>IF(Main[[#This Row],[Tech Start Date]]&lt;1/1/1990,"",IF(Main[[#This Row],[Class]]="C",WORKDAY(Main[[#This Row],[Tech Start Date]],28),IF(Main[[#This Row],[Class]]="B", WORKDAY(Main[[#This Row],[Tech Start Date]],19),IF(Main[[#This Row],[Class]]="A",WORKDAY(Main[[#This Row],[Tech Start Date]],9),""))))</f>
        <v/>
      </c>
      <c r="Q214" s="74"/>
      <c r="R214" s="74"/>
      <c r="S214" s="72" t="s">
        <v>49</v>
      </c>
      <c r="T214" s="80" t="s">
        <v>4</v>
      </c>
      <c r="U214" s="72" t="s">
        <v>12</v>
      </c>
      <c r="V214" s="72" t="s">
        <v>1938</v>
      </c>
      <c r="W214" s="72" t="s">
        <v>1939</v>
      </c>
      <c r="X214" s="72" t="s">
        <v>2986</v>
      </c>
      <c r="Y214" s="72" t="s">
        <v>3118</v>
      </c>
      <c r="Z214" s="72" t="s">
        <v>4</v>
      </c>
    </row>
    <row r="215" spans="1:26" ht="18.600000000000001" customHeight="1">
      <c r="A215" s="142" t="str">
        <f>IF(priority(Main[[#This Row],[Comments]])&lt;&gt;0, priority(Main[[#This Row],[Comments]]),"")</f>
        <v/>
      </c>
      <c r="B215" s="90" t="s">
        <v>1081</v>
      </c>
      <c r="C215" s="72" t="s">
        <v>67</v>
      </c>
      <c r="D215" s="73" t="s">
        <v>101</v>
      </c>
      <c r="E215" s="74"/>
      <c r="F215" s="74">
        <v>40664</v>
      </c>
      <c r="G215" s="75" t="str">
        <f>IF(stdProdLT(Main[[#This Row],[Comments]])=0.1,"N/A",IF(stdProdLT(Main[[#This Row],[Comments]])=0,"",stdProdLT(Main[[#This Row],[Comments]])))</f>
        <v/>
      </c>
      <c r="H215" s="76" t="str">
        <f>IF(AND(Main[[#This Row],[In Stock Date]]&lt;&gt;"",Main[[#This Row],[Revised Due Date]]&lt;&gt;""),Main[[#This Row],[In Stock Date]]-Main[[#This Row],[Revised Due Date]],"")</f>
        <v/>
      </c>
      <c r="I215" s="72" t="s">
        <v>102</v>
      </c>
      <c r="J215" s="72" t="s">
        <v>51</v>
      </c>
      <c r="K215" s="72" t="s">
        <v>1946</v>
      </c>
      <c r="L215" s="74"/>
      <c r="M215" s="77" t="str">
        <f>IF(Main[[#This Row],[Tech Start Date]]&lt;1/1/1990,"",IF(Main[[#This Row],[Class]]="C",WORKDAY(Main[[#This Row],[Tech Start Date]],9),IF(Main[[#This Row],[Class]]="B", WORKDAY(Main[[#This Row],[Tech Start Date]],6),IF(Main[[#This Row],[Class]]="A",WORKDAY(Main[[#This Row],[Tech Start Date]],2),""))))</f>
        <v/>
      </c>
      <c r="N215" s="77" t="str">
        <f>IF(Main[[#This Row],[Tech Start Date]]&lt;1/1/1990,"",IF(Main[[#This Row],[Class]]="C",WORKDAY(Main[[#This Row],[Tech Start Date]],19),IF(Main[[#This Row],[Class]]="B", WORKDAY(Main[[#This Row],[Tech Start Date]],12),IF(Main[[#This Row],[Class]]="A",WORKDAY(Main[[#This Row],[Tech Start Date]],4),""))))</f>
        <v/>
      </c>
      <c r="O215" s="77" t="str">
        <f>IF(Main[[#This Row],[Tech Start Date]]&lt;1/1/1990,"",IF(Main[[#This Row],[Class]]="C",WORKDAY(Main[[#This Row],[Tech Start Date]],23),IF(Main[[#This Row],[Class]]="B", WORKDAY(Main[[#This Row],[Tech Start Date]],15),IF(Main[[#This Row],[Class]]="A",WORKDAY(Main[[#This Row],[Tech Start Date]],5),""))))</f>
        <v/>
      </c>
      <c r="P215" s="77" t="str">
        <f>IF(Main[[#This Row],[Tech Start Date]]&lt;1/1/1990,"",IF(Main[[#This Row],[Class]]="C",WORKDAY(Main[[#This Row],[Tech Start Date]],28),IF(Main[[#This Row],[Class]]="B", WORKDAY(Main[[#This Row],[Tech Start Date]],19),IF(Main[[#This Row],[Class]]="A",WORKDAY(Main[[#This Row],[Tech Start Date]],9),""))))</f>
        <v/>
      </c>
      <c r="Q215" s="74">
        <v>40585</v>
      </c>
      <c r="R215" s="74"/>
      <c r="S215" s="72" t="s">
        <v>11</v>
      </c>
      <c r="T215" s="80" t="s">
        <v>4</v>
      </c>
      <c r="U215" s="72" t="s">
        <v>14</v>
      </c>
      <c r="V215" s="72" t="s">
        <v>1937</v>
      </c>
      <c r="W215" s="72" t="s">
        <v>1943</v>
      </c>
      <c r="X215" s="72" t="s">
        <v>50</v>
      </c>
      <c r="Y215" s="72" t="s">
        <v>3119</v>
      </c>
      <c r="Z215" s="72" t="s">
        <v>129</v>
      </c>
    </row>
    <row r="216" spans="1:26" ht="18.600000000000001" customHeight="1">
      <c r="A216" s="142" t="str">
        <f>IF(priority(Main[[#This Row],[Comments]])&lt;&gt;0, priority(Main[[#This Row],[Comments]]),"")</f>
        <v/>
      </c>
      <c r="B216" s="90" t="s">
        <v>2494</v>
      </c>
      <c r="C216" s="72" t="s">
        <v>4</v>
      </c>
      <c r="D216" s="73" t="s">
        <v>2769</v>
      </c>
      <c r="E216" s="74">
        <v>40869.337650462963</v>
      </c>
      <c r="F216" s="74"/>
      <c r="G216" s="75" t="str">
        <f>IF(stdProdLT(Main[[#This Row],[Comments]])=0.1,"N/A",IF(stdProdLT(Main[[#This Row],[Comments]])=0,"",stdProdLT(Main[[#This Row],[Comments]])))</f>
        <v/>
      </c>
      <c r="H216" s="76" t="str">
        <f>IF(AND(Main[[#This Row],[In Stock Date]]&lt;&gt;"",Main[[#This Row],[Revised Due Date]]&lt;&gt;""),Main[[#This Row],[In Stock Date]]-Main[[#This Row],[Revised Due Date]],"")</f>
        <v/>
      </c>
      <c r="I216" s="72" t="s">
        <v>4</v>
      </c>
      <c r="J216" s="72" t="s">
        <v>4</v>
      </c>
      <c r="K216" s="72" t="s">
        <v>4</v>
      </c>
      <c r="L216" s="74"/>
      <c r="M216" s="77" t="str">
        <f>IF(Main[[#This Row],[Tech Start Date]]&lt;1/1/1990,"",IF(Main[[#This Row],[Class]]="C",WORKDAY(Main[[#This Row],[Tech Start Date]],9),IF(Main[[#This Row],[Class]]="B", WORKDAY(Main[[#This Row],[Tech Start Date]],6),IF(Main[[#This Row],[Class]]="A",WORKDAY(Main[[#This Row],[Tech Start Date]],2),""))))</f>
        <v/>
      </c>
      <c r="N216" s="77" t="str">
        <f>IF(Main[[#This Row],[Tech Start Date]]&lt;1/1/1990,"",IF(Main[[#This Row],[Class]]="C",WORKDAY(Main[[#This Row],[Tech Start Date]],19),IF(Main[[#This Row],[Class]]="B", WORKDAY(Main[[#This Row],[Tech Start Date]],12),IF(Main[[#This Row],[Class]]="A",WORKDAY(Main[[#This Row],[Tech Start Date]],4),""))))</f>
        <v/>
      </c>
      <c r="O216" s="77" t="str">
        <f>IF(Main[[#This Row],[Tech Start Date]]&lt;1/1/1990,"",IF(Main[[#This Row],[Class]]="C",WORKDAY(Main[[#This Row],[Tech Start Date]],23),IF(Main[[#This Row],[Class]]="B", WORKDAY(Main[[#This Row],[Tech Start Date]],15),IF(Main[[#This Row],[Class]]="A",WORKDAY(Main[[#This Row],[Tech Start Date]],5),""))))</f>
        <v/>
      </c>
      <c r="P216" s="77" t="str">
        <f>IF(Main[[#This Row],[Tech Start Date]]&lt;1/1/1990,"",IF(Main[[#This Row],[Class]]="C",WORKDAY(Main[[#This Row],[Tech Start Date]],28),IF(Main[[#This Row],[Class]]="B", WORKDAY(Main[[#This Row],[Tech Start Date]],19),IF(Main[[#This Row],[Class]]="A",WORKDAY(Main[[#This Row],[Tech Start Date]],9),""))))</f>
        <v/>
      </c>
      <c r="Q216" s="74"/>
      <c r="R216" s="74"/>
      <c r="S216" s="72" t="s">
        <v>6</v>
      </c>
      <c r="T216" s="80" t="s">
        <v>2770</v>
      </c>
      <c r="U216" s="72" t="s">
        <v>29</v>
      </c>
      <c r="V216" s="72" t="s">
        <v>1937</v>
      </c>
      <c r="W216" s="72" t="s">
        <v>1941</v>
      </c>
      <c r="X216" s="72" t="s">
        <v>102</v>
      </c>
      <c r="Y216" s="72" t="s">
        <v>3120</v>
      </c>
      <c r="Z216" s="72" t="s">
        <v>4</v>
      </c>
    </row>
    <row r="217" spans="1:26" ht="18.600000000000001" customHeight="1">
      <c r="A217" s="142" t="str">
        <f>IF(priority(Main[[#This Row],[Comments]])&lt;&gt;0, priority(Main[[#This Row],[Comments]]),"")</f>
        <v/>
      </c>
      <c r="B217" s="90" t="s">
        <v>1083</v>
      </c>
      <c r="C217" s="72" t="s">
        <v>31</v>
      </c>
      <c r="D217" s="73" t="s">
        <v>104</v>
      </c>
      <c r="E217" s="74"/>
      <c r="F217" s="74"/>
      <c r="G217" s="75" t="str">
        <f>IF(stdProdLT(Main[[#This Row],[Comments]])=0.1,"N/A",IF(stdProdLT(Main[[#This Row],[Comments]])=0,"",stdProdLT(Main[[#This Row],[Comments]])))</f>
        <v/>
      </c>
      <c r="H217" s="76" t="str">
        <f>IF(AND(Main[[#This Row],[In Stock Date]]&lt;&gt;"",Main[[#This Row],[Revised Due Date]]&lt;&gt;""),Main[[#This Row],[In Stock Date]]-Main[[#This Row],[Revised Due Date]],"")</f>
        <v/>
      </c>
      <c r="I217" s="72" t="s">
        <v>4</v>
      </c>
      <c r="J217" s="72" t="s">
        <v>4</v>
      </c>
      <c r="K217" s="72" t="s">
        <v>4</v>
      </c>
      <c r="L217" s="74"/>
      <c r="M217" s="77" t="str">
        <f>IF(Main[[#This Row],[Tech Start Date]]&lt;1/1/1990,"",IF(Main[[#This Row],[Class]]="C",WORKDAY(Main[[#This Row],[Tech Start Date]],9),IF(Main[[#This Row],[Class]]="B", WORKDAY(Main[[#This Row],[Tech Start Date]],6),IF(Main[[#This Row],[Class]]="A",WORKDAY(Main[[#This Row],[Tech Start Date]],2),""))))</f>
        <v/>
      </c>
      <c r="N217" s="77" t="str">
        <f>IF(Main[[#This Row],[Tech Start Date]]&lt;1/1/1990,"",IF(Main[[#This Row],[Class]]="C",WORKDAY(Main[[#This Row],[Tech Start Date]],19),IF(Main[[#This Row],[Class]]="B", WORKDAY(Main[[#This Row],[Tech Start Date]],12),IF(Main[[#This Row],[Class]]="A",WORKDAY(Main[[#This Row],[Tech Start Date]],4),""))))</f>
        <v/>
      </c>
      <c r="O217" s="77" t="str">
        <f>IF(Main[[#This Row],[Tech Start Date]]&lt;1/1/1990,"",IF(Main[[#This Row],[Class]]="C",WORKDAY(Main[[#This Row],[Tech Start Date]],23),IF(Main[[#This Row],[Class]]="B", WORKDAY(Main[[#This Row],[Tech Start Date]],15),IF(Main[[#This Row],[Class]]="A",WORKDAY(Main[[#This Row],[Tech Start Date]],5),""))))</f>
        <v/>
      </c>
      <c r="P217" s="77" t="str">
        <f>IF(Main[[#This Row],[Tech Start Date]]&lt;1/1/1990,"",IF(Main[[#This Row],[Class]]="C",WORKDAY(Main[[#This Row],[Tech Start Date]],28),IF(Main[[#This Row],[Class]]="B", WORKDAY(Main[[#This Row],[Tech Start Date]],19),IF(Main[[#This Row],[Class]]="A",WORKDAY(Main[[#This Row],[Tech Start Date]],9),""))))</f>
        <v/>
      </c>
      <c r="Q217" s="74">
        <v>40318</v>
      </c>
      <c r="R217" s="74"/>
      <c r="S217" s="72" t="s">
        <v>11</v>
      </c>
      <c r="T217" s="80" t="s">
        <v>4</v>
      </c>
      <c r="U217" s="72" t="s">
        <v>14</v>
      </c>
      <c r="V217" s="72" t="s">
        <v>1947</v>
      </c>
      <c r="W217" s="72" t="s">
        <v>1939</v>
      </c>
      <c r="X217" s="72" t="s">
        <v>2982</v>
      </c>
      <c r="Y217" s="72" t="s">
        <v>4</v>
      </c>
      <c r="Z217" s="72" t="s">
        <v>4</v>
      </c>
    </row>
    <row r="218" spans="1:26" ht="18.600000000000001" customHeight="1">
      <c r="A218" s="142" t="str">
        <f>IF(priority(Main[[#This Row],[Comments]])&lt;&gt;0, priority(Main[[#This Row],[Comments]]),"")</f>
        <v/>
      </c>
      <c r="B218" s="90" t="s">
        <v>2773</v>
      </c>
      <c r="C218" s="72" t="s">
        <v>2774</v>
      </c>
      <c r="D218" s="73" t="s">
        <v>2775</v>
      </c>
      <c r="E218" s="74"/>
      <c r="F218" s="74"/>
      <c r="G218" s="75" t="str">
        <f>IF(stdProdLT(Main[[#This Row],[Comments]])=0.1,"N/A",IF(stdProdLT(Main[[#This Row],[Comments]])=0,"",stdProdLT(Main[[#This Row],[Comments]])))</f>
        <v/>
      </c>
      <c r="H218" s="76" t="str">
        <f>IF(AND(Main[[#This Row],[In Stock Date]]&lt;&gt;"",Main[[#This Row],[Revised Due Date]]&lt;&gt;""),Main[[#This Row],[In Stock Date]]-Main[[#This Row],[Revised Due Date]],"")</f>
        <v/>
      </c>
      <c r="I218" s="72" t="s">
        <v>4</v>
      </c>
      <c r="J218" s="72" t="s">
        <v>4</v>
      </c>
      <c r="K218" s="81" t="s">
        <v>4</v>
      </c>
      <c r="L218" s="74"/>
      <c r="M218" s="77" t="str">
        <f>IF(Main[[#This Row],[Tech Start Date]]&lt;1/1/1990,"",IF(Main[[#This Row],[Class]]="C",WORKDAY(Main[[#This Row],[Tech Start Date]],9),IF(Main[[#This Row],[Class]]="B", WORKDAY(Main[[#This Row],[Tech Start Date]],6),IF(Main[[#This Row],[Class]]="A",WORKDAY(Main[[#This Row],[Tech Start Date]],2),""))))</f>
        <v/>
      </c>
      <c r="N218" s="77" t="str">
        <f>IF(Main[[#This Row],[Tech Start Date]]&lt;1/1/1990,"",IF(Main[[#This Row],[Class]]="C",WORKDAY(Main[[#This Row],[Tech Start Date]],19),IF(Main[[#This Row],[Class]]="B", WORKDAY(Main[[#This Row],[Tech Start Date]],12),IF(Main[[#This Row],[Class]]="A",WORKDAY(Main[[#This Row],[Tech Start Date]],4),""))))</f>
        <v/>
      </c>
      <c r="O218" s="77" t="str">
        <f>IF(Main[[#This Row],[Tech Start Date]]&lt;1/1/1990,"",IF(Main[[#This Row],[Class]]="C",WORKDAY(Main[[#This Row],[Tech Start Date]],23),IF(Main[[#This Row],[Class]]="B", WORKDAY(Main[[#This Row],[Tech Start Date]],15),IF(Main[[#This Row],[Class]]="A",WORKDAY(Main[[#This Row],[Tech Start Date]],5),""))))</f>
        <v/>
      </c>
      <c r="P218" s="77" t="str">
        <f>IF(Main[[#This Row],[Tech Start Date]]&lt;1/1/1990,"",IF(Main[[#This Row],[Class]]="C",WORKDAY(Main[[#This Row],[Tech Start Date]],28),IF(Main[[#This Row],[Class]]="B", WORKDAY(Main[[#This Row],[Tech Start Date]],19),IF(Main[[#This Row],[Class]]="A",WORKDAY(Main[[#This Row],[Tech Start Date]],9),""))))</f>
        <v/>
      </c>
      <c r="Q218" s="74">
        <v>40921</v>
      </c>
      <c r="R218" s="74"/>
      <c r="S218" s="72" t="s">
        <v>11</v>
      </c>
      <c r="T218" s="80" t="s">
        <v>4</v>
      </c>
      <c r="U218" s="72" t="s">
        <v>12</v>
      </c>
      <c r="V218" s="72" t="s">
        <v>1938</v>
      </c>
      <c r="W218" s="72" t="s">
        <v>1939</v>
      </c>
      <c r="X218" s="72" t="s">
        <v>2967</v>
      </c>
      <c r="Y218" s="72" t="s">
        <v>4</v>
      </c>
      <c r="Z218" s="72" t="s">
        <v>4</v>
      </c>
    </row>
    <row r="219" spans="1:26" ht="18.600000000000001" customHeight="1">
      <c r="A219" s="142" t="str">
        <f>IF(priority(Main[[#This Row],[Comments]])&lt;&gt;0, priority(Main[[#This Row],[Comments]]),"")</f>
        <v/>
      </c>
      <c r="B219" s="90" t="s">
        <v>1878</v>
      </c>
      <c r="C219" s="72" t="s">
        <v>99</v>
      </c>
      <c r="D219" s="73" t="s">
        <v>926</v>
      </c>
      <c r="E219" s="74"/>
      <c r="F219" s="74">
        <v>40525</v>
      </c>
      <c r="G219" s="75" t="str">
        <f>IF(stdProdLT(Main[[#This Row],[Comments]])=0.1,"N/A",IF(stdProdLT(Main[[#This Row],[Comments]])=0,"",stdProdLT(Main[[#This Row],[Comments]])))</f>
        <v/>
      </c>
      <c r="H219" s="76">
        <f>IF(AND(Main[[#This Row],[In Stock Date]]&lt;&gt;"",Main[[#This Row],[Revised Due Date]]&lt;&gt;""),Main[[#This Row],[In Stock Date]]-Main[[#This Row],[Revised Due Date]],"")</f>
        <v>-46</v>
      </c>
      <c r="I219" s="72" t="s">
        <v>927</v>
      </c>
      <c r="J219" s="72" t="s">
        <v>21</v>
      </c>
      <c r="K219" s="72" t="s">
        <v>1950</v>
      </c>
      <c r="L219" s="74"/>
      <c r="M219" s="77" t="str">
        <f>IF(Main[[#This Row],[Tech Start Date]]&lt;1/1/1990,"",IF(Main[[#This Row],[Class]]="C",WORKDAY(Main[[#This Row],[Tech Start Date]],9),IF(Main[[#This Row],[Class]]="B", WORKDAY(Main[[#This Row],[Tech Start Date]],6),IF(Main[[#This Row],[Class]]="A",WORKDAY(Main[[#This Row],[Tech Start Date]],2),""))))</f>
        <v/>
      </c>
      <c r="N219" s="77" t="str">
        <f>IF(Main[[#This Row],[Tech Start Date]]&lt;1/1/1990,"",IF(Main[[#This Row],[Class]]="C",WORKDAY(Main[[#This Row],[Tech Start Date]],19),IF(Main[[#This Row],[Class]]="B", WORKDAY(Main[[#This Row],[Tech Start Date]],12),IF(Main[[#This Row],[Class]]="A",WORKDAY(Main[[#This Row],[Tech Start Date]],4),""))))</f>
        <v/>
      </c>
      <c r="O219" s="77" t="str">
        <f>IF(Main[[#This Row],[Tech Start Date]]&lt;1/1/1990,"",IF(Main[[#This Row],[Class]]="C",WORKDAY(Main[[#This Row],[Tech Start Date]],23),IF(Main[[#This Row],[Class]]="B", WORKDAY(Main[[#This Row],[Tech Start Date]],15),IF(Main[[#This Row],[Class]]="A",WORKDAY(Main[[#This Row],[Tech Start Date]],5),""))))</f>
        <v/>
      </c>
      <c r="P219" s="77" t="str">
        <f>IF(Main[[#This Row],[Tech Start Date]]&lt;1/1/1990,"",IF(Main[[#This Row],[Class]]="C",WORKDAY(Main[[#This Row],[Tech Start Date]],28),IF(Main[[#This Row],[Class]]="B", WORKDAY(Main[[#This Row],[Tech Start Date]],19),IF(Main[[#This Row],[Class]]="A",WORKDAY(Main[[#This Row],[Tech Start Date]],9),""))))</f>
        <v/>
      </c>
      <c r="Q219" s="74">
        <v>40525</v>
      </c>
      <c r="R219" s="74">
        <v>40571</v>
      </c>
      <c r="S219" s="72" t="s">
        <v>11</v>
      </c>
      <c r="T219" s="80" t="s">
        <v>4</v>
      </c>
      <c r="U219" s="72" t="s">
        <v>14</v>
      </c>
      <c r="V219" s="72" t="s">
        <v>1937</v>
      </c>
      <c r="W219" s="72" t="s">
        <v>1942</v>
      </c>
      <c r="X219" s="72" t="s">
        <v>2989</v>
      </c>
      <c r="Y219" s="72" t="s">
        <v>3124</v>
      </c>
      <c r="Z219" s="72" t="s">
        <v>129</v>
      </c>
    </row>
    <row r="220" spans="1:26" ht="18.600000000000001" customHeight="1">
      <c r="A220" s="142" t="str">
        <f>IF(priority(Main[[#This Row],[Comments]])&lt;&gt;0, priority(Main[[#This Row],[Comments]]),"")</f>
        <v/>
      </c>
      <c r="B220" s="90" t="s">
        <v>1881</v>
      </c>
      <c r="C220" s="72" t="s">
        <v>31</v>
      </c>
      <c r="D220" s="73" t="s">
        <v>930</v>
      </c>
      <c r="E220" s="74"/>
      <c r="F220" s="74">
        <v>40664</v>
      </c>
      <c r="G220" s="75" t="str">
        <f>IF(stdProdLT(Main[[#This Row],[Comments]])=0.1,"N/A",IF(stdProdLT(Main[[#This Row],[Comments]])=0,"",stdProdLT(Main[[#This Row],[Comments]])))</f>
        <v/>
      </c>
      <c r="H220" s="76">
        <f>IF(AND(Main[[#This Row],[In Stock Date]]&lt;&gt;"",Main[[#This Row],[Revised Due Date]]&lt;&gt;""),Main[[#This Row],[In Stock Date]]-Main[[#This Row],[Revised Due Date]],"")</f>
        <v>87</v>
      </c>
      <c r="I220" s="72" t="s">
        <v>404</v>
      </c>
      <c r="J220" s="72" t="s">
        <v>75</v>
      </c>
      <c r="K220" s="72" t="s">
        <v>1946</v>
      </c>
      <c r="L220" s="74"/>
      <c r="M220" s="77" t="str">
        <f>IF(Main[[#This Row],[Tech Start Date]]&lt;1/1/1990,"",IF(Main[[#This Row],[Class]]="C",WORKDAY(Main[[#This Row],[Tech Start Date]],9),IF(Main[[#This Row],[Class]]="B", WORKDAY(Main[[#This Row],[Tech Start Date]],6),IF(Main[[#This Row],[Class]]="A",WORKDAY(Main[[#This Row],[Tech Start Date]],2),""))))</f>
        <v/>
      </c>
      <c r="N220" s="77" t="str">
        <f>IF(Main[[#This Row],[Tech Start Date]]&lt;1/1/1990,"",IF(Main[[#This Row],[Class]]="C",WORKDAY(Main[[#This Row],[Tech Start Date]],19),IF(Main[[#This Row],[Class]]="B", WORKDAY(Main[[#This Row],[Tech Start Date]],12),IF(Main[[#This Row],[Class]]="A",WORKDAY(Main[[#This Row],[Tech Start Date]],4),""))))</f>
        <v/>
      </c>
      <c r="O220" s="77" t="str">
        <f>IF(Main[[#This Row],[Tech Start Date]]&lt;1/1/1990,"",IF(Main[[#This Row],[Class]]="C",WORKDAY(Main[[#This Row],[Tech Start Date]],23),IF(Main[[#This Row],[Class]]="B", WORKDAY(Main[[#This Row],[Tech Start Date]],15),IF(Main[[#This Row],[Class]]="A",WORKDAY(Main[[#This Row],[Tech Start Date]],5),""))))</f>
        <v/>
      </c>
      <c r="P220" s="77" t="str">
        <f>IF(Main[[#This Row],[Tech Start Date]]&lt;1/1/1990,"",IF(Main[[#This Row],[Class]]="C",WORKDAY(Main[[#This Row],[Tech Start Date]],28),IF(Main[[#This Row],[Class]]="B", WORKDAY(Main[[#This Row],[Tech Start Date]],19),IF(Main[[#This Row],[Class]]="A",WORKDAY(Main[[#This Row],[Tech Start Date]],9),""))))</f>
        <v/>
      </c>
      <c r="Q220" s="74"/>
      <c r="R220" s="74">
        <v>40577</v>
      </c>
      <c r="S220" s="72" t="s">
        <v>11</v>
      </c>
      <c r="T220" s="80" t="s">
        <v>4</v>
      </c>
      <c r="U220" s="72" t="s">
        <v>14</v>
      </c>
      <c r="V220" s="72" t="s">
        <v>1940</v>
      </c>
      <c r="W220" s="72" t="s">
        <v>1943</v>
      </c>
      <c r="X220" s="72" t="s">
        <v>2977</v>
      </c>
      <c r="Y220" s="72" t="s">
        <v>3125</v>
      </c>
      <c r="Z220" s="72" t="s">
        <v>536</v>
      </c>
    </row>
    <row r="221" spans="1:26" ht="18.600000000000001" customHeight="1">
      <c r="A221" s="142" t="str">
        <f>IF(priority(Main[[#This Row],[Comments]])&lt;&gt;0, priority(Main[[#This Row],[Comments]]),"")</f>
        <v/>
      </c>
      <c r="B221" s="90" t="s">
        <v>1097</v>
      </c>
      <c r="C221" s="72" t="s">
        <v>4</v>
      </c>
      <c r="D221" s="73" t="s">
        <v>124</v>
      </c>
      <c r="E221" s="74"/>
      <c r="F221" s="74"/>
      <c r="G221" s="75" t="str">
        <f>IF(stdProdLT(Main[[#This Row],[Comments]])=0.1,"N/A",IF(stdProdLT(Main[[#This Row],[Comments]])=0,"",stdProdLT(Main[[#This Row],[Comments]])))</f>
        <v/>
      </c>
      <c r="H221" s="76" t="str">
        <f>IF(AND(Main[[#This Row],[In Stock Date]]&lt;&gt;"",Main[[#This Row],[Revised Due Date]]&lt;&gt;""),Main[[#This Row],[In Stock Date]]-Main[[#This Row],[Revised Due Date]],"")</f>
        <v/>
      </c>
      <c r="I221" s="72" t="s">
        <v>4</v>
      </c>
      <c r="J221" s="72" t="s">
        <v>4</v>
      </c>
      <c r="K221" s="72" t="s">
        <v>4</v>
      </c>
      <c r="L221" s="74"/>
      <c r="M221" s="77" t="str">
        <f>IF(Main[[#This Row],[Tech Start Date]]&lt;1/1/1990,"",IF(Main[[#This Row],[Class]]="C",WORKDAY(Main[[#This Row],[Tech Start Date]],9),IF(Main[[#This Row],[Class]]="B", WORKDAY(Main[[#This Row],[Tech Start Date]],6),IF(Main[[#This Row],[Class]]="A",WORKDAY(Main[[#This Row],[Tech Start Date]],2),""))))</f>
        <v/>
      </c>
      <c r="N221" s="77" t="str">
        <f>IF(Main[[#This Row],[Tech Start Date]]&lt;1/1/1990,"",IF(Main[[#This Row],[Class]]="C",WORKDAY(Main[[#This Row],[Tech Start Date]],19),IF(Main[[#This Row],[Class]]="B", WORKDAY(Main[[#This Row],[Tech Start Date]],12),IF(Main[[#This Row],[Class]]="A",WORKDAY(Main[[#This Row],[Tech Start Date]],4),""))))</f>
        <v/>
      </c>
      <c r="O221" s="77" t="str">
        <f>IF(Main[[#This Row],[Tech Start Date]]&lt;1/1/1990,"",IF(Main[[#This Row],[Class]]="C",WORKDAY(Main[[#This Row],[Tech Start Date]],23),IF(Main[[#This Row],[Class]]="B", WORKDAY(Main[[#This Row],[Tech Start Date]],15),IF(Main[[#This Row],[Class]]="A",WORKDAY(Main[[#This Row],[Tech Start Date]],5),""))))</f>
        <v/>
      </c>
      <c r="P221" s="77" t="str">
        <f>IF(Main[[#This Row],[Tech Start Date]]&lt;1/1/1990,"",IF(Main[[#This Row],[Class]]="C",WORKDAY(Main[[#This Row],[Tech Start Date]],28),IF(Main[[#This Row],[Class]]="B", WORKDAY(Main[[#This Row],[Tech Start Date]],19),IF(Main[[#This Row],[Class]]="A",WORKDAY(Main[[#This Row],[Tech Start Date]],9),""))))</f>
        <v/>
      </c>
      <c r="Q221" s="74">
        <v>40613</v>
      </c>
      <c r="R221" s="74"/>
      <c r="S221" s="72" t="s">
        <v>6</v>
      </c>
      <c r="T221" s="80" t="s">
        <v>4</v>
      </c>
      <c r="U221" s="72" t="s">
        <v>12</v>
      </c>
      <c r="V221" s="72" t="s">
        <v>1937</v>
      </c>
      <c r="W221" s="72" t="s">
        <v>1951</v>
      </c>
      <c r="X221" s="72" t="s">
        <v>126</v>
      </c>
      <c r="Y221" s="72" t="s">
        <v>4</v>
      </c>
      <c r="Z221" s="72" t="s">
        <v>4</v>
      </c>
    </row>
    <row r="222" spans="1:26" ht="18.600000000000001" customHeight="1">
      <c r="A222" s="142" t="str">
        <f>IF(priority(Main[[#This Row],[Comments]])&lt;&gt;0, priority(Main[[#This Row],[Comments]]),"")</f>
        <v/>
      </c>
      <c r="B222" s="90" t="s">
        <v>2206</v>
      </c>
      <c r="C222" s="72" t="s">
        <v>2207</v>
      </c>
      <c r="D222" s="73" t="s">
        <v>2208</v>
      </c>
      <c r="E222" s="74"/>
      <c r="F222" s="74">
        <v>40829</v>
      </c>
      <c r="G222" s="75" t="str">
        <f>IF(stdProdLT(Main[[#This Row],[Comments]])=0.1,"N/A",IF(stdProdLT(Main[[#This Row],[Comments]])=0,"",stdProdLT(Main[[#This Row],[Comments]])))</f>
        <v/>
      </c>
      <c r="H222" s="76" t="str">
        <f>IF(AND(Main[[#This Row],[In Stock Date]]&lt;&gt;"",Main[[#This Row],[Revised Due Date]]&lt;&gt;""),Main[[#This Row],[In Stock Date]]-Main[[#This Row],[Revised Due Date]],"")</f>
        <v/>
      </c>
      <c r="I222" s="72" t="s">
        <v>4</v>
      </c>
      <c r="J222" s="72" t="s">
        <v>4</v>
      </c>
      <c r="K222" s="72" t="s">
        <v>4</v>
      </c>
      <c r="L222" s="74"/>
      <c r="M222" s="77" t="str">
        <f>IF(Main[[#This Row],[Tech Start Date]]&lt;1/1/1990,"",IF(Main[[#This Row],[Class]]="C",WORKDAY(Main[[#This Row],[Tech Start Date]],9),IF(Main[[#This Row],[Class]]="B", WORKDAY(Main[[#This Row],[Tech Start Date]],6),IF(Main[[#This Row],[Class]]="A",WORKDAY(Main[[#This Row],[Tech Start Date]],2),""))))</f>
        <v/>
      </c>
      <c r="N222" s="77" t="str">
        <f>IF(Main[[#This Row],[Tech Start Date]]&lt;1/1/1990,"",IF(Main[[#This Row],[Class]]="C",WORKDAY(Main[[#This Row],[Tech Start Date]],19),IF(Main[[#This Row],[Class]]="B", WORKDAY(Main[[#This Row],[Tech Start Date]],12),IF(Main[[#This Row],[Class]]="A",WORKDAY(Main[[#This Row],[Tech Start Date]],4),""))))</f>
        <v/>
      </c>
      <c r="O222" s="77" t="str">
        <f>IF(Main[[#This Row],[Tech Start Date]]&lt;1/1/1990,"",IF(Main[[#This Row],[Class]]="C",WORKDAY(Main[[#This Row],[Tech Start Date]],23),IF(Main[[#This Row],[Class]]="B", WORKDAY(Main[[#This Row],[Tech Start Date]],15),IF(Main[[#This Row],[Class]]="A",WORKDAY(Main[[#This Row],[Tech Start Date]],5),""))))</f>
        <v/>
      </c>
      <c r="P222" s="77" t="str">
        <f>IF(Main[[#This Row],[Tech Start Date]]&lt;1/1/1990,"",IF(Main[[#This Row],[Class]]="C",WORKDAY(Main[[#This Row],[Tech Start Date]],28),IF(Main[[#This Row],[Class]]="B", WORKDAY(Main[[#This Row],[Tech Start Date]],19),IF(Main[[#This Row],[Class]]="A",WORKDAY(Main[[#This Row],[Tech Start Date]],9),""))))</f>
        <v/>
      </c>
      <c r="Q222" s="74">
        <v>40801</v>
      </c>
      <c r="R222" s="74"/>
      <c r="S222" s="72" t="s">
        <v>11</v>
      </c>
      <c r="T222" s="80" t="s">
        <v>4</v>
      </c>
      <c r="U222" s="72" t="s">
        <v>14</v>
      </c>
      <c r="V222" s="72" t="s">
        <v>1938</v>
      </c>
      <c r="W222" s="72" t="s">
        <v>1945</v>
      </c>
      <c r="X222" s="72" t="s">
        <v>2990</v>
      </c>
      <c r="Y222" s="72" t="s">
        <v>3126</v>
      </c>
      <c r="Z222" s="72" t="s">
        <v>4</v>
      </c>
    </row>
    <row r="223" spans="1:26" ht="18.600000000000001" customHeight="1">
      <c r="A223" s="142" t="str">
        <f>IF(priority(Main[[#This Row],[Comments]])&lt;&gt;0, priority(Main[[#This Row],[Comments]]),"")</f>
        <v/>
      </c>
      <c r="B223" s="90" t="s">
        <v>2585</v>
      </c>
      <c r="C223" s="72" t="s">
        <v>4</v>
      </c>
      <c r="D223" s="73" t="s">
        <v>2586</v>
      </c>
      <c r="E223" s="74">
        <v>40855.624421296299</v>
      </c>
      <c r="F223" s="74"/>
      <c r="G223" s="75" t="str">
        <f>IF(stdProdLT(Main[[#This Row],[Comments]])=0.1,"N/A",IF(stdProdLT(Main[[#This Row],[Comments]])=0,"",stdProdLT(Main[[#This Row],[Comments]])))</f>
        <v/>
      </c>
      <c r="H223" s="76" t="str">
        <f>IF(AND(Main[[#This Row],[In Stock Date]]&lt;&gt;"",Main[[#This Row],[Revised Due Date]]&lt;&gt;""),Main[[#This Row],[In Stock Date]]-Main[[#This Row],[Revised Due Date]],"")</f>
        <v/>
      </c>
      <c r="I223" s="72" t="s">
        <v>81</v>
      </c>
      <c r="J223" s="72" t="s">
        <v>21</v>
      </c>
      <c r="K223" s="72" t="s">
        <v>4</v>
      </c>
      <c r="L223" s="74"/>
      <c r="M223" s="77" t="str">
        <f>IF(Main[[#This Row],[Tech Start Date]]&lt;1/1/1990,"",IF(Main[[#This Row],[Class]]="C",WORKDAY(Main[[#This Row],[Tech Start Date]],9),IF(Main[[#This Row],[Class]]="B", WORKDAY(Main[[#This Row],[Tech Start Date]],6),IF(Main[[#This Row],[Class]]="A",WORKDAY(Main[[#This Row],[Tech Start Date]],2),""))))</f>
        <v/>
      </c>
      <c r="N223" s="77" t="str">
        <f>IF(Main[[#This Row],[Tech Start Date]]&lt;1/1/1990,"",IF(Main[[#This Row],[Class]]="C",WORKDAY(Main[[#This Row],[Tech Start Date]],19),IF(Main[[#This Row],[Class]]="B", WORKDAY(Main[[#This Row],[Tech Start Date]],12),IF(Main[[#This Row],[Class]]="A",WORKDAY(Main[[#This Row],[Tech Start Date]],4),""))))</f>
        <v/>
      </c>
      <c r="O223" s="77" t="str">
        <f>IF(Main[[#This Row],[Tech Start Date]]&lt;1/1/1990,"",IF(Main[[#This Row],[Class]]="C",WORKDAY(Main[[#This Row],[Tech Start Date]],23),IF(Main[[#This Row],[Class]]="B", WORKDAY(Main[[#This Row],[Tech Start Date]],15),IF(Main[[#This Row],[Class]]="A",WORKDAY(Main[[#This Row],[Tech Start Date]],5),""))))</f>
        <v/>
      </c>
      <c r="P223" s="77" t="str">
        <f>IF(Main[[#This Row],[Tech Start Date]]&lt;1/1/1990,"",IF(Main[[#This Row],[Class]]="C",WORKDAY(Main[[#This Row],[Tech Start Date]],28),IF(Main[[#This Row],[Class]]="B", WORKDAY(Main[[#This Row],[Tech Start Date]],19),IF(Main[[#This Row],[Class]]="A",WORKDAY(Main[[#This Row],[Tech Start Date]],9),""))))</f>
        <v/>
      </c>
      <c r="Q223" s="74">
        <v>40908</v>
      </c>
      <c r="R223" s="74"/>
      <c r="S223" s="72" t="s">
        <v>6</v>
      </c>
      <c r="T223" s="80" t="s">
        <v>4</v>
      </c>
      <c r="U223" s="72" t="s">
        <v>29</v>
      </c>
      <c r="V223" s="72" t="s">
        <v>1947</v>
      </c>
      <c r="W223" s="72" t="s">
        <v>1942</v>
      </c>
      <c r="X223" s="72" t="s">
        <v>81</v>
      </c>
      <c r="Y223" s="72" t="s">
        <v>3127</v>
      </c>
      <c r="Z223" s="72" t="s">
        <v>81</v>
      </c>
    </row>
    <row r="224" spans="1:26" ht="18.600000000000001" customHeight="1">
      <c r="A224" s="142" t="str">
        <f>IF(priority(Main[[#This Row],[Comments]])&lt;&gt;0, priority(Main[[#This Row],[Comments]]),"")</f>
        <v/>
      </c>
      <c r="B224" s="90" t="s">
        <v>1089</v>
      </c>
      <c r="C224" s="72" t="s">
        <v>31</v>
      </c>
      <c r="D224" s="73" t="s">
        <v>115</v>
      </c>
      <c r="E224" s="74"/>
      <c r="F224" s="74"/>
      <c r="G224" s="75" t="str">
        <f>IF(stdProdLT(Main[[#This Row],[Comments]])=0.1,"N/A",IF(stdProdLT(Main[[#This Row],[Comments]])=0,"",stdProdLT(Main[[#This Row],[Comments]])))</f>
        <v/>
      </c>
      <c r="H224" s="76" t="str">
        <f>IF(AND(Main[[#This Row],[In Stock Date]]&lt;&gt;"",Main[[#This Row],[Revised Due Date]]&lt;&gt;""),Main[[#This Row],[In Stock Date]]-Main[[#This Row],[Revised Due Date]],"")</f>
        <v/>
      </c>
      <c r="I224" s="72" t="s">
        <v>4</v>
      </c>
      <c r="J224" s="72" t="s">
        <v>4</v>
      </c>
      <c r="K224" s="72" t="s">
        <v>4</v>
      </c>
      <c r="L224" s="74"/>
      <c r="M224" s="77" t="str">
        <f>IF(Main[[#This Row],[Tech Start Date]]&lt;1/1/1990,"",IF(Main[[#This Row],[Class]]="C",WORKDAY(Main[[#This Row],[Tech Start Date]],9),IF(Main[[#This Row],[Class]]="B", WORKDAY(Main[[#This Row],[Tech Start Date]],6),IF(Main[[#This Row],[Class]]="A",WORKDAY(Main[[#This Row],[Tech Start Date]],2),""))))</f>
        <v/>
      </c>
      <c r="N224" s="77" t="str">
        <f>IF(Main[[#This Row],[Tech Start Date]]&lt;1/1/1990,"",IF(Main[[#This Row],[Class]]="C",WORKDAY(Main[[#This Row],[Tech Start Date]],19),IF(Main[[#This Row],[Class]]="B", WORKDAY(Main[[#This Row],[Tech Start Date]],12),IF(Main[[#This Row],[Class]]="A",WORKDAY(Main[[#This Row],[Tech Start Date]],4),""))))</f>
        <v/>
      </c>
      <c r="O224" s="77" t="str">
        <f>IF(Main[[#This Row],[Tech Start Date]]&lt;1/1/1990,"",IF(Main[[#This Row],[Class]]="C",WORKDAY(Main[[#This Row],[Tech Start Date]],23),IF(Main[[#This Row],[Class]]="B", WORKDAY(Main[[#This Row],[Tech Start Date]],15),IF(Main[[#This Row],[Class]]="A",WORKDAY(Main[[#This Row],[Tech Start Date]],5),""))))</f>
        <v/>
      </c>
      <c r="P224" s="77" t="str">
        <f>IF(Main[[#This Row],[Tech Start Date]]&lt;1/1/1990,"",IF(Main[[#This Row],[Class]]="C",WORKDAY(Main[[#This Row],[Tech Start Date]],28),IF(Main[[#This Row],[Class]]="B", WORKDAY(Main[[#This Row],[Tech Start Date]],19),IF(Main[[#This Row],[Class]]="A",WORKDAY(Main[[#This Row],[Tech Start Date]],9),""))))</f>
        <v/>
      </c>
      <c r="Q224" s="74">
        <v>40318</v>
      </c>
      <c r="R224" s="74"/>
      <c r="S224" s="72" t="s">
        <v>11</v>
      </c>
      <c r="T224" s="80" t="s">
        <v>4</v>
      </c>
      <c r="U224" s="72" t="s">
        <v>14</v>
      </c>
      <c r="V224" s="72" t="s">
        <v>1940</v>
      </c>
      <c r="W224" s="72" t="s">
        <v>1939</v>
      </c>
      <c r="X224" s="72" t="s">
        <v>2982</v>
      </c>
      <c r="Y224" s="72" t="s">
        <v>4</v>
      </c>
      <c r="Z224" s="72" t="s">
        <v>4</v>
      </c>
    </row>
    <row r="225" spans="1:26" ht="18.600000000000001" customHeight="1">
      <c r="A225" s="142" t="str">
        <f>IF(priority(Main[[#This Row],[Comments]])&lt;&gt;0, priority(Main[[#This Row],[Comments]]),"")</f>
        <v/>
      </c>
      <c r="B225" s="90" t="s">
        <v>2362</v>
      </c>
      <c r="C225" s="72" t="s">
        <v>31</v>
      </c>
      <c r="D225" s="73" t="s">
        <v>2363</v>
      </c>
      <c r="E225" s="74"/>
      <c r="F225" s="74">
        <v>41000</v>
      </c>
      <c r="G225" s="75">
        <f>IF(stdProdLT(Main[[#This Row],[Comments]])=0.1,"N/A",IF(stdProdLT(Main[[#This Row],[Comments]])=0,"",stdProdLT(Main[[#This Row],[Comments]])))</f>
        <v>140</v>
      </c>
      <c r="H225" s="76" t="str">
        <f>IF(AND(Main[[#This Row],[In Stock Date]]&lt;&gt;"",Main[[#This Row],[Revised Due Date]]&lt;&gt;""),Main[[#This Row],[In Stock Date]]-Main[[#This Row],[Revised Due Date]],"")</f>
        <v/>
      </c>
      <c r="I225" s="72" t="s">
        <v>4</v>
      </c>
      <c r="J225" s="72" t="s">
        <v>4</v>
      </c>
      <c r="K225" s="72" t="s">
        <v>4</v>
      </c>
      <c r="L225" s="74"/>
      <c r="M225" s="77" t="str">
        <f>IF(Main[[#This Row],[Tech Start Date]]&lt;1/1/1990,"",IF(Main[[#This Row],[Class]]="C",WORKDAY(Main[[#This Row],[Tech Start Date]],9),IF(Main[[#This Row],[Class]]="B", WORKDAY(Main[[#This Row],[Tech Start Date]],6),IF(Main[[#This Row],[Class]]="A",WORKDAY(Main[[#This Row],[Tech Start Date]],2),""))))</f>
        <v/>
      </c>
      <c r="N225" s="77" t="str">
        <f>IF(Main[[#This Row],[Tech Start Date]]&lt;1/1/1990,"",IF(Main[[#This Row],[Class]]="C",WORKDAY(Main[[#This Row],[Tech Start Date]],19),IF(Main[[#This Row],[Class]]="B", WORKDAY(Main[[#This Row],[Tech Start Date]],12),IF(Main[[#This Row],[Class]]="A",WORKDAY(Main[[#This Row],[Tech Start Date]],4),""))))</f>
        <v/>
      </c>
      <c r="O225" s="77" t="str">
        <f>IF(Main[[#This Row],[Tech Start Date]]&lt;1/1/1990,"",IF(Main[[#This Row],[Class]]="C",WORKDAY(Main[[#This Row],[Tech Start Date]],23),IF(Main[[#This Row],[Class]]="B", WORKDAY(Main[[#This Row],[Tech Start Date]],15),IF(Main[[#This Row],[Class]]="A",WORKDAY(Main[[#This Row],[Tech Start Date]],5),""))))</f>
        <v/>
      </c>
      <c r="P225" s="77" t="str">
        <f>IF(Main[[#This Row],[Tech Start Date]]&lt;1/1/1990,"",IF(Main[[#This Row],[Class]]="C",WORKDAY(Main[[#This Row],[Tech Start Date]],28),IF(Main[[#This Row],[Class]]="B", WORKDAY(Main[[#This Row],[Tech Start Date]],19),IF(Main[[#This Row],[Class]]="A",WORKDAY(Main[[#This Row],[Tech Start Date]],9),""))))</f>
        <v/>
      </c>
      <c r="Q225" s="74">
        <v>40916</v>
      </c>
      <c r="R225" s="74"/>
      <c r="S225" s="72" t="s">
        <v>11</v>
      </c>
      <c r="T225" s="80" t="s">
        <v>2364</v>
      </c>
      <c r="U225" s="72" t="s">
        <v>14</v>
      </c>
      <c r="V225" s="72" t="s">
        <v>1947</v>
      </c>
      <c r="W225" s="72" t="s">
        <v>1943</v>
      </c>
      <c r="X225" s="72" t="s">
        <v>2992</v>
      </c>
      <c r="Y225" s="72" t="s">
        <v>4</v>
      </c>
      <c r="Z225" s="72" t="s">
        <v>4</v>
      </c>
    </row>
    <row r="226" spans="1:26" ht="18.600000000000001" customHeight="1">
      <c r="A226" s="142" t="str">
        <f>IF(priority(Main[[#This Row],[Comments]])&lt;&gt;0, priority(Main[[#This Row],[Comments]]),"")</f>
        <v/>
      </c>
      <c r="B226" s="90" t="s">
        <v>2035</v>
      </c>
      <c r="C226" s="72" t="s">
        <v>4</v>
      </c>
      <c r="D226" s="73" t="s">
        <v>2036</v>
      </c>
      <c r="E226" s="74"/>
      <c r="F226" s="74"/>
      <c r="G226" s="75" t="str">
        <f>IF(stdProdLT(Main[[#This Row],[Comments]])=0.1,"N/A",IF(stdProdLT(Main[[#This Row],[Comments]])=0,"",stdProdLT(Main[[#This Row],[Comments]])))</f>
        <v/>
      </c>
      <c r="H226" s="76" t="str">
        <f>IF(AND(Main[[#This Row],[In Stock Date]]&lt;&gt;"",Main[[#This Row],[Revised Due Date]]&lt;&gt;""),Main[[#This Row],[In Stock Date]]-Main[[#This Row],[Revised Due Date]],"")</f>
        <v/>
      </c>
      <c r="I226" s="72" t="s">
        <v>4</v>
      </c>
      <c r="J226" s="72" t="s">
        <v>4</v>
      </c>
      <c r="K226" s="72" t="s">
        <v>4</v>
      </c>
      <c r="L226" s="74"/>
      <c r="M226" s="77" t="str">
        <f>IF(Main[[#This Row],[Tech Start Date]]&lt;1/1/1990,"",IF(Main[[#This Row],[Class]]="C",WORKDAY(Main[[#This Row],[Tech Start Date]],9),IF(Main[[#This Row],[Class]]="B", WORKDAY(Main[[#This Row],[Tech Start Date]],6),IF(Main[[#This Row],[Class]]="A",WORKDAY(Main[[#This Row],[Tech Start Date]],2),""))))</f>
        <v/>
      </c>
      <c r="N226" s="77" t="str">
        <f>IF(Main[[#This Row],[Tech Start Date]]&lt;1/1/1990,"",IF(Main[[#This Row],[Class]]="C",WORKDAY(Main[[#This Row],[Tech Start Date]],19),IF(Main[[#This Row],[Class]]="B", WORKDAY(Main[[#This Row],[Tech Start Date]],12),IF(Main[[#This Row],[Class]]="A",WORKDAY(Main[[#This Row],[Tech Start Date]],4),""))))</f>
        <v/>
      </c>
      <c r="O226" s="77" t="str">
        <f>IF(Main[[#This Row],[Tech Start Date]]&lt;1/1/1990,"",IF(Main[[#This Row],[Class]]="C",WORKDAY(Main[[#This Row],[Tech Start Date]],23),IF(Main[[#This Row],[Class]]="B", WORKDAY(Main[[#This Row],[Tech Start Date]],15),IF(Main[[#This Row],[Class]]="A",WORKDAY(Main[[#This Row],[Tech Start Date]],5),""))))</f>
        <v/>
      </c>
      <c r="P226" s="77" t="str">
        <f>IF(Main[[#This Row],[Tech Start Date]]&lt;1/1/1990,"",IF(Main[[#This Row],[Class]]="C",WORKDAY(Main[[#This Row],[Tech Start Date]],28),IF(Main[[#This Row],[Class]]="B", WORKDAY(Main[[#This Row],[Tech Start Date]],19),IF(Main[[#This Row],[Class]]="A",WORKDAY(Main[[#This Row],[Tech Start Date]],9),""))))</f>
        <v/>
      </c>
      <c r="Q226" s="74"/>
      <c r="R226" s="74"/>
      <c r="S226" s="72" t="s">
        <v>4</v>
      </c>
      <c r="T226" s="80" t="s">
        <v>4</v>
      </c>
      <c r="U226" s="72" t="s">
        <v>14</v>
      </c>
      <c r="V226" s="72" t="s">
        <v>1940</v>
      </c>
      <c r="W226" s="72" t="s">
        <v>1939</v>
      </c>
      <c r="X226" s="72" t="s">
        <v>2993</v>
      </c>
      <c r="Y226" s="72" t="s">
        <v>3129</v>
      </c>
      <c r="Z226" s="72" t="s">
        <v>4</v>
      </c>
    </row>
    <row r="227" spans="1:26" ht="18.600000000000001" customHeight="1">
      <c r="A227" s="142" t="str">
        <f>IF(priority(Main[[#This Row],[Comments]])&lt;&gt;0, priority(Main[[#This Row],[Comments]]),"")</f>
        <v/>
      </c>
      <c r="B227" s="90" t="s">
        <v>1091</v>
      </c>
      <c r="C227" s="72" t="s">
        <v>42</v>
      </c>
      <c r="D227" s="73" t="s">
        <v>119</v>
      </c>
      <c r="E227" s="74"/>
      <c r="F227" s="74"/>
      <c r="G227" s="75" t="str">
        <f>IF(stdProdLT(Main[[#This Row],[Comments]])=0.1,"N/A",IF(stdProdLT(Main[[#This Row],[Comments]])=0,"",stdProdLT(Main[[#This Row],[Comments]])))</f>
        <v/>
      </c>
      <c r="H227" s="76" t="str">
        <f>IF(AND(Main[[#This Row],[In Stock Date]]&lt;&gt;"",Main[[#This Row],[Revised Due Date]]&lt;&gt;""),Main[[#This Row],[In Stock Date]]-Main[[#This Row],[Revised Due Date]],"")</f>
        <v/>
      </c>
      <c r="I227" s="72" t="s">
        <v>4</v>
      </c>
      <c r="J227" s="72" t="s">
        <v>4</v>
      </c>
      <c r="K227" s="72" t="s">
        <v>4</v>
      </c>
      <c r="L227" s="74"/>
      <c r="M227" s="77" t="str">
        <f>IF(Main[[#This Row],[Tech Start Date]]&lt;1/1/1990,"",IF(Main[[#This Row],[Class]]="C",WORKDAY(Main[[#This Row],[Tech Start Date]],9),IF(Main[[#This Row],[Class]]="B", WORKDAY(Main[[#This Row],[Tech Start Date]],6),IF(Main[[#This Row],[Class]]="A",WORKDAY(Main[[#This Row],[Tech Start Date]],2),""))))</f>
        <v/>
      </c>
      <c r="N227" s="77" t="str">
        <f>IF(Main[[#This Row],[Tech Start Date]]&lt;1/1/1990,"",IF(Main[[#This Row],[Class]]="C",WORKDAY(Main[[#This Row],[Tech Start Date]],19),IF(Main[[#This Row],[Class]]="B", WORKDAY(Main[[#This Row],[Tech Start Date]],12),IF(Main[[#This Row],[Class]]="A",WORKDAY(Main[[#This Row],[Tech Start Date]],4),""))))</f>
        <v/>
      </c>
      <c r="O227" s="77" t="str">
        <f>IF(Main[[#This Row],[Tech Start Date]]&lt;1/1/1990,"",IF(Main[[#This Row],[Class]]="C",WORKDAY(Main[[#This Row],[Tech Start Date]],23),IF(Main[[#This Row],[Class]]="B", WORKDAY(Main[[#This Row],[Tech Start Date]],15),IF(Main[[#This Row],[Class]]="A",WORKDAY(Main[[#This Row],[Tech Start Date]],5),""))))</f>
        <v/>
      </c>
      <c r="P227" s="77" t="str">
        <f>IF(Main[[#This Row],[Tech Start Date]]&lt;1/1/1990,"",IF(Main[[#This Row],[Class]]="C",WORKDAY(Main[[#This Row],[Tech Start Date]],28),IF(Main[[#This Row],[Class]]="B", WORKDAY(Main[[#This Row],[Tech Start Date]],19),IF(Main[[#This Row],[Class]]="A",WORKDAY(Main[[#This Row],[Tech Start Date]],9),""))))</f>
        <v/>
      </c>
      <c r="Q227" s="74"/>
      <c r="R227" s="74"/>
      <c r="S227" s="72" t="s">
        <v>11</v>
      </c>
      <c r="T227" s="80" t="s">
        <v>4</v>
      </c>
      <c r="U227" s="72" t="s">
        <v>14</v>
      </c>
      <c r="V227" s="72" t="s">
        <v>1938</v>
      </c>
      <c r="W227" s="72" t="s">
        <v>1945</v>
      </c>
      <c r="X227" s="72" t="s">
        <v>404</v>
      </c>
      <c r="Y227" s="72" t="s">
        <v>3106</v>
      </c>
      <c r="Z227" s="72" t="s">
        <v>4</v>
      </c>
    </row>
    <row r="228" spans="1:26" ht="18.600000000000001" customHeight="1">
      <c r="A228" s="142" t="str">
        <f>IF(priority(Main[[#This Row],[Comments]])&lt;&gt;0, priority(Main[[#This Row],[Comments]]),"")</f>
        <v/>
      </c>
      <c r="B228" s="90" t="s">
        <v>1507</v>
      </c>
      <c r="C228" s="72" t="s">
        <v>4</v>
      </c>
      <c r="D228" s="73" t="s">
        <v>578</v>
      </c>
      <c r="E228" s="74">
        <v>40422.460902777777</v>
      </c>
      <c r="F228" s="74"/>
      <c r="G228" s="75" t="str">
        <f>IF(stdProdLT(Main[[#This Row],[Comments]])=0.1,"N/A",IF(stdProdLT(Main[[#This Row],[Comments]])=0,"",stdProdLT(Main[[#This Row],[Comments]])))</f>
        <v/>
      </c>
      <c r="H228" s="76" t="str">
        <f>IF(AND(Main[[#This Row],[In Stock Date]]&lt;&gt;"",Main[[#This Row],[Revised Due Date]]&lt;&gt;""),Main[[#This Row],[In Stock Date]]-Main[[#This Row],[Revised Due Date]],"")</f>
        <v/>
      </c>
      <c r="I228" s="72" t="s">
        <v>4</v>
      </c>
      <c r="J228" s="72" t="s">
        <v>28</v>
      </c>
      <c r="K228" s="81" t="s">
        <v>4</v>
      </c>
      <c r="L228" s="74"/>
      <c r="M228" s="77" t="str">
        <f>IF(Main[[#This Row],[Tech Start Date]]&lt;1/1/1990,"",IF(Main[[#This Row],[Class]]="C",WORKDAY(Main[[#This Row],[Tech Start Date]],9),IF(Main[[#This Row],[Class]]="B", WORKDAY(Main[[#This Row],[Tech Start Date]],6),IF(Main[[#This Row],[Class]]="A",WORKDAY(Main[[#This Row],[Tech Start Date]],2),""))))</f>
        <v/>
      </c>
      <c r="N228" s="77" t="str">
        <f>IF(Main[[#This Row],[Tech Start Date]]&lt;1/1/1990,"",IF(Main[[#This Row],[Class]]="C",WORKDAY(Main[[#This Row],[Tech Start Date]],19),IF(Main[[#This Row],[Class]]="B", WORKDAY(Main[[#This Row],[Tech Start Date]],12),IF(Main[[#This Row],[Class]]="A",WORKDAY(Main[[#This Row],[Tech Start Date]],4),""))))</f>
        <v/>
      </c>
      <c r="O228" s="77" t="str">
        <f>IF(Main[[#This Row],[Tech Start Date]]&lt;1/1/1990,"",IF(Main[[#This Row],[Class]]="C",WORKDAY(Main[[#This Row],[Tech Start Date]],23),IF(Main[[#This Row],[Class]]="B", WORKDAY(Main[[#This Row],[Tech Start Date]],15),IF(Main[[#This Row],[Class]]="A",WORKDAY(Main[[#This Row],[Tech Start Date]],5),""))))</f>
        <v/>
      </c>
      <c r="P228" s="77" t="str">
        <f>IF(Main[[#This Row],[Tech Start Date]]&lt;1/1/1990,"",IF(Main[[#This Row],[Class]]="C",WORKDAY(Main[[#This Row],[Tech Start Date]],28),IF(Main[[#This Row],[Class]]="B", WORKDAY(Main[[#This Row],[Tech Start Date]],19),IF(Main[[#This Row],[Class]]="A",WORKDAY(Main[[#This Row],[Tech Start Date]],9),""))))</f>
        <v/>
      </c>
      <c r="Q228" s="74"/>
      <c r="R228" s="74"/>
      <c r="S228" s="72" t="s">
        <v>6</v>
      </c>
      <c r="T228" s="80" t="s">
        <v>4</v>
      </c>
      <c r="U228" s="72" t="s">
        <v>29</v>
      </c>
      <c r="V228" s="72" t="s">
        <v>1937</v>
      </c>
      <c r="W228" s="72" t="s">
        <v>1945</v>
      </c>
      <c r="X228" s="72" t="s">
        <v>2079</v>
      </c>
      <c r="Y228" s="72" t="s">
        <v>3130</v>
      </c>
      <c r="Z228" s="72" t="s">
        <v>129</v>
      </c>
    </row>
    <row r="229" spans="1:26" ht="18.600000000000001" customHeight="1">
      <c r="A229" s="142" t="str">
        <f>IF(priority(Main[[#This Row],[Comments]])&lt;&gt;0, priority(Main[[#This Row],[Comments]]),"")</f>
        <v/>
      </c>
      <c r="B229" s="90" t="s">
        <v>2084</v>
      </c>
      <c r="C229" s="72" t="s">
        <v>4</v>
      </c>
      <c r="D229" s="73" t="s">
        <v>2085</v>
      </c>
      <c r="E229" s="74"/>
      <c r="F229" s="74"/>
      <c r="G229" s="75" t="str">
        <f>IF(stdProdLT(Main[[#This Row],[Comments]])=0.1,"N/A",IF(stdProdLT(Main[[#This Row],[Comments]])=0,"",stdProdLT(Main[[#This Row],[Comments]])))</f>
        <v/>
      </c>
      <c r="H229" s="76" t="str">
        <f>IF(AND(Main[[#This Row],[In Stock Date]]&lt;&gt;"",Main[[#This Row],[Revised Due Date]]&lt;&gt;""),Main[[#This Row],[In Stock Date]]-Main[[#This Row],[Revised Due Date]],"")</f>
        <v/>
      </c>
      <c r="I229" s="72" t="s">
        <v>435</v>
      </c>
      <c r="J229" s="72" t="s">
        <v>70</v>
      </c>
      <c r="K229" s="72" t="s">
        <v>1946</v>
      </c>
      <c r="L229" s="74"/>
      <c r="M229" s="77" t="str">
        <f>IF(Main[[#This Row],[Tech Start Date]]&lt;1/1/1990,"",IF(Main[[#This Row],[Class]]="C",WORKDAY(Main[[#This Row],[Tech Start Date]],9),IF(Main[[#This Row],[Class]]="B", WORKDAY(Main[[#This Row],[Tech Start Date]],6),IF(Main[[#This Row],[Class]]="A",WORKDAY(Main[[#This Row],[Tech Start Date]],2),""))))</f>
        <v/>
      </c>
      <c r="N229" s="77" t="str">
        <f>IF(Main[[#This Row],[Tech Start Date]]&lt;1/1/1990,"",IF(Main[[#This Row],[Class]]="C",WORKDAY(Main[[#This Row],[Tech Start Date]],19),IF(Main[[#This Row],[Class]]="B", WORKDAY(Main[[#This Row],[Tech Start Date]],12),IF(Main[[#This Row],[Class]]="A",WORKDAY(Main[[#This Row],[Tech Start Date]],4),""))))</f>
        <v/>
      </c>
      <c r="O229" s="77" t="str">
        <f>IF(Main[[#This Row],[Tech Start Date]]&lt;1/1/1990,"",IF(Main[[#This Row],[Class]]="C",WORKDAY(Main[[#This Row],[Tech Start Date]],23),IF(Main[[#This Row],[Class]]="B", WORKDAY(Main[[#This Row],[Tech Start Date]],15),IF(Main[[#This Row],[Class]]="A",WORKDAY(Main[[#This Row],[Tech Start Date]],5),""))))</f>
        <v/>
      </c>
      <c r="P229" s="77" t="str">
        <f>IF(Main[[#This Row],[Tech Start Date]]&lt;1/1/1990,"",IF(Main[[#This Row],[Class]]="C",WORKDAY(Main[[#This Row],[Tech Start Date]],28),IF(Main[[#This Row],[Class]]="B", WORKDAY(Main[[#This Row],[Tech Start Date]],19),IF(Main[[#This Row],[Class]]="A",WORKDAY(Main[[#This Row],[Tech Start Date]],9),""))))</f>
        <v/>
      </c>
      <c r="Q229" s="74">
        <v>40786</v>
      </c>
      <c r="R229" s="74"/>
      <c r="S229" s="72" t="s">
        <v>6</v>
      </c>
      <c r="T229" s="80" t="s">
        <v>4</v>
      </c>
      <c r="U229" s="72" t="s">
        <v>14</v>
      </c>
      <c r="V229" s="72" t="s">
        <v>1940</v>
      </c>
      <c r="W229" s="72" t="s">
        <v>1941</v>
      </c>
      <c r="X229" s="72" t="s">
        <v>30</v>
      </c>
      <c r="Y229" s="72" t="s">
        <v>3131</v>
      </c>
      <c r="Z229" s="72" t="s">
        <v>44</v>
      </c>
    </row>
    <row r="230" spans="1:26" ht="18.600000000000001" customHeight="1">
      <c r="A230" s="142" t="str">
        <f>IF(priority(Main[[#This Row],[Comments]])&lt;&gt;0, priority(Main[[#This Row],[Comments]]),"")</f>
        <v/>
      </c>
      <c r="B230" s="90" t="s">
        <v>1465</v>
      </c>
      <c r="C230" s="72" t="s">
        <v>4</v>
      </c>
      <c r="D230" s="73" t="s">
        <v>2332</v>
      </c>
      <c r="E230" s="74"/>
      <c r="F230" s="74"/>
      <c r="G230" s="75" t="str">
        <f>IF(stdProdLT(Main[[#This Row],[Comments]])=0.1,"N/A",IF(stdProdLT(Main[[#This Row],[Comments]])=0,"",stdProdLT(Main[[#This Row],[Comments]])))</f>
        <v/>
      </c>
      <c r="H230" s="76" t="str">
        <f>IF(AND(Main[[#This Row],[In Stock Date]]&lt;&gt;"",Main[[#This Row],[Revised Due Date]]&lt;&gt;""),Main[[#This Row],[In Stock Date]]-Main[[#This Row],[Revised Due Date]],"")</f>
        <v/>
      </c>
      <c r="I230" s="72" t="s">
        <v>30</v>
      </c>
      <c r="J230" s="72" t="s">
        <v>28</v>
      </c>
      <c r="K230" s="72" t="s">
        <v>1946</v>
      </c>
      <c r="L230" s="74"/>
      <c r="M230" s="77" t="str">
        <f>IF(Main[[#This Row],[Tech Start Date]]&lt;1/1/1990,"",IF(Main[[#This Row],[Class]]="C",WORKDAY(Main[[#This Row],[Tech Start Date]],9),IF(Main[[#This Row],[Class]]="B", WORKDAY(Main[[#This Row],[Tech Start Date]],6),IF(Main[[#This Row],[Class]]="A",WORKDAY(Main[[#This Row],[Tech Start Date]],2),""))))</f>
        <v/>
      </c>
      <c r="N230" s="77" t="str">
        <f>IF(Main[[#This Row],[Tech Start Date]]&lt;1/1/1990,"",IF(Main[[#This Row],[Class]]="C",WORKDAY(Main[[#This Row],[Tech Start Date]],19),IF(Main[[#This Row],[Class]]="B", WORKDAY(Main[[#This Row],[Tech Start Date]],12),IF(Main[[#This Row],[Class]]="A",WORKDAY(Main[[#This Row],[Tech Start Date]],4),""))))</f>
        <v/>
      </c>
      <c r="O230" s="77" t="str">
        <f>IF(Main[[#This Row],[Tech Start Date]]&lt;1/1/1990,"",IF(Main[[#This Row],[Class]]="C",WORKDAY(Main[[#This Row],[Tech Start Date]],23),IF(Main[[#This Row],[Class]]="B", WORKDAY(Main[[#This Row],[Tech Start Date]],15),IF(Main[[#This Row],[Class]]="A",WORKDAY(Main[[#This Row],[Tech Start Date]],5),""))))</f>
        <v/>
      </c>
      <c r="P230" s="77" t="str">
        <f>IF(Main[[#This Row],[Tech Start Date]]&lt;1/1/1990,"",IF(Main[[#This Row],[Class]]="C",WORKDAY(Main[[#This Row],[Tech Start Date]],28),IF(Main[[#This Row],[Class]]="B", WORKDAY(Main[[#This Row],[Tech Start Date]],19),IF(Main[[#This Row],[Class]]="A",WORKDAY(Main[[#This Row],[Tech Start Date]],9),""))))</f>
        <v/>
      </c>
      <c r="Q230" s="74">
        <v>40606</v>
      </c>
      <c r="R230" s="74"/>
      <c r="S230" s="72" t="s">
        <v>6</v>
      </c>
      <c r="T230" s="80" t="s">
        <v>4</v>
      </c>
      <c r="U230" s="72" t="s">
        <v>14</v>
      </c>
      <c r="V230" s="72" t="s">
        <v>1940</v>
      </c>
      <c r="W230" s="72" t="s">
        <v>1941</v>
      </c>
      <c r="X230" s="72" t="s">
        <v>2988</v>
      </c>
      <c r="Y230" s="72" t="s">
        <v>3123</v>
      </c>
      <c r="Z230" s="72" t="s">
        <v>30</v>
      </c>
    </row>
    <row r="231" spans="1:26" ht="18.600000000000001" customHeight="1">
      <c r="A231" s="142" t="str">
        <f>IF(priority(Main[[#This Row],[Comments]])&lt;&gt;0, priority(Main[[#This Row],[Comments]]),"")</f>
        <v/>
      </c>
      <c r="B231" s="90" t="s">
        <v>1095</v>
      </c>
      <c r="C231" s="72" t="s">
        <v>67</v>
      </c>
      <c r="D231" s="73" t="s">
        <v>121</v>
      </c>
      <c r="E231" s="74">
        <v>40707.647118055553</v>
      </c>
      <c r="F231" s="74"/>
      <c r="G231" s="75" t="str">
        <f>IF(stdProdLT(Main[[#This Row],[Comments]])=0.1,"N/A",IF(stdProdLT(Main[[#This Row],[Comments]])=0,"",stdProdLT(Main[[#This Row],[Comments]])))</f>
        <v/>
      </c>
      <c r="H231" s="76" t="str">
        <f>IF(AND(Main[[#This Row],[In Stock Date]]&lt;&gt;"",Main[[#This Row],[Revised Due Date]]&lt;&gt;""),Main[[#This Row],[In Stock Date]]-Main[[#This Row],[Revised Due Date]],"")</f>
        <v/>
      </c>
      <c r="I231" s="72" t="s">
        <v>4</v>
      </c>
      <c r="J231" s="72" t="s">
        <v>4</v>
      </c>
      <c r="K231" s="72" t="s">
        <v>4</v>
      </c>
      <c r="L231" s="74"/>
      <c r="M231" s="77" t="str">
        <f>IF(Main[[#This Row],[Tech Start Date]]&lt;1/1/1990,"",IF(Main[[#This Row],[Class]]="C",WORKDAY(Main[[#This Row],[Tech Start Date]],9),IF(Main[[#This Row],[Class]]="B", WORKDAY(Main[[#This Row],[Tech Start Date]],6),IF(Main[[#This Row],[Class]]="A",WORKDAY(Main[[#This Row],[Tech Start Date]],2),""))))</f>
        <v/>
      </c>
      <c r="N231" s="77" t="str">
        <f>IF(Main[[#This Row],[Tech Start Date]]&lt;1/1/1990,"",IF(Main[[#This Row],[Class]]="C",WORKDAY(Main[[#This Row],[Tech Start Date]],19),IF(Main[[#This Row],[Class]]="B", WORKDAY(Main[[#This Row],[Tech Start Date]],12),IF(Main[[#This Row],[Class]]="A",WORKDAY(Main[[#This Row],[Tech Start Date]],4),""))))</f>
        <v/>
      </c>
      <c r="O231" s="77" t="str">
        <f>IF(Main[[#This Row],[Tech Start Date]]&lt;1/1/1990,"",IF(Main[[#This Row],[Class]]="C",WORKDAY(Main[[#This Row],[Tech Start Date]],23),IF(Main[[#This Row],[Class]]="B", WORKDAY(Main[[#This Row],[Tech Start Date]],15),IF(Main[[#This Row],[Class]]="A",WORKDAY(Main[[#This Row],[Tech Start Date]],5),""))))</f>
        <v/>
      </c>
      <c r="P231" s="77" t="str">
        <f>IF(Main[[#This Row],[Tech Start Date]]&lt;1/1/1990,"",IF(Main[[#This Row],[Class]]="C",WORKDAY(Main[[#This Row],[Tech Start Date]],28),IF(Main[[#This Row],[Class]]="B", WORKDAY(Main[[#This Row],[Tech Start Date]],19),IF(Main[[#This Row],[Class]]="A",WORKDAY(Main[[#This Row],[Tech Start Date]],9),""))))</f>
        <v/>
      </c>
      <c r="Q231" s="74">
        <v>40755</v>
      </c>
      <c r="R231" s="74"/>
      <c r="S231" s="72" t="s">
        <v>17</v>
      </c>
      <c r="T231" s="80" t="s">
        <v>4</v>
      </c>
      <c r="U231" s="72" t="s">
        <v>7</v>
      </c>
      <c r="V231" s="72" t="s">
        <v>1940</v>
      </c>
      <c r="W231" s="72" t="s">
        <v>1942</v>
      </c>
      <c r="X231" s="72" t="s">
        <v>560</v>
      </c>
      <c r="Y231" s="72" t="s">
        <v>3110</v>
      </c>
      <c r="Z231" s="72" t="s">
        <v>4</v>
      </c>
    </row>
    <row r="232" spans="1:26" ht="18.600000000000001" customHeight="1">
      <c r="A232" s="142" t="str">
        <f>IF(priority(Main[[#This Row],[Comments]])&lt;&gt;0, priority(Main[[#This Row],[Comments]]),"")</f>
        <v/>
      </c>
      <c r="B232" s="90" t="s">
        <v>1093</v>
      </c>
      <c r="C232" s="72" t="s">
        <v>4</v>
      </c>
      <c r="D232" s="73" t="s">
        <v>120</v>
      </c>
      <c r="E232" s="74"/>
      <c r="F232" s="74"/>
      <c r="G232" s="75" t="str">
        <f>IF(stdProdLT(Main[[#This Row],[Comments]])=0.1,"N/A",IF(stdProdLT(Main[[#This Row],[Comments]])=0,"",stdProdLT(Main[[#This Row],[Comments]])))</f>
        <v/>
      </c>
      <c r="H232" s="76" t="str">
        <f>IF(AND(Main[[#This Row],[In Stock Date]]&lt;&gt;"",Main[[#This Row],[Revised Due Date]]&lt;&gt;""),Main[[#This Row],[In Stock Date]]-Main[[#This Row],[Revised Due Date]],"")</f>
        <v/>
      </c>
      <c r="I232" s="72" t="s">
        <v>4</v>
      </c>
      <c r="J232" s="72" t="s">
        <v>4</v>
      </c>
      <c r="K232" s="72" t="s">
        <v>4</v>
      </c>
      <c r="L232" s="74"/>
      <c r="M232" s="77" t="str">
        <f>IF(Main[[#This Row],[Tech Start Date]]&lt;1/1/1990,"",IF(Main[[#This Row],[Class]]="C",WORKDAY(Main[[#This Row],[Tech Start Date]],9),IF(Main[[#This Row],[Class]]="B", WORKDAY(Main[[#This Row],[Tech Start Date]],6),IF(Main[[#This Row],[Class]]="A",WORKDAY(Main[[#This Row],[Tech Start Date]],2),""))))</f>
        <v/>
      </c>
      <c r="N232" s="77" t="str">
        <f>IF(Main[[#This Row],[Tech Start Date]]&lt;1/1/1990,"",IF(Main[[#This Row],[Class]]="C",WORKDAY(Main[[#This Row],[Tech Start Date]],19),IF(Main[[#This Row],[Class]]="B", WORKDAY(Main[[#This Row],[Tech Start Date]],12),IF(Main[[#This Row],[Class]]="A",WORKDAY(Main[[#This Row],[Tech Start Date]],4),""))))</f>
        <v/>
      </c>
      <c r="O232" s="77" t="str">
        <f>IF(Main[[#This Row],[Tech Start Date]]&lt;1/1/1990,"",IF(Main[[#This Row],[Class]]="C",WORKDAY(Main[[#This Row],[Tech Start Date]],23),IF(Main[[#This Row],[Class]]="B", WORKDAY(Main[[#This Row],[Tech Start Date]],15),IF(Main[[#This Row],[Class]]="A",WORKDAY(Main[[#This Row],[Tech Start Date]],5),""))))</f>
        <v/>
      </c>
      <c r="P232" s="77" t="str">
        <f>IF(Main[[#This Row],[Tech Start Date]]&lt;1/1/1990,"",IF(Main[[#This Row],[Class]]="C",WORKDAY(Main[[#This Row],[Tech Start Date]],28),IF(Main[[#This Row],[Class]]="B", WORKDAY(Main[[#This Row],[Tech Start Date]],19),IF(Main[[#This Row],[Class]]="A",WORKDAY(Main[[#This Row],[Tech Start Date]],9),""))))</f>
        <v/>
      </c>
      <c r="Q232" s="74"/>
      <c r="R232" s="74"/>
      <c r="S232" s="72" t="s">
        <v>11</v>
      </c>
      <c r="T232" s="80" t="s">
        <v>4</v>
      </c>
      <c r="U232" s="72" t="s">
        <v>14</v>
      </c>
      <c r="V232" s="72" t="s">
        <v>1940</v>
      </c>
      <c r="W232" s="72" t="s">
        <v>1951</v>
      </c>
      <c r="X232" s="72" t="s">
        <v>2994</v>
      </c>
      <c r="Y232" s="72" t="s">
        <v>3132</v>
      </c>
      <c r="Z232" s="72" t="s">
        <v>4</v>
      </c>
    </row>
    <row r="233" spans="1:26" ht="18.600000000000001" customHeight="1">
      <c r="A233" s="142" t="str">
        <f>IF(priority(Main[[#This Row],[Comments]])&lt;&gt;0, priority(Main[[#This Row],[Comments]]),"")</f>
        <v/>
      </c>
      <c r="B233" s="90" t="s">
        <v>2614</v>
      </c>
      <c r="C233" s="72" t="s">
        <v>4</v>
      </c>
      <c r="D233" s="73" t="s">
        <v>2615</v>
      </c>
      <c r="E233" s="74"/>
      <c r="F233" s="74"/>
      <c r="G233" s="75" t="str">
        <f>IF(stdProdLT(Main[[#This Row],[Comments]])=0.1,"N/A",IF(stdProdLT(Main[[#This Row],[Comments]])=0,"",stdProdLT(Main[[#This Row],[Comments]])))</f>
        <v/>
      </c>
      <c r="H233" s="76" t="str">
        <f>IF(AND(Main[[#This Row],[In Stock Date]]&lt;&gt;"",Main[[#This Row],[Revised Due Date]]&lt;&gt;""),Main[[#This Row],[In Stock Date]]-Main[[#This Row],[Revised Due Date]],"")</f>
        <v/>
      </c>
      <c r="I233" s="72" t="s">
        <v>30</v>
      </c>
      <c r="J233" s="72" t="s">
        <v>21</v>
      </c>
      <c r="K233" s="72" t="s">
        <v>4</v>
      </c>
      <c r="L233" s="74"/>
      <c r="M233" s="77" t="str">
        <f>IF(Main[[#This Row],[Tech Start Date]]&lt;1/1/1990,"",IF(Main[[#This Row],[Class]]="C",WORKDAY(Main[[#This Row],[Tech Start Date]],9),IF(Main[[#This Row],[Class]]="B", WORKDAY(Main[[#This Row],[Tech Start Date]],6),IF(Main[[#This Row],[Class]]="A",WORKDAY(Main[[#This Row],[Tech Start Date]],2),""))))</f>
        <v/>
      </c>
      <c r="N233" s="77" t="str">
        <f>IF(Main[[#This Row],[Tech Start Date]]&lt;1/1/1990,"",IF(Main[[#This Row],[Class]]="C",WORKDAY(Main[[#This Row],[Tech Start Date]],19),IF(Main[[#This Row],[Class]]="B", WORKDAY(Main[[#This Row],[Tech Start Date]],12),IF(Main[[#This Row],[Class]]="A",WORKDAY(Main[[#This Row],[Tech Start Date]],4),""))))</f>
        <v/>
      </c>
      <c r="O233" s="77" t="str">
        <f>IF(Main[[#This Row],[Tech Start Date]]&lt;1/1/1990,"",IF(Main[[#This Row],[Class]]="C",WORKDAY(Main[[#This Row],[Tech Start Date]],23),IF(Main[[#This Row],[Class]]="B", WORKDAY(Main[[#This Row],[Tech Start Date]],15),IF(Main[[#This Row],[Class]]="A",WORKDAY(Main[[#This Row],[Tech Start Date]],5),""))))</f>
        <v/>
      </c>
      <c r="P233" s="77" t="str">
        <f>IF(Main[[#This Row],[Tech Start Date]]&lt;1/1/1990,"",IF(Main[[#This Row],[Class]]="C",WORKDAY(Main[[#This Row],[Tech Start Date]],28),IF(Main[[#This Row],[Class]]="B", WORKDAY(Main[[#This Row],[Tech Start Date]],19),IF(Main[[#This Row],[Class]]="A",WORKDAY(Main[[#This Row],[Tech Start Date]],9),""))))</f>
        <v/>
      </c>
      <c r="Q233" s="74"/>
      <c r="R233" s="74"/>
      <c r="S233" s="72" t="s">
        <v>6</v>
      </c>
      <c r="T233" s="80" t="s">
        <v>4</v>
      </c>
      <c r="U233" s="72" t="s">
        <v>14</v>
      </c>
      <c r="V233" s="72" t="s">
        <v>1940</v>
      </c>
      <c r="W233" s="72" t="s">
        <v>1939</v>
      </c>
      <c r="X233" s="72" t="s">
        <v>311</v>
      </c>
      <c r="Y233" s="72" t="s">
        <v>4</v>
      </c>
      <c r="Z233" s="72" t="s">
        <v>30</v>
      </c>
    </row>
    <row r="234" spans="1:26" ht="18.600000000000001" customHeight="1">
      <c r="A234" s="142" t="str">
        <f>IF(priority(Main[[#This Row],[Comments]])&lt;&gt;0, priority(Main[[#This Row],[Comments]]),"")</f>
        <v/>
      </c>
      <c r="B234" s="90" t="s">
        <v>1086</v>
      </c>
      <c r="C234" s="72" t="s">
        <v>4</v>
      </c>
      <c r="D234" s="73" t="s">
        <v>111</v>
      </c>
      <c r="E234" s="74"/>
      <c r="F234" s="74"/>
      <c r="G234" s="75" t="str">
        <f>IF(stdProdLT(Main[[#This Row],[Comments]])=0.1,"N/A",IF(stdProdLT(Main[[#This Row],[Comments]])=0,"",stdProdLT(Main[[#This Row],[Comments]])))</f>
        <v/>
      </c>
      <c r="H234" s="76" t="str">
        <f>IF(AND(Main[[#This Row],[In Stock Date]]&lt;&gt;"",Main[[#This Row],[Revised Due Date]]&lt;&gt;""),Main[[#This Row],[In Stock Date]]-Main[[#This Row],[Revised Due Date]],"")</f>
        <v/>
      </c>
      <c r="I234" s="72" t="s">
        <v>311</v>
      </c>
      <c r="J234" s="72" t="s">
        <v>75</v>
      </c>
      <c r="K234" s="72" t="s">
        <v>1946</v>
      </c>
      <c r="L234" s="74"/>
      <c r="M234" s="77" t="str">
        <f>IF(Main[[#This Row],[Tech Start Date]]&lt;1/1/1990,"",IF(Main[[#This Row],[Class]]="C",WORKDAY(Main[[#This Row],[Tech Start Date]],9),IF(Main[[#This Row],[Class]]="B", WORKDAY(Main[[#This Row],[Tech Start Date]],6),IF(Main[[#This Row],[Class]]="A",WORKDAY(Main[[#This Row],[Tech Start Date]],2),""))))</f>
        <v/>
      </c>
      <c r="N234" s="77" t="str">
        <f>IF(Main[[#This Row],[Tech Start Date]]&lt;1/1/1990,"",IF(Main[[#This Row],[Class]]="C",WORKDAY(Main[[#This Row],[Tech Start Date]],19),IF(Main[[#This Row],[Class]]="B", WORKDAY(Main[[#This Row],[Tech Start Date]],12),IF(Main[[#This Row],[Class]]="A",WORKDAY(Main[[#This Row],[Tech Start Date]],4),""))))</f>
        <v/>
      </c>
      <c r="O234" s="77" t="str">
        <f>IF(Main[[#This Row],[Tech Start Date]]&lt;1/1/1990,"",IF(Main[[#This Row],[Class]]="C",WORKDAY(Main[[#This Row],[Tech Start Date]],23),IF(Main[[#This Row],[Class]]="B", WORKDAY(Main[[#This Row],[Tech Start Date]],15),IF(Main[[#This Row],[Class]]="A",WORKDAY(Main[[#This Row],[Tech Start Date]],5),""))))</f>
        <v/>
      </c>
      <c r="P234" s="77" t="str">
        <f>IF(Main[[#This Row],[Tech Start Date]]&lt;1/1/1990,"",IF(Main[[#This Row],[Class]]="C",WORKDAY(Main[[#This Row],[Tech Start Date]],28),IF(Main[[#This Row],[Class]]="B", WORKDAY(Main[[#This Row],[Tech Start Date]],19),IF(Main[[#This Row],[Class]]="A",WORKDAY(Main[[#This Row],[Tech Start Date]],9),""))))</f>
        <v/>
      </c>
      <c r="Q234" s="74">
        <v>40336</v>
      </c>
      <c r="R234" s="74"/>
      <c r="S234" s="72" t="s">
        <v>6</v>
      </c>
      <c r="T234" s="80" t="s">
        <v>4</v>
      </c>
      <c r="U234" s="72" t="s">
        <v>14</v>
      </c>
      <c r="V234" s="72" t="s">
        <v>1940</v>
      </c>
      <c r="W234" s="72" t="s">
        <v>1939</v>
      </c>
      <c r="X234" s="72" t="s">
        <v>897</v>
      </c>
      <c r="Y234" s="72" t="s">
        <v>3121</v>
      </c>
      <c r="Z234" s="72" t="s">
        <v>30</v>
      </c>
    </row>
    <row r="235" spans="1:26" ht="18.600000000000001" customHeight="1">
      <c r="A235" s="142" t="str">
        <f>IF(priority(Main[[#This Row],[Comments]])&lt;&gt;0, priority(Main[[#This Row],[Comments]]),"")</f>
        <v/>
      </c>
      <c r="B235" s="90" t="s">
        <v>2187</v>
      </c>
      <c r="C235" s="72" t="s">
        <v>2188</v>
      </c>
      <c r="D235" s="73" t="s">
        <v>2189</v>
      </c>
      <c r="E235" s="74"/>
      <c r="F235" s="74">
        <v>40920</v>
      </c>
      <c r="G235" s="75" t="str">
        <f>IF(stdProdLT(Main[[#This Row],[Comments]])=0.1,"N/A",IF(stdProdLT(Main[[#This Row],[Comments]])=0,"",stdProdLT(Main[[#This Row],[Comments]])))</f>
        <v/>
      </c>
      <c r="H235" s="76" t="str">
        <f>IF(AND(Main[[#This Row],[In Stock Date]]&lt;&gt;"",Main[[#This Row],[Revised Due Date]]&lt;&gt;""),Main[[#This Row],[In Stock Date]]-Main[[#This Row],[Revised Due Date]],"")</f>
        <v/>
      </c>
      <c r="I235" s="72" t="s">
        <v>4</v>
      </c>
      <c r="J235" s="72" t="s">
        <v>28</v>
      </c>
      <c r="K235" s="72" t="s">
        <v>1946</v>
      </c>
      <c r="L235" s="74"/>
      <c r="M235" s="77" t="str">
        <f>IF(Main[[#This Row],[Tech Start Date]]&lt;1/1/1990,"",IF(Main[[#This Row],[Class]]="C",WORKDAY(Main[[#This Row],[Tech Start Date]],9),IF(Main[[#This Row],[Class]]="B", WORKDAY(Main[[#This Row],[Tech Start Date]],6),IF(Main[[#This Row],[Class]]="A",WORKDAY(Main[[#This Row],[Tech Start Date]],2),""))))</f>
        <v/>
      </c>
      <c r="N235" s="77" t="str">
        <f>IF(Main[[#This Row],[Tech Start Date]]&lt;1/1/1990,"",IF(Main[[#This Row],[Class]]="C",WORKDAY(Main[[#This Row],[Tech Start Date]],19),IF(Main[[#This Row],[Class]]="B", WORKDAY(Main[[#This Row],[Tech Start Date]],12),IF(Main[[#This Row],[Class]]="A",WORKDAY(Main[[#This Row],[Tech Start Date]],4),""))))</f>
        <v/>
      </c>
      <c r="O235" s="77" t="str">
        <f>IF(Main[[#This Row],[Tech Start Date]]&lt;1/1/1990,"",IF(Main[[#This Row],[Class]]="C",WORKDAY(Main[[#This Row],[Tech Start Date]],23),IF(Main[[#This Row],[Class]]="B", WORKDAY(Main[[#This Row],[Tech Start Date]],15),IF(Main[[#This Row],[Class]]="A",WORKDAY(Main[[#This Row],[Tech Start Date]],5),""))))</f>
        <v/>
      </c>
      <c r="P235" s="77" t="str">
        <f>IF(Main[[#This Row],[Tech Start Date]]&lt;1/1/1990,"",IF(Main[[#This Row],[Class]]="C",WORKDAY(Main[[#This Row],[Tech Start Date]],28),IF(Main[[#This Row],[Class]]="B", WORKDAY(Main[[#This Row],[Tech Start Date]],19),IF(Main[[#This Row],[Class]]="A",WORKDAY(Main[[#This Row],[Tech Start Date]],9),""))))</f>
        <v/>
      </c>
      <c r="Q235" s="74"/>
      <c r="R235" s="74"/>
      <c r="S235" s="72" t="s">
        <v>11</v>
      </c>
      <c r="T235" s="80" t="s">
        <v>4</v>
      </c>
      <c r="U235" s="72" t="s">
        <v>14</v>
      </c>
      <c r="V235" s="72" t="s">
        <v>1940</v>
      </c>
      <c r="W235" s="72" t="s">
        <v>1945</v>
      </c>
      <c r="X235" s="72" t="s">
        <v>50</v>
      </c>
      <c r="Y235" s="72" t="s">
        <v>3122</v>
      </c>
      <c r="Z235" s="72" t="s">
        <v>536</v>
      </c>
    </row>
    <row r="236" spans="1:26" ht="18.600000000000001" customHeight="1">
      <c r="A236" s="142" t="str">
        <f>IF(priority(Main[[#This Row],[Comments]])&lt;&gt;0, priority(Main[[#This Row],[Comments]]),"")</f>
        <v/>
      </c>
      <c r="B236" s="90" t="s">
        <v>1087</v>
      </c>
      <c r="C236" s="72" t="s">
        <v>4</v>
      </c>
      <c r="D236" s="73" t="s">
        <v>112</v>
      </c>
      <c r="E236" s="74"/>
      <c r="F236" s="74"/>
      <c r="G236" s="75" t="str">
        <f>IF(stdProdLT(Main[[#This Row],[Comments]])=0.1,"N/A",IF(stdProdLT(Main[[#This Row],[Comments]])=0,"",stdProdLT(Main[[#This Row],[Comments]])))</f>
        <v/>
      </c>
      <c r="H236" s="76" t="str">
        <f>IF(AND(Main[[#This Row],[In Stock Date]]&lt;&gt;"",Main[[#This Row],[Revised Due Date]]&lt;&gt;""),Main[[#This Row],[In Stock Date]]-Main[[#This Row],[Revised Due Date]],"")</f>
        <v/>
      </c>
      <c r="I236" s="72" t="s">
        <v>4</v>
      </c>
      <c r="J236" s="72" t="s">
        <v>4</v>
      </c>
      <c r="K236" s="81" t="s">
        <v>4</v>
      </c>
      <c r="L236" s="74"/>
      <c r="M236" s="77" t="str">
        <f>IF(Main[[#This Row],[Tech Start Date]]&lt;1/1/1990,"",IF(Main[[#This Row],[Class]]="C",WORKDAY(Main[[#This Row],[Tech Start Date]],9),IF(Main[[#This Row],[Class]]="B", WORKDAY(Main[[#This Row],[Tech Start Date]],6),IF(Main[[#This Row],[Class]]="A",WORKDAY(Main[[#This Row],[Tech Start Date]],2),""))))</f>
        <v/>
      </c>
      <c r="N236" s="77" t="str">
        <f>IF(Main[[#This Row],[Tech Start Date]]&lt;1/1/1990,"",IF(Main[[#This Row],[Class]]="C",WORKDAY(Main[[#This Row],[Tech Start Date]],19),IF(Main[[#This Row],[Class]]="B", WORKDAY(Main[[#This Row],[Tech Start Date]],12),IF(Main[[#This Row],[Class]]="A",WORKDAY(Main[[#This Row],[Tech Start Date]],4),""))))</f>
        <v/>
      </c>
      <c r="O236" s="77" t="str">
        <f>IF(Main[[#This Row],[Tech Start Date]]&lt;1/1/1990,"",IF(Main[[#This Row],[Class]]="C",WORKDAY(Main[[#This Row],[Tech Start Date]],23),IF(Main[[#This Row],[Class]]="B", WORKDAY(Main[[#This Row],[Tech Start Date]],15),IF(Main[[#This Row],[Class]]="A",WORKDAY(Main[[#This Row],[Tech Start Date]],5),""))))</f>
        <v/>
      </c>
      <c r="P236" s="77" t="str">
        <f>IF(Main[[#This Row],[Tech Start Date]]&lt;1/1/1990,"",IF(Main[[#This Row],[Class]]="C",WORKDAY(Main[[#This Row],[Tech Start Date]],28),IF(Main[[#This Row],[Class]]="B", WORKDAY(Main[[#This Row],[Tech Start Date]],19),IF(Main[[#This Row],[Class]]="A",WORKDAY(Main[[#This Row],[Tech Start Date]],9),""))))</f>
        <v/>
      </c>
      <c r="Q236" s="74"/>
      <c r="R236" s="74"/>
      <c r="S236" s="72" t="s">
        <v>23</v>
      </c>
      <c r="T236" s="80" t="s">
        <v>4</v>
      </c>
      <c r="U236" s="72" t="s">
        <v>14</v>
      </c>
      <c r="V236" s="72" t="s">
        <v>1937</v>
      </c>
      <c r="W236" s="72" t="s">
        <v>1945</v>
      </c>
      <c r="X236" s="72" t="s">
        <v>311</v>
      </c>
      <c r="Y236" s="72" t="s">
        <v>4</v>
      </c>
      <c r="Z236" s="72" t="s">
        <v>4</v>
      </c>
    </row>
    <row r="237" spans="1:26" ht="18.600000000000001" customHeight="1">
      <c r="A237" s="142" t="str">
        <f>IF(priority(Main[[#This Row],[Comments]])&lt;&gt;0, priority(Main[[#This Row],[Comments]]),"")</f>
        <v/>
      </c>
      <c r="B237" s="90" t="s">
        <v>1088</v>
      </c>
      <c r="C237" s="72" t="s">
        <v>113</v>
      </c>
      <c r="D237" s="73" t="s">
        <v>114</v>
      </c>
      <c r="E237" s="74"/>
      <c r="F237" s="74"/>
      <c r="G237" s="75" t="str">
        <f>IF(stdProdLT(Main[[#This Row],[Comments]])=0.1,"N/A",IF(stdProdLT(Main[[#This Row],[Comments]])=0,"",stdProdLT(Main[[#This Row],[Comments]])))</f>
        <v/>
      </c>
      <c r="H237" s="76" t="str">
        <f>IF(AND(Main[[#This Row],[In Stock Date]]&lt;&gt;"",Main[[#This Row],[Revised Due Date]]&lt;&gt;""),Main[[#This Row],[In Stock Date]]-Main[[#This Row],[Revised Due Date]],"")</f>
        <v/>
      </c>
      <c r="I237" s="72" t="s">
        <v>4</v>
      </c>
      <c r="J237" s="72" t="s">
        <v>28</v>
      </c>
      <c r="K237" s="72" t="s">
        <v>4</v>
      </c>
      <c r="L237" s="74"/>
      <c r="M237" s="77" t="str">
        <f>IF(Main[[#This Row],[Tech Start Date]]&lt;1/1/1990,"",IF(Main[[#This Row],[Class]]="C",WORKDAY(Main[[#This Row],[Tech Start Date]],9),IF(Main[[#This Row],[Class]]="B", WORKDAY(Main[[#This Row],[Tech Start Date]],6),IF(Main[[#This Row],[Class]]="A",WORKDAY(Main[[#This Row],[Tech Start Date]],2),""))))</f>
        <v/>
      </c>
      <c r="N237" s="77" t="str">
        <f>IF(Main[[#This Row],[Tech Start Date]]&lt;1/1/1990,"",IF(Main[[#This Row],[Class]]="C",WORKDAY(Main[[#This Row],[Tech Start Date]],19),IF(Main[[#This Row],[Class]]="B", WORKDAY(Main[[#This Row],[Tech Start Date]],12),IF(Main[[#This Row],[Class]]="A",WORKDAY(Main[[#This Row],[Tech Start Date]],4),""))))</f>
        <v/>
      </c>
      <c r="O237" s="77" t="str">
        <f>IF(Main[[#This Row],[Tech Start Date]]&lt;1/1/1990,"",IF(Main[[#This Row],[Class]]="C",WORKDAY(Main[[#This Row],[Tech Start Date]],23),IF(Main[[#This Row],[Class]]="B", WORKDAY(Main[[#This Row],[Tech Start Date]],15),IF(Main[[#This Row],[Class]]="A",WORKDAY(Main[[#This Row],[Tech Start Date]],5),""))))</f>
        <v/>
      </c>
      <c r="P237" s="77" t="str">
        <f>IF(Main[[#This Row],[Tech Start Date]]&lt;1/1/1990,"",IF(Main[[#This Row],[Class]]="C",WORKDAY(Main[[#This Row],[Tech Start Date]],28),IF(Main[[#This Row],[Class]]="B", WORKDAY(Main[[#This Row],[Tech Start Date]],19),IF(Main[[#This Row],[Class]]="A",WORKDAY(Main[[#This Row],[Tech Start Date]],9),""))))</f>
        <v/>
      </c>
      <c r="Q237" s="74">
        <v>40634</v>
      </c>
      <c r="R237" s="74"/>
      <c r="S237" s="72" t="s">
        <v>11</v>
      </c>
      <c r="T237" s="80" t="s">
        <v>4</v>
      </c>
      <c r="U237" s="72" t="s">
        <v>12</v>
      </c>
      <c r="V237" s="72" t="s">
        <v>1937</v>
      </c>
      <c r="W237" s="72" t="s">
        <v>1939</v>
      </c>
      <c r="X237" s="72" t="s">
        <v>2985</v>
      </c>
      <c r="Y237" s="72" t="s">
        <v>3097</v>
      </c>
      <c r="Z237" s="72" t="s">
        <v>129</v>
      </c>
    </row>
    <row r="238" spans="1:26" ht="18.600000000000001" customHeight="1">
      <c r="A238" s="142" t="str">
        <f>IF(priority(Main[[#This Row],[Comments]])&lt;&gt;0, priority(Main[[#This Row],[Comments]]),"")</f>
        <v/>
      </c>
      <c r="B238" s="90" t="s">
        <v>1977</v>
      </c>
      <c r="C238" s="72" t="s">
        <v>4</v>
      </c>
      <c r="D238" s="73" t="s">
        <v>2002</v>
      </c>
      <c r="E238" s="74"/>
      <c r="F238" s="74"/>
      <c r="G238" s="75" t="str">
        <f>IF(stdProdLT(Main[[#This Row],[Comments]])=0.1,"N/A",IF(stdProdLT(Main[[#This Row],[Comments]])=0,"",stdProdLT(Main[[#This Row],[Comments]])))</f>
        <v/>
      </c>
      <c r="H238" s="76" t="str">
        <f>IF(AND(Main[[#This Row],[In Stock Date]]&lt;&gt;"",Main[[#This Row],[Revised Due Date]]&lt;&gt;""),Main[[#This Row],[In Stock Date]]-Main[[#This Row],[Revised Due Date]],"")</f>
        <v/>
      </c>
      <c r="I238" s="72" t="s">
        <v>4</v>
      </c>
      <c r="J238" s="72" t="s">
        <v>4</v>
      </c>
      <c r="K238" s="72" t="s">
        <v>4</v>
      </c>
      <c r="L238" s="74"/>
      <c r="M238" s="77" t="str">
        <f>IF(Main[[#This Row],[Tech Start Date]]&lt;1/1/1990,"",IF(Main[[#This Row],[Class]]="C",WORKDAY(Main[[#This Row],[Tech Start Date]],9),IF(Main[[#This Row],[Class]]="B", WORKDAY(Main[[#This Row],[Tech Start Date]],6),IF(Main[[#This Row],[Class]]="A",WORKDAY(Main[[#This Row],[Tech Start Date]],2),""))))</f>
        <v/>
      </c>
      <c r="N238" s="77" t="str">
        <f>IF(Main[[#This Row],[Tech Start Date]]&lt;1/1/1990,"",IF(Main[[#This Row],[Class]]="C",WORKDAY(Main[[#This Row],[Tech Start Date]],19),IF(Main[[#This Row],[Class]]="B", WORKDAY(Main[[#This Row],[Tech Start Date]],12),IF(Main[[#This Row],[Class]]="A",WORKDAY(Main[[#This Row],[Tech Start Date]],4),""))))</f>
        <v/>
      </c>
      <c r="O238" s="77" t="str">
        <f>IF(Main[[#This Row],[Tech Start Date]]&lt;1/1/1990,"",IF(Main[[#This Row],[Class]]="C",WORKDAY(Main[[#This Row],[Tech Start Date]],23),IF(Main[[#This Row],[Class]]="B", WORKDAY(Main[[#This Row],[Tech Start Date]],15),IF(Main[[#This Row],[Class]]="A",WORKDAY(Main[[#This Row],[Tech Start Date]],5),""))))</f>
        <v/>
      </c>
      <c r="P238" s="77" t="str">
        <f>IF(Main[[#This Row],[Tech Start Date]]&lt;1/1/1990,"",IF(Main[[#This Row],[Class]]="C",WORKDAY(Main[[#This Row],[Tech Start Date]],28),IF(Main[[#This Row],[Class]]="B", WORKDAY(Main[[#This Row],[Tech Start Date]],19),IF(Main[[#This Row],[Class]]="A",WORKDAY(Main[[#This Row],[Tech Start Date]],9),""))))</f>
        <v/>
      </c>
      <c r="Q238" s="74">
        <v>40737</v>
      </c>
      <c r="R238" s="74"/>
      <c r="S238" s="72" t="s">
        <v>6</v>
      </c>
      <c r="T238" s="80" t="s">
        <v>4</v>
      </c>
      <c r="U238" s="72" t="s">
        <v>14</v>
      </c>
      <c r="V238" s="72" t="s">
        <v>1940</v>
      </c>
      <c r="W238" s="72" t="s">
        <v>1941</v>
      </c>
      <c r="X238" s="72" t="s">
        <v>2988</v>
      </c>
      <c r="Y238" s="72" t="s">
        <v>3123</v>
      </c>
      <c r="Z238" s="72" t="s">
        <v>4</v>
      </c>
    </row>
    <row r="239" spans="1:26" ht="18.600000000000001" customHeight="1">
      <c r="A239" s="142" t="str">
        <f>IF(priority(Main[[#This Row],[Comments]])&lt;&gt;0, priority(Main[[#This Row],[Comments]]),"")</f>
        <v/>
      </c>
      <c r="B239" s="90" t="s">
        <v>2870</v>
      </c>
      <c r="C239" s="72" t="s">
        <v>4</v>
      </c>
      <c r="D239" s="73" t="s">
        <v>2871</v>
      </c>
      <c r="E239" s="74">
        <v>40905.638495370367</v>
      </c>
      <c r="F239" s="74"/>
      <c r="G239" s="75" t="str">
        <f>IF(stdProdLT(Main[[#This Row],[Comments]])=0.1,"N/A",IF(stdProdLT(Main[[#This Row],[Comments]])=0,"",stdProdLT(Main[[#This Row],[Comments]])))</f>
        <v/>
      </c>
      <c r="H239" s="76" t="str">
        <f>IF(AND(Main[[#This Row],[In Stock Date]]&lt;&gt;"",Main[[#This Row],[Revised Due Date]]&lt;&gt;""),Main[[#This Row],[In Stock Date]]-Main[[#This Row],[Revised Due Date]],"")</f>
        <v/>
      </c>
      <c r="I239" s="72" t="s">
        <v>2071</v>
      </c>
      <c r="J239" s="72" t="s">
        <v>52</v>
      </c>
      <c r="K239" s="72" t="s">
        <v>1946</v>
      </c>
      <c r="L239" s="74"/>
      <c r="M239" s="77" t="str">
        <f>IF(Main[[#This Row],[Tech Start Date]]&lt;1/1/1990,"",IF(Main[[#This Row],[Class]]="C",WORKDAY(Main[[#This Row],[Tech Start Date]],9),IF(Main[[#This Row],[Class]]="B", WORKDAY(Main[[#This Row],[Tech Start Date]],6),IF(Main[[#This Row],[Class]]="A",WORKDAY(Main[[#This Row],[Tech Start Date]],2),""))))</f>
        <v/>
      </c>
      <c r="N239" s="77" t="str">
        <f>IF(Main[[#This Row],[Tech Start Date]]&lt;1/1/1990,"",IF(Main[[#This Row],[Class]]="C",WORKDAY(Main[[#This Row],[Tech Start Date]],19),IF(Main[[#This Row],[Class]]="B", WORKDAY(Main[[#This Row],[Tech Start Date]],12),IF(Main[[#This Row],[Class]]="A",WORKDAY(Main[[#This Row],[Tech Start Date]],4),""))))</f>
        <v/>
      </c>
      <c r="O239" s="77" t="str">
        <f>IF(Main[[#This Row],[Tech Start Date]]&lt;1/1/1990,"",IF(Main[[#This Row],[Class]]="C",WORKDAY(Main[[#This Row],[Tech Start Date]],23),IF(Main[[#This Row],[Class]]="B", WORKDAY(Main[[#This Row],[Tech Start Date]],15),IF(Main[[#This Row],[Class]]="A",WORKDAY(Main[[#This Row],[Tech Start Date]],5),""))))</f>
        <v/>
      </c>
      <c r="P239" s="77" t="str">
        <f>IF(Main[[#This Row],[Tech Start Date]]&lt;1/1/1990,"",IF(Main[[#This Row],[Class]]="C",WORKDAY(Main[[#This Row],[Tech Start Date]],28),IF(Main[[#This Row],[Class]]="B", WORKDAY(Main[[#This Row],[Tech Start Date]],19),IF(Main[[#This Row],[Class]]="A",WORKDAY(Main[[#This Row],[Tech Start Date]],9),""))))</f>
        <v/>
      </c>
      <c r="Q239" s="74">
        <v>41027</v>
      </c>
      <c r="R239" s="74"/>
      <c r="S239" s="72" t="s">
        <v>6</v>
      </c>
      <c r="T239" s="80" t="s">
        <v>4</v>
      </c>
      <c r="U239" s="72" t="s">
        <v>29</v>
      </c>
      <c r="V239" s="72" t="s">
        <v>1940</v>
      </c>
      <c r="W239" s="72" t="s">
        <v>1941</v>
      </c>
      <c r="X239" s="72" t="s">
        <v>30</v>
      </c>
      <c r="Y239" s="72" t="s">
        <v>3098</v>
      </c>
      <c r="Z239" s="72" t="s">
        <v>30</v>
      </c>
    </row>
    <row r="240" spans="1:26" ht="18.600000000000001" customHeight="1">
      <c r="A240" s="142" t="str">
        <f>IF(priority(Main[[#This Row],[Comments]])&lt;&gt;0, priority(Main[[#This Row],[Comments]]),"")</f>
        <v/>
      </c>
      <c r="B240" s="90" t="s">
        <v>1424</v>
      </c>
      <c r="C240" s="72" t="s">
        <v>72</v>
      </c>
      <c r="D240" s="73" t="s">
        <v>1974</v>
      </c>
      <c r="E240" s="74">
        <v>40671.832905092589</v>
      </c>
      <c r="F240" s="74"/>
      <c r="G240" s="75" t="str">
        <f>IF(stdProdLT(Main[[#This Row],[Comments]])=0.1,"N/A",IF(stdProdLT(Main[[#This Row],[Comments]])=0,"",stdProdLT(Main[[#This Row],[Comments]])))</f>
        <v/>
      </c>
      <c r="H240" s="76" t="str">
        <f>IF(AND(Main[[#This Row],[In Stock Date]]&lt;&gt;"",Main[[#This Row],[Revised Due Date]]&lt;&gt;""),Main[[#This Row],[In Stock Date]]-Main[[#This Row],[Revised Due Date]],"")</f>
        <v/>
      </c>
      <c r="I240" s="72" t="s">
        <v>2040</v>
      </c>
      <c r="J240" s="72" t="s">
        <v>28</v>
      </c>
      <c r="K240" s="72" t="s">
        <v>4</v>
      </c>
      <c r="L240" s="74"/>
      <c r="M240" s="77" t="str">
        <f>IF(Main[[#This Row],[Tech Start Date]]&lt;1/1/1990,"",IF(Main[[#This Row],[Class]]="C",WORKDAY(Main[[#This Row],[Tech Start Date]],9),IF(Main[[#This Row],[Class]]="B", WORKDAY(Main[[#This Row],[Tech Start Date]],6),IF(Main[[#This Row],[Class]]="A",WORKDAY(Main[[#This Row],[Tech Start Date]],2),""))))</f>
        <v/>
      </c>
      <c r="N240" s="77" t="str">
        <f>IF(Main[[#This Row],[Tech Start Date]]&lt;1/1/1990,"",IF(Main[[#This Row],[Class]]="C",WORKDAY(Main[[#This Row],[Tech Start Date]],19),IF(Main[[#This Row],[Class]]="B", WORKDAY(Main[[#This Row],[Tech Start Date]],12),IF(Main[[#This Row],[Class]]="A",WORKDAY(Main[[#This Row],[Tech Start Date]],4),""))))</f>
        <v/>
      </c>
      <c r="O240" s="77" t="str">
        <f>IF(Main[[#This Row],[Tech Start Date]]&lt;1/1/1990,"",IF(Main[[#This Row],[Class]]="C",WORKDAY(Main[[#This Row],[Tech Start Date]],23),IF(Main[[#This Row],[Class]]="B", WORKDAY(Main[[#This Row],[Tech Start Date]],15),IF(Main[[#This Row],[Class]]="A",WORKDAY(Main[[#This Row],[Tech Start Date]],5),""))))</f>
        <v/>
      </c>
      <c r="P240" s="77" t="str">
        <f>IF(Main[[#This Row],[Tech Start Date]]&lt;1/1/1990,"",IF(Main[[#This Row],[Class]]="C",WORKDAY(Main[[#This Row],[Tech Start Date]],28),IF(Main[[#This Row],[Class]]="B", WORKDAY(Main[[#This Row],[Tech Start Date]],19),IF(Main[[#This Row],[Class]]="A",WORKDAY(Main[[#This Row],[Tech Start Date]],9),""))))</f>
        <v/>
      </c>
      <c r="Q240" s="74"/>
      <c r="R240" s="74">
        <v>40786</v>
      </c>
      <c r="S240" s="72" t="s">
        <v>11</v>
      </c>
      <c r="T240" s="80" t="s">
        <v>2367</v>
      </c>
      <c r="U240" s="72" t="s">
        <v>7</v>
      </c>
      <c r="V240" s="72" t="s">
        <v>1952</v>
      </c>
      <c r="W240" s="72" t="s">
        <v>1941</v>
      </c>
      <c r="X240" s="72" t="s">
        <v>2999</v>
      </c>
      <c r="Y240" s="72" t="s">
        <v>3136</v>
      </c>
      <c r="Z240" s="72" t="s">
        <v>2242</v>
      </c>
    </row>
    <row r="241" spans="1:26" ht="18.600000000000001" customHeight="1">
      <c r="A241" s="142" t="str">
        <f>IF(priority(Main[[#This Row],[Comments]])&lt;&gt;0, priority(Main[[#This Row],[Comments]]),"")</f>
        <v/>
      </c>
      <c r="B241" s="90" t="s">
        <v>2760</v>
      </c>
      <c r="C241" s="72" t="s">
        <v>42</v>
      </c>
      <c r="D241" s="73" t="s">
        <v>2761</v>
      </c>
      <c r="E241" s="74">
        <v>40897.730937499997</v>
      </c>
      <c r="F241" s="74"/>
      <c r="G241" s="75" t="str">
        <f>IF(stdProdLT(Main[[#This Row],[Comments]])=0.1,"N/A",IF(stdProdLT(Main[[#This Row],[Comments]])=0,"",stdProdLT(Main[[#This Row],[Comments]])))</f>
        <v/>
      </c>
      <c r="H241" s="76" t="str">
        <f>IF(AND(Main[[#This Row],[In Stock Date]]&lt;&gt;"",Main[[#This Row],[Revised Due Date]]&lt;&gt;""),Main[[#This Row],[In Stock Date]]-Main[[#This Row],[Revised Due Date]],"")</f>
        <v/>
      </c>
      <c r="I241" s="72" t="s">
        <v>242</v>
      </c>
      <c r="J241" s="72" t="s">
        <v>21</v>
      </c>
      <c r="K241" s="72" t="s">
        <v>1946</v>
      </c>
      <c r="L241" s="74"/>
      <c r="M241" s="77" t="str">
        <f>IF(Main[[#This Row],[Tech Start Date]]&lt;1/1/1990,"",IF(Main[[#This Row],[Class]]="C",WORKDAY(Main[[#This Row],[Tech Start Date]],9),IF(Main[[#This Row],[Class]]="B", WORKDAY(Main[[#This Row],[Tech Start Date]],6),IF(Main[[#This Row],[Class]]="A",WORKDAY(Main[[#This Row],[Tech Start Date]],2),""))))</f>
        <v/>
      </c>
      <c r="N241" s="77" t="str">
        <f>IF(Main[[#This Row],[Tech Start Date]]&lt;1/1/1990,"",IF(Main[[#This Row],[Class]]="C",WORKDAY(Main[[#This Row],[Tech Start Date]],19),IF(Main[[#This Row],[Class]]="B", WORKDAY(Main[[#This Row],[Tech Start Date]],12),IF(Main[[#This Row],[Class]]="A",WORKDAY(Main[[#This Row],[Tech Start Date]],4),""))))</f>
        <v/>
      </c>
      <c r="O241" s="77" t="str">
        <f>IF(Main[[#This Row],[Tech Start Date]]&lt;1/1/1990,"",IF(Main[[#This Row],[Class]]="C",WORKDAY(Main[[#This Row],[Tech Start Date]],23),IF(Main[[#This Row],[Class]]="B", WORKDAY(Main[[#This Row],[Tech Start Date]],15),IF(Main[[#This Row],[Class]]="A",WORKDAY(Main[[#This Row],[Tech Start Date]],5),""))))</f>
        <v/>
      </c>
      <c r="P241" s="77" t="str">
        <f>IF(Main[[#This Row],[Tech Start Date]]&lt;1/1/1990,"",IF(Main[[#This Row],[Class]]="C",WORKDAY(Main[[#This Row],[Tech Start Date]],28),IF(Main[[#This Row],[Class]]="B", WORKDAY(Main[[#This Row],[Tech Start Date]],19),IF(Main[[#This Row],[Class]]="A",WORKDAY(Main[[#This Row],[Tech Start Date]],9),""))))</f>
        <v/>
      </c>
      <c r="Q241" s="74">
        <v>41244</v>
      </c>
      <c r="R241" s="74"/>
      <c r="S241" s="72" t="s">
        <v>6</v>
      </c>
      <c r="T241" s="80" t="s">
        <v>4</v>
      </c>
      <c r="U241" s="72" t="s">
        <v>29</v>
      </c>
      <c r="V241" s="72" t="s">
        <v>1947</v>
      </c>
      <c r="W241" s="72" t="s">
        <v>1939</v>
      </c>
      <c r="X241" s="72" t="s">
        <v>30</v>
      </c>
      <c r="Y241" s="72" t="s">
        <v>3098</v>
      </c>
      <c r="Z241" s="72" t="s">
        <v>536</v>
      </c>
    </row>
    <row r="242" spans="1:26" ht="18.600000000000001" customHeight="1">
      <c r="A242" s="142" t="str">
        <f>IF(priority(Main[[#This Row],[Comments]])&lt;&gt;0, priority(Main[[#This Row],[Comments]]),"")</f>
        <v/>
      </c>
      <c r="B242" s="90" t="s">
        <v>1098</v>
      </c>
      <c r="C242" s="72" t="s">
        <v>4</v>
      </c>
      <c r="D242" s="73" t="s">
        <v>133</v>
      </c>
      <c r="E242" s="74"/>
      <c r="F242" s="74">
        <v>40598</v>
      </c>
      <c r="G242" s="75" t="str">
        <f>IF(stdProdLT(Main[[#This Row],[Comments]])=0.1,"N/A",IF(stdProdLT(Main[[#This Row],[Comments]])=0,"",stdProdLT(Main[[#This Row],[Comments]])))</f>
        <v/>
      </c>
      <c r="H242" s="76" t="str">
        <f>IF(AND(Main[[#This Row],[In Stock Date]]&lt;&gt;"",Main[[#This Row],[Revised Due Date]]&lt;&gt;""),Main[[#This Row],[In Stock Date]]-Main[[#This Row],[Revised Due Date]],"")</f>
        <v/>
      </c>
      <c r="I242" s="72" t="s">
        <v>4</v>
      </c>
      <c r="J242" s="72" t="s">
        <v>4</v>
      </c>
      <c r="K242" s="72" t="s">
        <v>4</v>
      </c>
      <c r="L242" s="74"/>
      <c r="M242" s="77" t="str">
        <f>IF(Main[[#This Row],[Tech Start Date]]&lt;1/1/1990,"",IF(Main[[#This Row],[Class]]="C",WORKDAY(Main[[#This Row],[Tech Start Date]],9),IF(Main[[#This Row],[Class]]="B", WORKDAY(Main[[#This Row],[Tech Start Date]],6),IF(Main[[#This Row],[Class]]="A",WORKDAY(Main[[#This Row],[Tech Start Date]],2),""))))</f>
        <v/>
      </c>
      <c r="N242" s="77" t="str">
        <f>IF(Main[[#This Row],[Tech Start Date]]&lt;1/1/1990,"",IF(Main[[#This Row],[Class]]="C",WORKDAY(Main[[#This Row],[Tech Start Date]],19),IF(Main[[#This Row],[Class]]="B", WORKDAY(Main[[#This Row],[Tech Start Date]],12),IF(Main[[#This Row],[Class]]="A",WORKDAY(Main[[#This Row],[Tech Start Date]],4),""))))</f>
        <v/>
      </c>
      <c r="O242" s="77" t="str">
        <f>IF(Main[[#This Row],[Tech Start Date]]&lt;1/1/1990,"",IF(Main[[#This Row],[Class]]="C",WORKDAY(Main[[#This Row],[Tech Start Date]],23),IF(Main[[#This Row],[Class]]="B", WORKDAY(Main[[#This Row],[Tech Start Date]],15),IF(Main[[#This Row],[Class]]="A",WORKDAY(Main[[#This Row],[Tech Start Date]],5),""))))</f>
        <v/>
      </c>
      <c r="P242" s="77" t="str">
        <f>IF(Main[[#This Row],[Tech Start Date]]&lt;1/1/1990,"",IF(Main[[#This Row],[Class]]="C",WORKDAY(Main[[#This Row],[Tech Start Date]],28),IF(Main[[#This Row],[Class]]="B", WORKDAY(Main[[#This Row],[Tech Start Date]],19),IF(Main[[#This Row],[Class]]="A",WORKDAY(Main[[#This Row],[Tech Start Date]],9),""))))</f>
        <v/>
      </c>
      <c r="Q242" s="74">
        <v>40598</v>
      </c>
      <c r="R242" s="74"/>
      <c r="S242" s="72" t="s">
        <v>11</v>
      </c>
      <c r="T242" s="80" t="s">
        <v>4</v>
      </c>
      <c r="U242" s="72" t="s">
        <v>14</v>
      </c>
      <c r="V242" s="72" t="s">
        <v>1947</v>
      </c>
      <c r="W242" s="72" t="s">
        <v>1943</v>
      </c>
      <c r="X242" s="72" t="s">
        <v>3000</v>
      </c>
      <c r="Y242" s="72" t="s">
        <v>3137</v>
      </c>
      <c r="Z242" s="72" t="s">
        <v>4</v>
      </c>
    </row>
    <row r="243" spans="1:26" ht="18.600000000000001" customHeight="1">
      <c r="A243" s="142" t="str">
        <f>IF(priority(Main[[#This Row],[Comments]])&lt;&gt;0, priority(Main[[#This Row],[Comments]]),"")</f>
        <v/>
      </c>
      <c r="B243" s="90" t="s">
        <v>1100</v>
      </c>
      <c r="C243" s="72" t="s">
        <v>4</v>
      </c>
      <c r="D243" s="73" t="s">
        <v>135</v>
      </c>
      <c r="E243" s="74">
        <v>40683.594340277778</v>
      </c>
      <c r="F243" s="74"/>
      <c r="G243" s="75" t="str">
        <f>IF(stdProdLT(Main[[#This Row],[Comments]])=0.1,"N/A",IF(stdProdLT(Main[[#This Row],[Comments]])=0,"",stdProdLT(Main[[#This Row],[Comments]])))</f>
        <v/>
      </c>
      <c r="H243" s="76" t="str">
        <f>IF(AND(Main[[#This Row],[In Stock Date]]&lt;&gt;"",Main[[#This Row],[Revised Due Date]]&lt;&gt;""),Main[[#This Row],[In Stock Date]]-Main[[#This Row],[Revised Due Date]],"")</f>
        <v/>
      </c>
      <c r="I243" s="72" t="s">
        <v>4</v>
      </c>
      <c r="J243" s="72" t="s">
        <v>4</v>
      </c>
      <c r="K243" s="81" t="s">
        <v>4</v>
      </c>
      <c r="L243" s="74"/>
      <c r="M243" s="77" t="str">
        <f>IF(Main[[#This Row],[Tech Start Date]]&lt;1/1/1990,"",IF(Main[[#This Row],[Class]]="C",WORKDAY(Main[[#This Row],[Tech Start Date]],9),IF(Main[[#This Row],[Class]]="B", WORKDAY(Main[[#This Row],[Tech Start Date]],6),IF(Main[[#This Row],[Class]]="A",WORKDAY(Main[[#This Row],[Tech Start Date]],2),""))))</f>
        <v/>
      </c>
      <c r="N243" s="77" t="str">
        <f>IF(Main[[#This Row],[Tech Start Date]]&lt;1/1/1990,"",IF(Main[[#This Row],[Class]]="C",WORKDAY(Main[[#This Row],[Tech Start Date]],19),IF(Main[[#This Row],[Class]]="B", WORKDAY(Main[[#This Row],[Tech Start Date]],12),IF(Main[[#This Row],[Class]]="A",WORKDAY(Main[[#This Row],[Tech Start Date]],4),""))))</f>
        <v/>
      </c>
      <c r="O243" s="77" t="str">
        <f>IF(Main[[#This Row],[Tech Start Date]]&lt;1/1/1990,"",IF(Main[[#This Row],[Class]]="C",WORKDAY(Main[[#This Row],[Tech Start Date]],23),IF(Main[[#This Row],[Class]]="B", WORKDAY(Main[[#This Row],[Tech Start Date]],15),IF(Main[[#This Row],[Class]]="A",WORKDAY(Main[[#This Row],[Tech Start Date]],5),""))))</f>
        <v/>
      </c>
      <c r="P243" s="77" t="str">
        <f>IF(Main[[#This Row],[Tech Start Date]]&lt;1/1/1990,"",IF(Main[[#This Row],[Class]]="C",WORKDAY(Main[[#This Row],[Tech Start Date]],28),IF(Main[[#This Row],[Class]]="B", WORKDAY(Main[[#This Row],[Tech Start Date]],19),IF(Main[[#This Row],[Class]]="A",WORKDAY(Main[[#This Row],[Tech Start Date]],9),""))))</f>
        <v/>
      </c>
      <c r="Q243" s="74">
        <v>40718</v>
      </c>
      <c r="R243" s="74"/>
      <c r="S243" s="72" t="s">
        <v>6</v>
      </c>
      <c r="T243" s="80" t="s">
        <v>4</v>
      </c>
      <c r="U243" s="72" t="s">
        <v>7</v>
      </c>
      <c r="V243" s="72" t="s">
        <v>1937</v>
      </c>
      <c r="W243" s="72" t="s">
        <v>1945</v>
      </c>
      <c r="X243" s="72" t="s">
        <v>2973</v>
      </c>
      <c r="Y243" s="72" t="s">
        <v>3094</v>
      </c>
      <c r="Z243" s="72" t="s">
        <v>4</v>
      </c>
    </row>
    <row r="244" spans="1:26" ht="18.600000000000001" customHeight="1">
      <c r="A244" s="142" t="str">
        <f>IF(priority(Main[[#This Row],[Comments]])&lt;&gt;0, priority(Main[[#This Row],[Comments]]),"")</f>
        <v/>
      </c>
      <c r="B244" s="90" t="s">
        <v>1101</v>
      </c>
      <c r="C244" s="72" t="s">
        <v>4</v>
      </c>
      <c r="D244" s="73" t="s">
        <v>136</v>
      </c>
      <c r="E244" s="74">
        <v>40312.634143518517</v>
      </c>
      <c r="F244" s="74"/>
      <c r="G244" s="75" t="str">
        <f>IF(stdProdLT(Main[[#This Row],[Comments]])=0.1,"N/A",IF(stdProdLT(Main[[#This Row],[Comments]])=0,"",stdProdLT(Main[[#This Row],[Comments]])))</f>
        <v/>
      </c>
      <c r="H244" s="76" t="str">
        <f>IF(AND(Main[[#This Row],[In Stock Date]]&lt;&gt;"",Main[[#This Row],[Revised Due Date]]&lt;&gt;""),Main[[#This Row],[In Stock Date]]-Main[[#This Row],[Revised Due Date]],"")</f>
        <v/>
      </c>
      <c r="I244" s="72" t="s">
        <v>129</v>
      </c>
      <c r="J244" s="72" t="s">
        <v>4</v>
      </c>
      <c r="K244" s="72" t="s">
        <v>4</v>
      </c>
      <c r="L244" s="74"/>
      <c r="M244" s="77" t="str">
        <f>IF(Main[[#This Row],[Tech Start Date]]&lt;1/1/1990,"",IF(Main[[#This Row],[Class]]="C",WORKDAY(Main[[#This Row],[Tech Start Date]],9),IF(Main[[#This Row],[Class]]="B", WORKDAY(Main[[#This Row],[Tech Start Date]],6),IF(Main[[#This Row],[Class]]="A",WORKDAY(Main[[#This Row],[Tech Start Date]],2),""))))</f>
        <v/>
      </c>
      <c r="N244" s="77" t="str">
        <f>IF(Main[[#This Row],[Tech Start Date]]&lt;1/1/1990,"",IF(Main[[#This Row],[Class]]="C",WORKDAY(Main[[#This Row],[Tech Start Date]],19),IF(Main[[#This Row],[Class]]="B", WORKDAY(Main[[#This Row],[Tech Start Date]],12),IF(Main[[#This Row],[Class]]="A",WORKDAY(Main[[#This Row],[Tech Start Date]],4),""))))</f>
        <v/>
      </c>
      <c r="O244" s="77" t="str">
        <f>IF(Main[[#This Row],[Tech Start Date]]&lt;1/1/1990,"",IF(Main[[#This Row],[Class]]="C",WORKDAY(Main[[#This Row],[Tech Start Date]],23),IF(Main[[#This Row],[Class]]="B", WORKDAY(Main[[#This Row],[Tech Start Date]],15),IF(Main[[#This Row],[Class]]="A",WORKDAY(Main[[#This Row],[Tech Start Date]],5),""))))</f>
        <v/>
      </c>
      <c r="P244" s="77" t="str">
        <f>IF(Main[[#This Row],[Tech Start Date]]&lt;1/1/1990,"",IF(Main[[#This Row],[Class]]="C",WORKDAY(Main[[#This Row],[Tech Start Date]],28),IF(Main[[#This Row],[Class]]="B", WORKDAY(Main[[#This Row],[Tech Start Date]],19),IF(Main[[#This Row],[Class]]="A",WORKDAY(Main[[#This Row],[Tech Start Date]],9),""))))</f>
        <v/>
      </c>
      <c r="Q244" s="74">
        <v>40329</v>
      </c>
      <c r="R244" s="74"/>
      <c r="S244" s="72" t="s">
        <v>6</v>
      </c>
      <c r="T244" s="80" t="s">
        <v>4</v>
      </c>
      <c r="U244" s="72" t="s">
        <v>7</v>
      </c>
      <c r="V244" s="72" t="s">
        <v>1937</v>
      </c>
      <c r="W244" s="72" t="s">
        <v>1939</v>
      </c>
      <c r="X244" s="72" t="s">
        <v>423</v>
      </c>
      <c r="Y244" s="72" t="s">
        <v>3138</v>
      </c>
      <c r="Z244" s="72" t="s">
        <v>4</v>
      </c>
    </row>
    <row r="245" spans="1:26" ht="18.600000000000001" customHeight="1">
      <c r="A245" s="142" t="str">
        <f>IF(priority(Main[[#This Row],[Comments]])&lt;&gt;0, priority(Main[[#This Row],[Comments]]),"")</f>
        <v/>
      </c>
      <c r="B245" s="90" t="s">
        <v>1102</v>
      </c>
      <c r="C245" s="72" t="s">
        <v>4</v>
      </c>
      <c r="D245" s="73" t="s">
        <v>97</v>
      </c>
      <c r="E245" s="74"/>
      <c r="F245" s="74"/>
      <c r="G245" s="75" t="str">
        <f>IF(stdProdLT(Main[[#This Row],[Comments]])=0.1,"N/A",IF(stdProdLT(Main[[#This Row],[Comments]])=0,"",stdProdLT(Main[[#This Row],[Comments]])))</f>
        <v/>
      </c>
      <c r="H245" s="76" t="str">
        <f>IF(AND(Main[[#This Row],[In Stock Date]]&lt;&gt;"",Main[[#This Row],[Revised Due Date]]&lt;&gt;""),Main[[#This Row],[In Stock Date]]-Main[[#This Row],[Revised Due Date]],"")</f>
        <v/>
      </c>
      <c r="I245" s="72" t="s">
        <v>4</v>
      </c>
      <c r="J245" s="72" t="s">
        <v>4</v>
      </c>
      <c r="K245" s="72" t="s">
        <v>4</v>
      </c>
      <c r="L245" s="74"/>
      <c r="M245" s="77" t="str">
        <f>IF(Main[[#This Row],[Tech Start Date]]&lt;1/1/1990,"",IF(Main[[#This Row],[Class]]="C",WORKDAY(Main[[#This Row],[Tech Start Date]],9),IF(Main[[#This Row],[Class]]="B", WORKDAY(Main[[#This Row],[Tech Start Date]],6),IF(Main[[#This Row],[Class]]="A",WORKDAY(Main[[#This Row],[Tech Start Date]],2),""))))</f>
        <v/>
      </c>
      <c r="N245" s="77" t="str">
        <f>IF(Main[[#This Row],[Tech Start Date]]&lt;1/1/1990,"",IF(Main[[#This Row],[Class]]="C",WORKDAY(Main[[#This Row],[Tech Start Date]],19),IF(Main[[#This Row],[Class]]="B", WORKDAY(Main[[#This Row],[Tech Start Date]],12),IF(Main[[#This Row],[Class]]="A",WORKDAY(Main[[#This Row],[Tech Start Date]],4),""))))</f>
        <v/>
      </c>
      <c r="O245" s="77" t="str">
        <f>IF(Main[[#This Row],[Tech Start Date]]&lt;1/1/1990,"",IF(Main[[#This Row],[Class]]="C",WORKDAY(Main[[#This Row],[Tech Start Date]],23),IF(Main[[#This Row],[Class]]="B", WORKDAY(Main[[#This Row],[Tech Start Date]],15),IF(Main[[#This Row],[Class]]="A",WORKDAY(Main[[#This Row],[Tech Start Date]],5),""))))</f>
        <v/>
      </c>
      <c r="P245" s="77" t="str">
        <f>IF(Main[[#This Row],[Tech Start Date]]&lt;1/1/1990,"",IF(Main[[#This Row],[Class]]="C",WORKDAY(Main[[#This Row],[Tech Start Date]],28),IF(Main[[#This Row],[Class]]="B", WORKDAY(Main[[#This Row],[Tech Start Date]],19),IF(Main[[#This Row],[Class]]="A",WORKDAY(Main[[#This Row],[Tech Start Date]],9),""))))</f>
        <v/>
      </c>
      <c r="Q245" s="74">
        <v>40858</v>
      </c>
      <c r="R245" s="74"/>
      <c r="S245" s="72" t="s">
        <v>17</v>
      </c>
      <c r="T245" s="80" t="s">
        <v>4</v>
      </c>
      <c r="U245" s="72" t="s">
        <v>14</v>
      </c>
      <c r="V245" s="72" t="s">
        <v>1937</v>
      </c>
      <c r="W245" s="72" t="s">
        <v>1942</v>
      </c>
      <c r="X245" s="72" t="s">
        <v>50</v>
      </c>
      <c r="Y245" s="72" t="s">
        <v>3117</v>
      </c>
      <c r="Z245" s="72" t="s">
        <v>4</v>
      </c>
    </row>
    <row r="246" spans="1:26" ht="18.600000000000001" customHeight="1">
      <c r="A246" s="142" t="str">
        <f>IF(priority(Main[[#This Row],[Comments]])&lt;&gt;0, priority(Main[[#This Row],[Comments]]),"")</f>
        <v/>
      </c>
      <c r="B246" s="90" t="s">
        <v>1691</v>
      </c>
      <c r="C246" s="72" t="s">
        <v>4</v>
      </c>
      <c r="D246" s="73" t="s">
        <v>742</v>
      </c>
      <c r="E246" s="74"/>
      <c r="F246" s="74"/>
      <c r="G246" s="75" t="str">
        <f>IF(stdProdLT(Main[[#This Row],[Comments]])=0.1,"N/A",IF(stdProdLT(Main[[#This Row],[Comments]])=0,"",stdProdLT(Main[[#This Row],[Comments]])))</f>
        <v/>
      </c>
      <c r="H246" s="76" t="str">
        <f>IF(AND(Main[[#This Row],[In Stock Date]]&lt;&gt;"",Main[[#This Row],[Revised Due Date]]&lt;&gt;""),Main[[#This Row],[In Stock Date]]-Main[[#This Row],[Revised Due Date]],"")</f>
        <v/>
      </c>
      <c r="I246" s="72" t="s">
        <v>4</v>
      </c>
      <c r="J246" s="72" t="s">
        <v>4</v>
      </c>
      <c r="K246" s="72" t="s">
        <v>4</v>
      </c>
      <c r="L246" s="74"/>
      <c r="M246" s="77" t="str">
        <f>IF(Main[[#This Row],[Tech Start Date]]&lt;1/1/1990,"",IF(Main[[#This Row],[Class]]="C",WORKDAY(Main[[#This Row],[Tech Start Date]],9),IF(Main[[#This Row],[Class]]="B", WORKDAY(Main[[#This Row],[Tech Start Date]],6),IF(Main[[#This Row],[Class]]="A",WORKDAY(Main[[#This Row],[Tech Start Date]],2),""))))</f>
        <v/>
      </c>
      <c r="N246" s="77" t="str">
        <f>IF(Main[[#This Row],[Tech Start Date]]&lt;1/1/1990,"",IF(Main[[#This Row],[Class]]="C",WORKDAY(Main[[#This Row],[Tech Start Date]],19),IF(Main[[#This Row],[Class]]="B", WORKDAY(Main[[#This Row],[Tech Start Date]],12),IF(Main[[#This Row],[Class]]="A",WORKDAY(Main[[#This Row],[Tech Start Date]],4),""))))</f>
        <v/>
      </c>
      <c r="O246" s="77" t="str">
        <f>IF(Main[[#This Row],[Tech Start Date]]&lt;1/1/1990,"",IF(Main[[#This Row],[Class]]="C",WORKDAY(Main[[#This Row],[Tech Start Date]],23),IF(Main[[#This Row],[Class]]="B", WORKDAY(Main[[#This Row],[Tech Start Date]],15),IF(Main[[#This Row],[Class]]="A",WORKDAY(Main[[#This Row],[Tech Start Date]],5),""))))</f>
        <v/>
      </c>
      <c r="P246" s="77" t="str">
        <f>IF(Main[[#This Row],[Tech Start Date]]&lt;1/1/1990,"",IF(Main[[#This Row],[Class]]="C",WORKDAY(Main[[#This Row],[Tech Start Date]],28),IF(Main[[#This Row],[Class]]="B", WORKDAY(Main[[#This Row],[Tech Start Date]],19),IF(Main[[#This Row],[Class]]="A",WORKDAY(Main[[#This Row],[Tech Start Date]],9),""))))</f>
        <v/>
      </c>
      <c r="Q246" s="74"/>
      <c r="R246" s="74"/>
      <c r="S246" s="72" t="s">
        <v>23</v>
      </c>
      <c r="T246" s="80" t="s">
        <v>4</v>
      </c>
      <c r="U246" s="72" t="s">
        <v>14</v>
      </c>
      <c r="V246" s="72" t="s">
        <v>1937</v>
      </c>
      <c r="W246" s="72" t="s">
        <v>1941</v>
      </c>
      <c r="X246" s="72" t="s">
        <v>404</v>
      </c>
      <c r="Y246" s="72" t="s">
        <v>4</v>
      </c>
      <c r="Z246" s="72" t="s">
        <v>4</v>
      </c>
    </row>
    <row r="247" spans="1:26" ht="18.600000000000001" customHeight="1">
      <c r="A247" s="142" t="str">
        <f>IF(priority(Main[[#This Row],[Comments]])&lt;&gt;0, priority(Main[[#This Row],[Comments]]),"")</f>
        <v/>
      </c>
      <c r="B247" s="90" t="s">
        <v>1103</v>
      </c>
      <c r="C247" s="72" t="s">
        <v>113</v>
      </c>
      <c r="D247" s="73" t="s">
        <v>137</v>
      </c>
      <c r="E247" s="74"/>
      <c r="F247" s="74"/>
      <c r="G247" s="75" t="str">
        <f>IF(stdProdLT(Main[[#This Row],[Comments]])=0.1,"N/A",IF(stdProdLT(Main[[#This Row],[Comments]])=0,"",stdProdLT(Main[[#This Row],[Comments]])))</f>
        <v/>
      </c>
      <c r="H247" s="76" t="str">
        <f>IF(AND(Main[[#This Row],[In Stock Date]]&lt;&gt;"",Main[[#This Row],[Revised Due Date]]&lt;&gt;""),Main[[#This Row],[In Stock Date]]-Main[[#This Row],[Revised Due Date]],"")</f>
        <v/>
      </c>
      <c r="I247" s="72" t="s">
        <v>4</v>
      </c>
      <c r="J247" s="72" t="s">
        <v>4</v>
      </c>
      <c r="K247" s="72" t="s">
        <v>4</v>
      </c>
      <c r="L247" s="74"/>
      <c r="M247" s="77" t="str">
        <f>IF(Main[[#This Row],[Tech Start Date]]&lt;1/1/1990,"",IF(Main[[#This Row],[Class]]="C",WORKDAY(Main[[#This Row],[Tech Start Date]],9),IF(Main[[#This Row],[Class]]="B", WORKDAY(Main[[#This Row],[Tech Start Date]],6),IF(Main[[#This Row],[Class]]="A",WORKDAY(Main[[#This Row],[Tech Start Date]],2),""))))</f>
        <v/>
      </c>
      <c r="N247" s="77" t="str">
        <f>IF(Main[[#This Row],[Tech Start Date]]&lt;1/1/1990,"",IF(Main[[#This Row],[Class]]="C",WORKDAY(Main[[#This Row],[Tech Start Date]],19),IF(Main[[#This Row],[Class]]="B", WORKDAY(Main[[#This Row],[Tech Start Date]],12),IF(Main[[#This Row],[Class]]="A",WORKDAY(Main[[#This Row],[Tech Start Date]],4),""))))</f>
        <v/>
      </c>
      <c r="O247" s="77" t="str">
        <f>IF(Main[[#This Row],[Tech Start Date]]&lt;1/1/1990,"",IF(Main[[#This Row],[Class]]="C",WORKDAY(Main[[#This Row],[Tech Start Date]],23),IF(Main[[#This Row],[Class]]="B", WORKDAY(Main[[#This Row],[Tech Start Date]],15),IF(Main[[#This Row],[Class]]="A",WORKDAY(Main[[#This Row],[Tech Start Date]],5),""))))</f>
        <v/>
      </c>
      <c r="P247" s="77" t="str">
        <f>IF(Main[[#This Row],[Tech Start Date]]&lt;1/1/1990,"",IF(Main[[#This Row],[Class]]="C",WORKDAY(Main[[#This Row],[Tech Start Date]],28),IF(Main[[#This Row],[Class]]="B", WORKDAY(Main[[#This Row],[Tech Start Date]],19),IF(Main[[#This Row],[Class]]="A",WORKDAY(Main[[#This Row],[Tech Start Date]],9),""))))</f>
        <v/>
      </c>
      <c r="Q247" s="74">
        <v>40641</v>
      </c>
      <c r="R247" s="74"/>
      <c r="S247" s="72" t="s">
        <v>11</v>
      </c>
      <c r="T247" s="80" t="s">
        <v>4</v>
      </c>
      <c r="U247" s="72" t="s">
        <v>14</v>
      </c>
      <c r="V247" s="72" t="s">
        <v>1937</v>
      </c>
      <c r="W247" s="72" t="s">
        <v>1945</v>
      </c>
      <c r="X247" s="72" t="s">
        <v>2991</v>
      </c>
      <c r="Y247" s="72" t="s">
        <v>3139</v>
      </c>
      <c r="Z247" s="72" t="s">
        <v>4</v>
      </c>
    </row>
    <row r="248" spans="1:26" ht="18.600000000000001" customHeight="1">
      <c r="A248" s="142" t="str">
        <f>IF(priority(Main[[#This Row],[Comments]])&lt;&gt;0, priority(Main[[#This Row],[Comments]]),"")</f>
        <v/>
      </c>
      <c r="B248" s="90" t="s">
        <v>1104</v>
      </c>
      <c r="C248" s="72" t="s">
        <v>138</v>
      </c>
      <c r="D248" s="73" t="s">
        <v>139</v>
      </c>
      <c r="E248" s="74"/>
      <c r="F248" s="74"/>
      <c r="G248" s="75" t="str">
        <f>IF(stdProdLT(Main[[#This Row],[Comments]])=0.1,"N/A",IF(stdProdLT(Main[[#This Row],[Comments]])=0,"",stdProdLT(Main[[#This Row],[Comments]])))</f>
        <v/>
      </c>
      <c r="H248" s="76" t="str">
        <f>IF(AND(Main[[#This Row],[In Stock Date]]&lt;&gt;"",Main[[#This Row],[Revised Due Date]]&lt;&gt;""),Main[[#This Row],[In Stock Date]]-Main[[#This Row],[Revised Due Date]],"")</f>
        <v/>
      </c>
      <c r="I248" s="72" t="s">
        <v>4</v>
      </c>
      <c r="J248" s="72" t="s">
        <v>4</v>
      </c>
      <c r="K248" s="72" t="s">
        <v>4</v>
      </c>
      <c r="L248" s="74"/>
      <c r="M248" s="77" t="str">
        <f>IF(Main[[#This Row],[Tech Start Date]]&lt;1/1/1990,"",IF(Main[[#This Row],[Class]]="C",WORKDAY(Main[[#This Row],[Tech Start Date]],9),IF(Main[[#This Row],[Class]]="B", WORKDAY(Main[[#This Row],[Tech Start Date]],6),IF(Main[[#This Row],[Class]]="A",WORKDAY(Main[[#This Row],[Tech Start Date]],2),""))))</f>
        <v/>
      </c>
      <c r="N248" s="77" t="str">
        <f>IF(Main[[#This Row],[Tech Start Date]]&lt;1/1/1990,"",IF(Main[[#This Row],[Class]]="C",WORKDAY(Main[[#This Row],[Tech Start Date]],19),IF(Main[[#This Row],[Class]]="B", WORKDAY(Main[[#This Row],[Tech Start Date]],12),IF(Main[[#This Row],[Class]]="A",WORKDAY(Main[[#This Row],[Tech Start Date]],4),""))))</f>
        <v/>
      </c>
      <c r="O248" s="77" t="str">
        <f>IF(Main[[#This Row],[Tech Start Date]]&lt;1/1/1990,"",IF(Main[[#This Row],[Class]]="C",WORKDAY(Main[[#This Row],[Tech Start Date]],23),IF(Main[[#This Row],[Class]]="B", WORKDAY(Main[[#This Row],[Tech Start Date]],15),IF(Main[[#This Row],[Class]]="A",WORKDAY(Main[[#This Row],[Tech Start Date]],5),""))))</f>
        <v/>
      </c>
      <c r="P248" s="77" t="str">
        <f>IF(Main[[#This Row],[Tech Start Date]]&lt;1/1/1990,"",IF(Main[[#This Row],[Class]]="C",WORKDAY(Main[[#This Row],[Tech Start Date]],28),IF(Main[[#This Row],[Class]]="B", WORKDAY(Main[[#This Row],[Tech Start Date]],19),IF(Main[[#This Row],[Class]]="A",WORKDAY(Main[[#This Row],[Tech Start Date]],9),""))))</f>
        <v/>
      </c>
      <c r="Q248" s="74">
        <v>40641</v>
      </c>
      <c r="R248" s="74"/>
      <c r="S248" s="72" t="s">
        <v>11</v>
      </c>
      <c r="T248" s="80" t="s">
        <v>4</v>
      </c>
      <c r="U248" s="72" t="s">
        <v>14</v>
      </c>
      <c r="V248" s="72" t="s">
        <v>1937</v>
      </c>
      <c r="W248" s="72" t="s">
        <v>1945</v>
      </c>
      <c r="X248" s="72" t="s">
        <v>2991</v>
      </c>
      <c r="Y248" s="72" t="s">
        <v>3128</v>
      </c>
      <c r="Z248" s="72" t="s">
        <v>4</v>
      </c>
    </row>
    <row r="249" spans="1:26" ht="18.600000000000001" customHeight="1">
      <c r="A249" s="142" t="str">
        <f>IF(priority(Main[[#This Row],[Comments]])&lt;&gt;0, priority(Main[[#This Row],[Comments]]),"")</f>
        <v/>
      </c>
      <c r="B249" s="90" t="s">
        <v>1106</v>
      </c>
      <c r="C249" s="72" t="s">
        <v>33</v>
      </c>
      <c r="D249" s="73" t="s">
        <v>140</v>
      </c>
      <c r="E249" s="74"/>
      <c r="F249" s="74"/>
      <c r="G249" s="75" t="str">
        <f>IF(stdProdLT(Main[[#This Row],[Comments]])=0.1,"N/A",IF(stdProdLT(Main[[#This Row],[Comments]])=0,"",stdProdLT(Main[[#This Row],[Comments]])))</f>
        <v/>
      </c>
      <c r="H249" s="76" t="str">
        <f>IF(AND(Main[[#This Row],[In Stock Date]]&lt;&gt;"",Main[[#This Row],[Revised Due Date]]&lt;&gt;""),Main[[#This Row],[In Stock Date]]-Main[[#This Row],[Revised Due Date]],"")</f>
        <v/>
      </c>
      <c r="I249" s="72" t="s">
        <v>4</v>
      </c>
      <c r="J249" s="72" t="s">
        <v>4</v>
      </c>
      <c r="K249" s="72" t="s">
        <v>4</v>
      </c>
      <c r="L249" s="74"/>
      <c r="M249" s="77" t="str">
        <f>IF(Main[[#This Row],[Tech Start Date]]&lt;1/1/1990,"",IF(Main[[#This Row],[Class]]="C",WORKDAY(Main[[#This Row],[Tech Start Date]],9),IF(Main[[#This Row],[Class]]="B", WORKDAY(Main[[#This Row],[Tech Start Date]],6),IF(Main[[#This Row],[Class]]="A",WORKDAY(Main[[#This Row],[Tech Start Date]],2),""))))</f>
        <v/>
      </c>
      <c r="N249" s="77" t="str">
        <f>IF(Main[[#This Row],[Tech Start Date]]&lt;1/1/1990,"",IF(Main[[#This Row],[Class]]="C",WORKDAY(Main[[#This Row],[Tech Start Date]],19),IF(Main[[#This Row],[Class]]="B", WORKDAY(Main[[#This Row],[Tech Start Date]],12),IF(Main[[#This Row],[Class]]="A",WORKDAY(Main[[#This Row],[Tech Start Date]],4),""))))</f>
        <v/>
      </c>
      <c r="O249" s="77" t="str">
        <f>IF(Main[[#This Row],[Tech Start Date]]&lt;1/1/1990,"",IF(Main[[#This Row],[Class]]="C",WORKDAY(Main[[#This Row],[Tech Start Date]],23),IF(Main[[#This Row],[Class]]="B", WORKDAY(Main[[#This Row],[Tech Start Date]],15),IF(Main[[#This Row],[Class]]="A",WORKDAY(Main[[#This Row],[Tech Start Date]],5),""))))</f>
        <v/>
      </c>
      <c r="P249" s="77" t="str">
        <f>IF(Main[[#This Row],[Tech Start Date]]&lt;1/1/1990,"",IF(Main[[#This Row],[Class]]="C",WORKDAY(Main[[#This Row],[Tech Start Date]],28),IF(Main[[#This Row],[Class]]="B", WORKDAY(Main[[#This Row],[Tech Start Date]],19),IF(Main[[#This Row],[Class]]="A",WORKDAY(Main[[#This Row],[Tech Start Date]],9),""))))</f>
        <v/>
      </c>
      <c r="Q249" s="74"/>
      <c r="R249" s="74"/>
      <c r="S249" s="72" t="s">
        <v>11</v>
      </c>
      <c r="T249" s="80" t="s">
        <v>4</v>
      </c>
      <c r="U249" s="72" t="s">
        <v>14</v>
      </c>
      <c r="V249" s="72" t="s">
        <v>1938</v>
      </c>
      <c r="W249" s="72" t="s">
        <v>1945</v>
      </c>
      <c r="X249" s="72" t="s">
        <v>2979</v>
      </c>
      <c r="Y249" s="72" t="s">
        <v>3106</v>
      </c>
      <c r="Z249" s="72" t="s">
        <v>4</v>
      </c>
    </row>
    <row r="250" spans="1:26" ht="18.600000000000001" customHeight="1">
      <c r="A250" s="142" t="str">
        <f>IF(priority(Main[[#This Row],[Comments]])&lt;&gt;0, priority(Main[[#This Row],[Comments]]),"")</f>
        <v/>
      </c>
      <c r="B250" s="90" t="s">
        <v>1107</v>
      </c>
      <c r="C250" s="72" t="s">
        <v>4</v>
      </c>
      <c r="D250" s="73" t="s">
        <v>141</v>
      </c>
      <c r="E250" s="74">
        <v>40436.663981481484</v>
      </c>
      <c r="F250" s="74"/>
      <c r="G250" s="75" t="str">
        <f>IF(stdProdLT(Main[[#This Row],[Comments]])=0.1,"N/A",IF(stdProdLT(Main[[#This Row],[Comments]])=0,"",stdProdLT(Main[[#This Row],[Comments]])))</f>
        <v/>
      </c>
      <c r="H250" s="76" t="str">
        <f>IF(AND(Main[[#This Row],[In Stock Date]]&lt;&gt;"",Main[[#This Row],[Revised Due Date]]&lt;&gt;""),Main[[#This Row],[In Stock Date]]-Main[[#This Row],[Revised Due Date]],"")</f>
        <v/>
      </c>
      <c r="I250" s="72" t="s">
        <v>4</v>
      </c>
      <c r="J250" s="72" t="s">
        <v>4</v>
      </c>
      <c r="K250" s="72" t="s">
        <v>4</v>
      </c>
      <c r="L250" s="74"/>
      <c r="M250" s="77" t="str">
        <f>IF(Main[[#This Row],[Tech Start Date]]&lt;1/1/1990,"",IF(Main[[#This Row],[Class]]="C",WORKDAY(Main[[#This Row],[Tech Start Date]],9),IF(Main[[#This Row],[Class]]="B", WORKDAY(Main[[#This Row],[Tech Start Date]],6),IF(Main[[#This Row],[Class]]="A",WORKDAY(Main[[#This Row],[Tech Start Date]],2),""))))</f>
        <v/>
      </c>
      <c r="N250" s="77" t="str">
        <f>IF(Main[[#This Row],[Tech Start Date]]&lt;1/1/1990,"",IF(Main[[#This Row],[Class]]="C",WORKDAY(Main[[#This Row],[Tech Start Date]],19),IF(Main[[#This Row],[Class]]="B", WORKDAY(Main[[#This Row],[Tech Start Date]],12),IF(Main[[#This Row],[Class]]="A",WORKDAY(Main[[#This Row],[Tech Start Date]],4),""))))</f>
        <v/>
      </c>
      <c r="O250" s="77" t="str">
        <f>IF(Main[[#This Row],[Tech Start Date]]&lt;1/1/1990,"",IF(Main[[#This Row],[Class]]="C",WORKDAY(Main[[#This Row],[Tech Start Date]],23),IF(Main[[#This Row],[Class]]="B", WORKDAY(Main[[#This Row],[Tech Start Date]],15),IF(Main[[#This Row],[Class]]="A",WORKDAY(Main[[#This Row],[Tech Start Date]],5),""))))</f>
        <v/>
      </c>
      <c r="P250" s="77" t="str">
        <f>IF(Main[[#This Row],[Tech Start Date]]&lt;1/1/1990,"",IF(Main[[#This Row],[Class]]="C",WORKDAY(Main[[#This Row],[Tech Start Date]],28),IF(Main[[#This Row],[Class]]="B", WORKDAY(Main[[#This Row],[Tech Start Date]],19),IF(Main[[#This Row],[Class]]="A",WORKDAY(Main[[#This Row],[Tech Start Date]],9),""))))</f>
        <v/>
      </c>
      <c r="Q250" s="74"/>
      <c r="R250" s="74"/>
      <c r="S250" s="72" t="s">
        <v>17</v>
      </c>
      <c r="T250" s="80" t="s">
        <v>142</v>
      </c>
      <c r="U250" s="72" t="s">
        <v>7</v>
      </c>
      <c r="V250" s="72" t="s">
        <v>1938</v>
      </c>
      <c r="W250" s="72" t="s">
        <v>1945</v>
      </c>
      <c r="X250" s="72" t="s">
        <v>937</v>
      </c>
      <c r="Y250" s="72" t="s">
        <v>3140</v>
      </c>
      <c r="Z250" s="72" t="s">
        <v>4</v>
      </c>
    </row>
    <row r="251" spans="1:26" ht="18.600000000000001" customHeight="1">
      <c r="A251" s="142" t="str">
        <f>IF(priority(Main[[#This Row],[Comments]])&lt;&gt;0, priority(Main[[#This Row],[Comments]]),"")</f>
        <v/>
      </c>
      <c r="B251" s="90" t="s">
        <v>1119</v>
      </c>
      <c r="C251" s="72" t="s">
        <v>4</v>
      </c>
      <c r="D251" s="73" t="s">
        <v>125</v>
      </c>
      <c r="E251" s="74"/>
      <c r="F251" s="74"/>
      <c r="G251" s="75" t="str">
        <f>IF(stdProdLT(Main[[#This Row],[Comments]])=0.1,"N/A",IF(stdProdLT(Main[[#This Row],[Comments]])=0,"",stdProdLT(Main[[#This Row],[Comments]])))</f>
        <v/>
      </c>
      <c r="H251" s="76" t="str">
        <f>IF(AND(Main[[#This Row],[In Stock Date]]&lt;&gt;"",Main[[#This Row],[Revised Due Date]]&lt;&gt;""),Main[[#This Row],[In Stock Date]]-Main[[#This Row],[Revised Due Date]],"")</f>
        <v/>
      </c>
      <c r="I251" s="72" t="s">
        <v>126</v>
      </c>
      <c r="J251" s="72" t="s">
        <v>4</v>
      </c>
      <c r="K251" s="72" t="s">
        <v>4</v>
      </c>
      <c r="L251" s="74"/>
      <c r="M251" s="77" t="str">
        <f>IF(Main[[#This Row],[Tech Start Date]]&lt;1/1/1990,"",IF(Main[[#This Row],[Class]]="C",WORKDAY(Main[[#This Row],[Tech Start Date]],9),IF(Main[[#This Row],[Class]]="B", WORKDAY(Main[[#This Row],[Tech Start Date]],6),IF(Main[[#This Row],[Class]]="A",WORKDAY(Main[[#This Row],[Tech Start Date]],2),""))))</f>
        <v/>
      </c>
      <c r="N251" s="77" t="str">
        <f>IF(Main[[#This Row],[Tech Start Date]]&lt;1/1/1990,"",IF(Main[[#This Row],[Class]]="C",WORKDAY(Main[[#This Row],[Tech Start Date]],19),IF(Main[[#This Row],[Class]]="B", WORKDAY(Main[[#This Row],[Tech Start Date]],12),IF(Main[[#This Row],[Class]]="A",WORKDAY(Main[[#This Row],[Tech Start Date]],4),""))))</f>
        <v/>
      </c>
      <c r="O251" s="77" t="str">
        <f>IF(Main[[#This Row],[Tech Start Date]]&lt;1/1/1990,"",IF(Main[[#This Row],[Class]]="C",WORKDAY(Main[[#This Row],[Tech Start Date]],23),IF(Main[[#This Row],[Class]]="B", WORKDAY(Main[[#This Row],[Tech Start Date]],15),IF(Main[[#This Row],[Class]]="A",WORKDAY(Main[[#This Row],[Tech Start Date]],5),""))))</f>
        <v/>
      </c>
      <c r="P251" s="77" t="str">
        <f>IF(Main[[#This Row],[Tech Start Date]]&lt;1/1/1990,"",IF(Main[[#This Row],[Class]]="C",WORKDAY(Main[[#This Row],[Tech Start Date]],28),IF(Main[[#This Row],[Class]]="B", WORKDAY(Main[[#This Row],[Tech Start Date]],19),IF(Main[[#This Row],[Class]]="A",WORKDAY(Main[[#This Row],[Tech Start Date]],9),""))))</f>
        <v/>
      </c>
      <c r="Q251" s="74">
        <v>40025</v>
      </c>
      <c r="R251" s="74"/>
      <c r="S251" s="72" t="s">
        <v>11</v>
      </c>
      <c r="T251" s="80" t="s">
        <v>4</v>
      </c>
      <c r="U251" s="72" t="s">
        <v>14</v>
      </c>
      <c r="V251" s="72" t="s">
        <v>1937</v>
      </c>
      <c r="W251" s="72" t="s">
        <v>1945</v>
      </c>
      <c r="X251" s="72" t="s">
        <v>3005</v>
      </c>
      <c r="Y251" s="72" t="s">
        <v>3149</v>
      </c>
      <c r="Z251" s="72" t="s">
        <v>81</v>
      </c>
    </row>
    <row r="252" spans="1:26" ht="18.600000000000001" customHeight="1">
      <c r="A252" s="142" t="str">
        <f>IF(priority(Main[[#This Row],[Comments]])&lt;&gt;0, priority(Main[[#This Row],[Comments]]),"")</f>
        <v/>
      </c>
      <c r="B252" s="90" t="s">
        <v>1120</v>
      </c>
      <c r="C252" s="72" t="s">
        <v>4</v>
      </c>
      <c r="D252" s="73" t="s">
        <v>127</v>
      </c>
      <c r="E252" s="74"/>
      <c r="F252" s="74"/>
      <c r="G252" s="75" t="str">
        <f>IF(stdProdLT(Main[[#This Row],[Comments]])=0.1,"N/A",IF(stdProdLT(Main[[#This Row],[Comments]])=0,"",stdProdLT(Main[[#This Row],[Comments]])))</f>
        <v/>
      </c>
      <c r="H252" s="76" t="str">
        <f>IF(AND(Main[[#This Row],[In Stock Date]]&lt;&gt;"",Main[[#This Row],[Revised Due Date]]&lt;&gt;""),Main[[#This Row],[In Stock Date]]-Main[[#This Row],[Revised Due Date]],"")</f>
        <v/>
      </c>
      <c r="I252" s="72" t="s">
        <v>30</v>
      </c>
      <c r="J252" s="72" t="s">
        <v>21</v>
      </c>
      <c r="K252" s="72" t="s">
        <v>4</v>
      </c>
      <c r="L252" s="74"/>
      <c r="M252" s="77" t="str">
        <f>IF(Main[[#This Row],[Tech Start Date]]&lt;1/1/1990,"",IF(Main[[#This Row],[Class]]="C",WORKDAY(Main[[#This Row],[Tech Start Date]],9),IF(Main[[#This Row],[Class]]="B", WORKDAY(Main[[#This Row],[Tech Start Date]],6),IF(Main[[#This Row],[Class]]="A",WORKDAY(Main[[#This Row],[Tech Start Date]],2),""))))</f>
        <v/>
      </c>
      <c r="N252" s="77" t="str">
        <f>IF(Main[[#This Row],[Tech Start Date]]&lt;1/1/1990,"",IF(Main[[#This Row],[Class]]="C",WORKDAY(Main[[#This Row],[Tech Start Date]],19),IF(Main[[#This Row],[Class]]="B", WORKDAY(Main[[#This Row],[Tech Start Date]],12),IF(Main[[#This Row],[Class]]="A",WORKDAY(Main[[#This Row],[Tech Start Date]],4),""))))</f>
        <v/>
      </c>
      <c r="O252" s="77" t="str">
        <f>IF(Main[[#This Row],[Tech Start Date]]&lt;1/1/1990,"",IF(Main[[#This Row],[Class]]="C",WORKDAY(Main[[#This Row],[Tech Start Date]],23),IF(Main[[#This Row],[Class]]="B", WORKDAY(Main[[#This Row],[Tech Start Date]],15),IF(Main[[#This Row],[Class]]="A",WORKDAY(Main[[#This Row],[Tech Start Date]],5),""))))</f>
        <v/>
      </c>
      <c r="P252" s="77" t="str">
        <f>IF(Main[[#This Row],[Tech Start Date]]&lt;1/1/1990,"",IF(Main[[#This Row],[Class]]="C",WORKDAY(Main[[#This Row],[Tech Start Date]],28),IF(Main[[#This Row],[Class]]="B", WORKDAY(Main[[#This Row],[Tech Start Date]],19),IF(Main[[#This Row],[Class]]="A",WORKDAY(Main[[#This Row],[Tech Start Date]],9),""))))</f>
        <v/>
      </c>
      <c r="Q252" s="74">
        <v>40508</v>
      </c>
      <c r="R252" s="74"/>
      <c r="S252" s="72" t="s">
        <v>6</v>
      </c>
      <c r="T252" s="80" t="s">
        <v>4</v>
      </c>
      <c r="U252" s="72" t="s">
        <v>14</v>
      </c>
      <c r="V252" s="72" t="s">
        <v>1940</v>
      </c>
      <c r="W252" s="72" t="s">
        <v>1939</v>
      </c>
      <c r="X252" s="72" t="s">
        <v>2970</v>
      </c>
      <c r="Y252" s="72" t="s">
        <v>3087</v>
      </c>
      <c r="Z252" s="72" t="s">
        <v>536</v>
      </c>
    </row>
    <row r="253" spans="1:26" ht="18.600000000000001" customHeight="1">
      <c r="A253" s="142" t="str">
        <f>IF(priority(Main[[#This Row],[Comments]])&lt;&gt;0, priority(Main[[#This Row],[Comments]]),"")</f>
        <v/>
      </c>
      <c r="B253" s="90" t="s">
        <v>1121</v>
      </c>
      <c r="C253" s="72" t="s">
        <v>4</v>
      </c>
      <c r="D253" s="73" t="s">
        <v>128</v>
      </c>
      <c r="E253" s="74"/>
      <c r="F253" s="74"/>
      <c r="G253" s="75" t="str">
        <f>IF(stdProdLT(Main[[#This Row],[Comments]])=0.1,"N/A",IF(stdProdLT(Main[[#This Row],[Comments]])=0,"",stdProdLT(Main[[#This Row],[Comments]])))</f>
        <v/>
      </c>
      <c r="H253" s="76" t="str">
        <f>IF(AND(Main[[#This Row],[In Stock Date]]&lt;&gt;"",Main[[#This Row],[Revised Due Date]]&lt;&gt;""),Main[[#This Row],[In Stock Date]]-Main[[#This Row],[Revised Due Date]],"")</f>
        <v/>
      </c>
      <c r="I253" s="72" t="s">
        <v>129</v>
      </c>
      <c r="J253" s="72" t="s">
        <v>4</v>
      </c>
      <c r="K253" s="72" t="s">
        <v>4</v>
      </c>
      <c r="L253" s="74"/>
      <c r="M253" s="77" t="str">
        <f>IF(Main[[#This Row],[Tech Start Date]]&lt;1/1/1990,"",IF(Main[[#This Row],[Class]]="C",WORKDAY(Main[[#This Row],[Tech Start Date]],9),IF(Main[[#This Row],[Class]]="B", WORKDAY(Main[[#This Row],[Tech Start Date]],6),IF(Main[[#This Row],[Class]]="A",WORKDAY(Main[[#This Row],[Tech Start Date]],2),""))))</f>
        <v/>
      </c>
      <c r="N253" s="77" t="str">
        <f>IF(Main[[#This Row],[Tech Start Date]]&lt;1/1/1990,"",IF(Main[[#This Row],[Class]]="C",WORKDAY(Main[[#This Row],[Tech Start Date]],19),IF(Main[[#This Row],[Class]]="B", WORKDAY(Main[[#This Row],[Tech Start Date]],12),IF(Main[[#This Row],[Class]]="A",WORKDAY(Main[[#This Row],[Tech Start Date]],4),""))))</f>
        <v/>
      </c>
      <c r="O253" s="77" t="str">
        <f>IF(Main[[#This Row],[Tech Start Date]]&lt;1/1/1990,"",IF(Main[[#This Row],[Class]]="C",WORKDAY(Main[[#This Row],[Tech Start Date]],23),IF(Main[[#This Row],[Class]]="B", WORKDAY(Main[[#This Row],[Tech Start Date]],15),IF(Main[[#This Row],[Class]]="A",WORKDAY(Main[[#This Row],[Tech Start Date]],5),""))))</f>
        <v/>
      </c>
      <c r="P253" s="77" t="str">
        <f>IF(Main[[#This Row],[Tech Start Date]]&lt;1/1/1990,"",IF(Main[[#This Row],[Class]]="C",WORKDAY(Main[[#This Row],[Tech Start Date]],28),IF(Main[[#This Row],[Class]]="B", WORKDAY(Main[[#This Row],[Tech Start Date]],19),IF(Main[[#This Row],[Class]]="A",WORKDAY(Main[[#This Row],[Tech Start Date]],9),""))))</f>
        <v/>
      </c>
      <c r="Q253" s="74"/>
      <c r="R253" s="74"/>
      <c r="S253" s="72" t="s">
        <v>17</v>
      </c>
      <c r="T253" s="80" t="s">
        <v>4</v>
      </c>
      <c r="U253" s="72" t="s">
        <v>14</v>
      </c>
      <c r="V253" s="72" t="s">
        <v>1937</v>
      </c>
      <c r="W253" s="72" t="s">
        <v>1941</v>
      </c>
      <c r="X253" s="72" t="s">
        <v>937</v>
      </c>
      <c r="Y253" s="72" t="s">
        <v>3150</v>
      </c>
      <c r="Z253" s="72" t="s">
        <v>4</v>
      </c>
    </row>
    <row r="254" spans="1:26" ht="18.600000000000001" customHeight="1">
      <c r="A254" s="142" t="str">
        <f>IF(priority(Main[[#This Row],[Comments]])&lt;&gt;0, priority(Main[[#This Row],[Comments]]),"")</f>
        <v/>
      </c>
      <c r="B254" s="90" t="s">
        <v>1109</v>
      </c>
      <c r="C254" s="72" t="s">
        <v>31</v>
      </c>
      <c r="D254" s="73" t="s">
        <v>143</v>
      </c>
      <c r="E254" s="74"/>
      <c r="F254" s="74"/>
      <c r="G254" s="75" t="str">
        <f>IF(stdProdLT(Main[[#This Row],[Comments]])=0.1,"N/A",IF(stdProdLT(Main[[#This Row],[Comments]])=0,"",stdProdLT(Main[[#This Row],[Comments]])))</f>
        <v/>
      </c>
      <c r="H254" s="76" t="str">
        <f>IF(AND(Main[[#This Row],[In Stock Date]]&lt;&gt;"",Main[[#This Row],[Revised Due Date]]&lt;&gt;""),Main[[#This Row],[In Stock Date]]-Main[[#This Row],[Revised Due Date]],"")</f>
        <v/>
      </c>
      <c r="I254" s="72" t="s">
        <v>4</v>
      </c>
      <c r="J254" s="72" t="s">
        <v>4</v>
      </c>
      <c r="K254" s="72" t="s">
        <v>4</v>
      </c>
      <c r="L254" s="74"/>
      <c r="M254" s="77" t="str">
        <f>IF(Main[[#This Row],[Tech Start Date]]&lt;1/1/1990,"",IF(Main[[#This Row],[Class]]="C",WORKDAY(Main[[#This Row],[Tech Start Date]],9),IF(Main[[#This Row],[Class]]="B", WORKDAY(Main[[#This Row],[Tech Start Date]],6),IF(Main[[#This Row],[Class]]="A",WORKDAY(Main[[#This Row],[Tech Start Date]],2),""))))</f>
        <v/>
      </c>
      <c r="N254" s="77" t="str">
        <f>IF(Main[[#This Row],[Tech Start Date]]&lt;1/1/1990,"",IF(Main[[#This Row],[Class]]="C",WORKDAY(Main[[#This Row],[Tech Start Date]],19),IF(Main[[#This Row],[Class]]="B", WORKDAY(Main[[#This Row],[Tech Start Date]],12),IF(Main[[#This Row],[Class]]="A",WORKDAY(Main[[#This Row],[Tech Start Date]],4),""))))</f>
        <v/>
      </c>
      <c r="O254" s="77" t="str">
        <f>IF(Main[[#This Row],[Tech Start Date]]&lt;1/1/1990,"",IF(Main[[#This Row],[Class]]="C",WORKDAY(Main[[#This Row],[Tech Start Date]],23),IF(Main[[#This Row],[Class]]="B", WORKDAY(Main[[#This Row],[Tech Start Date]],15),IF(Main[[#This Row],[Class]]="A",WORKDAY(Main[[#This Row],[Tech Start Date]],5),""))))</f>
        <v/>
      </c>
      <c r="P254" s="77" t="str">
        <f>IF(Main[[#This Row],[Tech Start Date]]&lt;1/1/1990,"",IF(Main[[#This Row],[Class]]="C",WORKDAY(Main[[#This Row],[Tech Start Date]],28),IF(Main[[#This Row],[Class]]="B", WORKDAY(Main[[#This Row],[Tech Start Date]],19),IF(Main[[#This Row],[Class]]="A",WORKDAY(Main[[#This Row],[Tech Start Date]],9),""))))</f>
        <v/>
      </c>
      <c r="Q254" s="74">
        <v>40318</v>
      </c>
      <c r="R254" s="74"/>
      <c r="S254" s="72" t="s">
        <v>11</v>
      </c>
      <c r="T254" s="80" t="s">
        <v>4</v>
      </c>
      <c r="U254" s="72" t="s">
        <v>14</v>
      </c>
      <c r="V254" s="72" t="s">
        <v>1940</v>
      </c>
      <c r="W254" s="72" t="s">
        <v>1939</v>
      </c>
      <c r="X254" s="72" t="s">
        <v>2982</v>
      </c>
      <c r="Y254" s="72" t="s">
        <v>4</v>
      </c>
      <c r="Z254" s="72" t="s">
        <v>4</v>
      </c>
    </row>
    <row r="255" spans="1:26" ht="18.600000000000001" customHeight="1">
      <c r="A255" s="142" t="str">
        <f>IF(priority(Main[[#This Row],[Comments]])&lt;&gt;0, priority(Main[[#This Row],[Comments]]),"")</f>
        <v/>
      </c>
      <c r="B255" s="90" t="s">
        <v>2370</v>
      </c>
      <c r="C255" s="72" t="s">
        <v>352</v>
      </c>
      <c r="D255" s="73" t="s">
        <v>2371</v>
      </c>
      <c r="E255" s="74"/>
      <c r="F255" s="74"/>
      <c r="G255" s="75" t="str">
        <f>IF(stdProdLT(Main[[#This Row],[Comments]])=0.1,"N/A",IF(stdProdLT(Main[[#This Row],[Comments]])=0,"",stdProdLT(Main[[#This Row],[Comments]])))</f>
        <v/>
      </c>
      <c r="H255" s="76" t="str">
        <f>IF(AND(Main[[#This Row],[In Stock Date]]&lt;&gt;"",Main[[#This Row],[Revised Due Date]]&lt;&gt;""),Main[[#This Row],[In Stock Date]]-Main[[#This Row],[Revised Due Date]],"")</f>
        <v/>
      </c>
      <c r="I255" s="72" t="s">
        <v>4</v>
      </c>
      <c r="J255" s="72" t="s">
        <v>4</v>
      </c>
      <c r="K255" s="81" t="s">
        <v>4</v>
      </c>
      <c r="L255" s="74"/>
      <c r="M255" s="77" t="str">
        <f>IF(Main[[#This Row],[Tech Start Date]]&lt;1/1/1990,"",IF(Main[[#This Row],[Class]]="C",WORKDAY(Main[[#This Row],[Tech Start Date]],9),IF(Main[[#This Row],[Class]]="B", WORKDAY(Main[[#This Row],[Tech Start Date]],6),IF(Main[[#This Row],[Class]]="A",WORKDAY(Main[[#This Row],[Tech Start Date]],2),""))))</f>
        <v/>
      </c>
      <c r="N255" s="77" t="str">
        <f>IF(Main[[#This Row],[Tech Start Date]]&lt;1/1/1990,"",IF(Main[[#This Row],[Class]]="C",WORKDAY(Main[[#This Row],[Tech Start Date]],19),IF(Main[[#This Row],[Class]]="B", WORKDAY(Main[[#This Row],[Tech Start Date]],12),IF(Main[[#This Row],[Class]]="A",WORKDAY(Main[[#This Row],[Tech Start Date]],4),""))))</f>
        <v/>
      </c>
      <c r="O255" s="77" t="str">
        <f>IF(Main[[#This Row],[Tech Start Date]]&lt;1/1/1990,"",IF(Main[[#This Row],[Class]]="C",WORKDAY(Main[[#This Row],[Tech Start Date]],23),IF(Main[[#This Row],[Class]]="B", WORKDAY(Main[[#This Row],[Tech Start Date]],15),IF(Main[[#This Row],[Class]]="A",WORKDAY(Main[[#This Row],[Tech Start Date]],5),""))))</f>
        <v/>
      </c>
      <c r="P255" s="77" t="str">
        <f>IF(Main[[#This Row],[Tech Start Date]]&lt;1/1/1990,"",IF(Main[[#This Row],[Class]]="C",WORKDAY(Main[[#This Row],[Tech Start Date]],28),IF(Main[[#This Row],[Class]]="B", WORKDAY(Main[[#This Row],[Tech Start Date]],19),IF(Main[[#This Row],[Class]]="A",WORKDAY(Main[[#This Row],[Tech Start Date]],9),""))))</f>
        <v/>
      </c>
      <c r="Q255" s="74">
        <v>40847</v>
      </c>
      <c r="R255" s="74"/>
      <c r="S255" s="72" t="s">
        <v>4</v>
      </c>
      <c r="T255" s="80" t="s">
        <v>4</v>
      </c>
      <c r="U255" s="72" t="s">
        <v>12</v>
      </c>
      <c r="V255" s="72" t="s">
        <v>1937</v>
      </c>
      <c r="W255" s="72" t="s">
        <v>4</v>
      </c>
      <c r="X255" s="72" t="s">
        <v>3001</v>
      </c>
      <c r="Y255" s="72" t="s">
        <v>3141</v>
      </c>
      <c r="Z255" s="72" t="s">
        <v>4</v>
      </c>
    </row>
    <row r="256" spans="1:26" ht="18.600000000000001" customHeight="1">
      <c r="A256" s="142" t="str">
        <f>IF(priority(Main[[#This Row],[Comments]])&lt;&gt;0, priority(Main[[#This Row],[Comments]]),"")</f>
        <v/>
      </c>
      <c r="B256" s="90" t="s">
        <v>2095</v>
      </c>
      <c r="C256" s="72" t="s">
        <v>4</v>
      </c>
      <c r="D256" s="73" t="s">
        <v>2096</v>
      </c>
      <c r="E256" s="74"/>
      <c r="F256" s="74"/>
      <c r="G256" s="75" t="str">
        <f>IF(stdProdLT(Main[[#This Row],[Comments]])=0.1,"N/A",IF(stdProdLT(Main[[#This Row],[Comments]])=0,"",stdProdLT(Main[[#This Row],[Comments]])))</f>
        <v/>
      </c>
      <c r="H256" s="76" t="str">
        <f>IF(AND(Main[[#This Row],[In Stock Date]]&lt;&gt;"",Main[[#This Row],[Revised Due Date]]&lt;&gt;""),Main[[#This Row],[In Stock Date]]-Main[[#This Row],[Revised Due Date]],"")</f>
        <v/>
      </c>
      <c r="I256" s="72" t="s">
        <v>4</v>
      </c>
      <c r="J256" s="72" t="s">
        <v>4</v>
      </c>
      <c r="K256" s="72" t="s">
        <v>4</v>
      </c>
      <c r="L256" s="74"/>
      <c r="M256" s="77" t="str">
        <f>IF(Main[[#This Row],[Tech Start Date]]&lt;1/1/1990,"",IF(Main[[#This Row],[Class]]="C",WORKDAY(Main[[#This Row],[Tech Start Date]],9),IF(Main[[#This Row],[Class]]="B", WORKDAY(Main[[#This Row],[Tech Start Date]],6),IF(Main[[#This Row],[Class]]="A",WORKDAY(Main[[#This Row],[Tech Start Date]],2),""))))</f>
        <v/>
      </c>
      <c r="N256" s="77" t="str">
        <f>IF(Main[[#This Row],[Tech Start Date]]&lt;1/1/1990,"",IF(Main[[#This Row],[Class]]="C",WORKDAY(Main[[#This Row],[Tech Start Date]],19),IF(Main[[#This Row],[Class]]="B", WORKDAY(Main[[#This Row],[Tech Start Date]],12),IF(Main[[#This Row],[Class]]="A",WORKDAY(Main[[#This Row],[Tech Start Date]],4),""))))</f>
        <v/>
      </c>
      <c r="O256" s="77" t="str">
        <f>IF(Main[[#This Row],[Tech Start Date]]&lt;1/1/1990,"",IF(Main[[#This Row],[Class]]="C",WORKDAY(Main[[#This Row],[Tech Start Date]],23),IF(Main[[#This Row],[Class]]="B", WORKDAY(Main[[#This Row],[Tech Start Date]],15),IF(Main[[#This Row],[Class]]="A",WORKDAY(Main[[#This Row],[Tech Start Date]],5),""))))</f>
        <v/>
      </c>
      <c r="P256" s="77" t="str">
        <f>IF(Main[[#This Row],[Tech Start Date]]&lt;1/1/1990,"",IF(Main[[#This Row],[Class]]="C",WORKDAY(Main[[#This Row],[Tech Start Date]],28),IF(Main[[#This Row],[Class]]="B", WORKDAY(Main[[#This Row],[Tech Start Date]],19),IF(Main[[#This Row],[Class]]="A",WORKDAY(Main[[#This Row],[Tech Start Date]],9),""))))</f>
        <v/>
      </c>
      <c r="Q256" s="74"/>
      <c r="R256" s="74"/>
      <c r="S256" s="72" t="s">
        <v>6</v>
      </c>
      <c r="T256" s="80" t="s">
        <v>4</v>
      </c>
      <c r="U256" s="72" t="s">
        <v>14</v>
      </c>
      <c r="V256" s="72" t="s">
        <v>1947</v>
      </c>
      <c r="W256" s="72" t="s">
        <v>1941</v>
      </c>
      <c r="X256" s="72" t="s">
        <v>311</v>
      </c>
      <c r="Y256" s="72" t="s">
        <v>4</v>
      </c>
      <c r="Z256" s="72" t="s">
        <v>4</v>
      </c>
    </row>
    <row r="257" spans="1:26" ht="18.600000000000001" customHeight="1">
      <c r="A257" s="142" t="str">
        <f>IF(priority(Main[[#This Row],[Comments]])&lt;&gt;0, priority(Main[[#This Row],[Comments]]),"")</f>
        <v/>
      </c>
      <c r="B257" s="90" t="s">
        <v>2372</v>
      </c>
      <c r="C257" s="72" t="s">
        <v>4</v>
      </c>
      <c r="D257" s="73" t="s">
        <v>2373</v>
      </c>
      <c r="E257" s="74">
        <v>40841.293483796297</v>
      </c>
      <c r="F257" s="74"/>
      <c r="G257" s="75" t="str">
        <f>IF(stdProdLT(Main[[#This Row],[Comments]])=0.1,"N/A",IF(stdProdLT(Main[[#This Row],[Comments]])=0,"",stdProdLT(Main[[#This Row],[Comments]])))</f>
        <v/>
      </c>
      <c r="H257" s="76" t="str">
        <f>IF(AND(Main[[#This Row],[In Stock Date]]&lt;&gt;"",Main[[#This Row],[Revised Due Date]]&lt;&gt;""),Main[[#This Row],[In Stock Date]]-Main[[#This Row],[Revised Due Date]],"")</f>
        <v/>
      </c>
      <c r="I257" s="72" t="s">
        <v>927</v>
      </c>
      <c r="J257" s="72" t="s">
        <v>52</v>
      </c>
      <c r="K257" s="72" t="s">
        <v>4</v>
      </c>
      <c r="L257" s="74"/>
      <c r="M257" s="77" t="str">
        <f>IF(Main[[#This Row],[Tech Start Date]]&lt;1/1/1990,"",IF(Main[[#This Row],[Class]]="C",WORKDAY(Main[[#This Row],[Tech Start Date]],9),IF(Main[[#This Row],[Class]]="B", WORKDAY(Main[[#This Row],[Tech Start Date]],6),IF(Main[[#This Row],[Class]]="A",WORKDAY(Main[[#This Row],[Tech Start Date]],2),""))))</f>
        <v/>
      </c>
      <c r="N257" s="77" t="str">
        <f>IF(Main[[#This Row],[Tech Start Date]]&lt;1/1/1990,"",IF(Main[[#This Row],[Class]]="C",WORKDAY(Main[[#This Row],[Tech Start Date]],19),IF(Main[[#This Row],[Class]]="B", WORKDAY(Main[[#This Row],[Tech Start Date]],12),IF(Main[[#This Row],[Class]]="A",WORKDAY(Main[[#This Row],[Tech Start Date]],4),""))))</f>
        <v/>
      </c>
      <c r="O257" s="77" t="str">
        <f>IF(Main[[#This Row],[Tech Start Date]]&lt;1/1/1990,"",IF(Main[[#This Row],[Class]]="C",WORKDAY(Main[[#This Row],[Tech Start Date]],23),IF(Main[[#This Row],[Class]]="B", WORKDAY(Main[[#This Row],[Tech Start Date]],15),IF(Main[[#This Row],[Class]]="A",WORKDAY(Main[[#This Row],[Tech Start Date]],5),""))))</f>
        <v/>
      </c>
      <c r="P257" s="77" t="str">
        <f>IF(Main[[#This Row],[Tech Start Date]]&lt;1/1/1990,"",IF(Main[[#This Row],[Class]]="C",WORKDAY(Main[[#This Row],[Tech Start Date]],28),IF(Main[[#This Row],[Class]]="B", WORKDAY(Main[[#This Row],[Tech Start Date]],19),IF(Main[[#This Row],[Class]]="A",WORKDAY(Main[[#This Row],[Tech Start Date]],9),""))))</f>
        <v/>
      </c>
      <c r="Q257" s="74"/>
      <c r="R257" s="74"/>
      <c r="S257" s="72" t="s">
        <v>6</v>
      </c>
      <c r="T257" s="80" t="s">
        <v>4</v>
      </c>
      <c r="U257" s="72" t="s">
        <v>29</v>
      </c>
      <c r="V257" s="72" t="s">
        <v>1937</v>
      </c>
      <c r="W257" s="72" t="s">
        <v>1941</v>
      </c>
      <c r="X257" s="72" t="s">
        <v>953</v>
      </c>
      <c r="Y257" s="72" t="s">
        <v>3142</v>
      </c>
      <c r="Z257" s="72" t="s">
        <v>4</v>
      </c>
    </row>
    <row r="258" spans="1:26" ht="18.600000000000001" customHeight="1">
      <c r="A258" s="142" t="str">
        <f>IF(priority(Main[[#This Row],[Comments]])&lt;&gt;0, priority(Main[[#This Row],[Comments]]),"")</f>
        <v/>
      </c>
      <c r="B258" s="90" t="s">
        <v>1110</v>
      </c>
      <c r="C258" s="72" t="s">
        <v>33</v>
      </c>
      <c r="D258" s="73" t="s">
        <v>144</v>
      </c>
      <c r="E258" s="74"/>
      <c r="F258" s="74">
        <v>40422</v>
      </c>
      <c r="G258" s="75" t="str">
        <f>IF(stdProdLT(Main[[#This Row],[Comments]])=0.1,"N/A",IF(stdProdLT(Main[[#This Row],[Comments]])=0,"",stdProdLT(Main[[#This Row],[Comments]])))</f>
        <v/>
      </c>
      <c r="H258" s="76" t="str">
        <f>IF(AND(Main[[#This Row],[In Stock Date]]&lt;&gt;"",Main[[#This Row],[Revised Due Date]]&lt;&gt;""),Main[[#This Row],[In Stock Date]]-Main[[#This Row],[Revised Due Date]],"")</f>
        <v/>
      </c>
      <c r="I258" s="72" t="s">
        <v>4</v>
      </c>
      <c r="J258" s="72" t="s">
        <v>4</v>
      </c>
      <c r="K258" s="72" t="s">
        <v>4</v>
      </c>
      <c r="L258" s="74"/>
      <c r="M258" s="77" t="str">
        <f>IF(Main[[#This Row],[Tech Start Date]]&lt;1/1/1990,"",IF(Main[[#This Row],[Class]]="C",WORKDAY(Main[[#This Row],[Tech Start Date]],9),IF(Main[[#This Row],[Class]]="B", WORKDAY(Main[[#This Row],[Tech Start Date]],6),IF(Main[[#This Row],[Class]]="A",WORKDAY(Main[[#This Row],[Tech Start Date]],2),""))))</f>
        <v/>
      </c>
      <c r="N258" s="77" t="str">
        <f>IF(Main[[#This Row],[Tech Start Date]]&lt;1/1/1990,"",IF(Main[[#This Row],[Class]]="C",WORKDAY(Main[[#This Row],[Tech Start Date]],19),IF(Main[[#This Row],[Class]]="B", WORKDAY(Main[[#This Row],[Tech Start Date]],12),IF(Main[[#This Row],[Class]]="A",WORKDAY(Main[[#This Row],[Tech Start Date]],4),""))))</f>
        <v/>
      </c>
      <c r="O258" s="77" t="str">
        <f>IF(Main[[#This Row],[Tech Start Date]]&lt;1/1/1990,"",IF(Main[[#This Row],[Class]]="C",WORKDAY(Main[[#This Row],[Tech Start Date]],23),IF(Main[[#This Row],[Class]]="B", WORKDAY(Main[[#This Row],[Tech Start Date]],15),IF(Main[[#This Row],[Class]]="A",WORKDAY(Main[[#This Row],[Tech Start Date]],5),""))))</f>
        <v/>
      </c>
      <c r="P258" s="77" t="str">
        <f>IF(Main[[#This Row],[Tech Start Date]]&lt;1/1/1990,"",IF(Main[[#This Row],[Class]]="C",WORKDAY(Main[[#This Row],[Tech Start Date]],28),IF(Main[[#This Row],[Class]]="B", WORKDAY(Main[[#This Row],[Tech Start Date]],19),IF(Main[[#This Row],[Class]]="A",WORKDAY(Main[[#This Row],[Tech Start Date]],9),""))))</f>
        <v/>
      </c>
      <c r="Q258" s="74">
        <v>40282</v>
      </c>
      <c r="R258" s="74"/>
      <c r="S258" s="72" t="s">
        <v>11</v>
      </c>
      <c r="T258" s="80" t="s">
        <v>4</v>
      </c>
      <c r="U258" s="72" t="s">
        <v>14</v>
      </c>
      <c r="V258" s="72" t="s">
        <v>1940</v>
      </c>
      <c r="W258" s="72" t="s">
        <v>1942</v>
      </c>
      <c r="X258" s="72" t="s">
        <v>3002</v>
      </c>
      <c r="Y258" s="72" t="s">
        <v>4</v>
      </c>
      <c r="Z258" s="72" t="s">
        <v>4</v>
      </c>
    </row>
    <row r="259" spans="1:26" ht="18.600000000000001" customHeight="1">
      <c r="A259" s="142" t="str">
        <f>IF(priority(Main[[#This Row],[Comments]])&lt;&gt;0, priority(Main[[#This Row],[Comments]]),"")</f>
        <v/>
      </c>
      <c r="B259" s="90" t="s">
        <v>1111</v>
      </c>
      <c r="C259" s="72" t="s">
        <v>4</v>
      </c>
      <c r="D259" s="73" t="s">
        <v>145</v>
      </c>
      <c r="E259" s="74">
        <v>40395.405358796299</v>
      </c>
      <c r="F259" s="74">
        <v>40574</v>
      </c>
      <c r="G259" s="75" t="str">
        <f>IF(stdProdLT(Main[[#This Row],[Comments]])=0.1,"N/A",IF(stdProdLT(Main[[#This Row],[Comments]])=0,"",stdProdLT(Main[[#This Row],[Comments]])))</f>
        <v/>
      </c>
      <c r="H259" s="76" t="str">
        <f>IF(AND(Main[[#This Row],[In Stock Date]]&lt;&gt;"",Main[[#This Row],[Revised Due Date]]&lt;&gt;""),Main[[#This Row],[In Stock Date]]-Main[[#This Row],[Revised Due Date]],"")</f>
        <v/>
      </c>
      <c r="I259" s="72" t="s">
        <v>4</v>
      </c>
      <c r="J259" s="72" t="s">
        <v>28</v>
      </c>
      <c r="K259" s="72" t="s">
        <v>4</v>
      </c>
      <c r="L259" s="74"/>
      <c r="M259" s="77" t="str">
        <f>IF(Main[[#This Row],[Tech Start Date]]&lt;1/1/1990,"",IF(Main[[#This Row],[Class]]="C",WORKDAY(Main[[#This Row],[Tech Start Date]],9),IF(Main[[#This Row],[Class]]="B", WORKDAY(Main[[#This Row],[Tech Start Date]],6),IF(Main[[#This Row],[Class]]="A",WORKDAY(Main[[#This Row],[Tech Start Date]],2),""))))</f>
        <v/>
      </c>
      <c r="N259" s="77" t="str">
        <f>IF(Main[[#This Row],[Tech Start Date]]&lt;1/1/1990,"",IF(Main[[#This Row],[Class]]="C",WORKDAY(Main[[#This Row],[Tech Start Date]],19),IF(Main[[#This Row],[Class]]="B", WORKDAY(Main[[#This Row],[Tech Start Date]],12),IF(Main[[#This Row],[Class]]="A",WORKDAY(Main[[#This Row],[Tech Start Date]],4),""))))</f>
        <v/>
      </c>
      <c r="O259" s="77" t="str">
        <f>IF(Main[[#This Row],[Tech Start Date]]&lt;1/1/1990,"",IF(Main[[#This Row],[Class]]="C",WORKDAY(Main[[#This Row],[Tech Start Date]],23),IF(Main[[#This Row],[Class]]="B", WORKDAY(Main[[#This Row],[Tech Start Date]],15),IF(Main[[#This Row],[Class]]="A",WORKDAY(Main[[#This Row],[Tech Start Date]],5),""))))</f>
        <v/>
      </c>
      <c r="P259" s="77" t="str">
        <f>IF(Main[[#This Row],[Tech Start Date]]&lt;1/1/1990,"",IF(Main[[#This Row],[Class]]="C",WORKDAY(Main[[#This Row],[Tech Start Date]],28),IF(Main[[#This Row],[Class]]="B", WORKDAY(Main[[#This Row],[Tech Start Date]],19),IF(Main[[#This Row],[Class]]="A",WORKDAY(Main[[#This Row],[Tech Start Date]],9),""))))</f>
        <v/>
      </c>
      <c r="Q259" s="74"/>
      <c r="R259" s="74"/>
      <c r="S259" s="72" t="s">
        <v>17</v>
      </c>
      <c r="T259" s="80" t="s">
        <v>4</v>
      </c>
      <c r="U259" s="72" t="s">
        <v>7</v>
      </c>
      <c r="V259" s="72" t="s">
        <v>1938</v>
      </c>
      <c r="W259" s="72" t="s">
        <v>1942</v>
      </c>
      <c r="X259" s="72" t="s">
        <v>50</v>
      </c>
      <c r="Y259" s="72" t="s">
        <v>3143</v>
      </c>
      <c r="Z259" s="72" t="s">
        <v>3014</v>
      </c>
    </row>
    <row r="260" spans="1:26" ht="18.600000000000001" customHeight="1">
      <c r="A260" s="142" t="str">
        <f>IF(priority(Main[[#This Row],[Comments]])&lt;&gt;0, priority(Main[[#This Row],[Comments]]),"")</f>
        <v/>
      </c>
      <c r="B260" s="90" t="s">
        <v>1099</v>
      </c>
      <c r="C260" s="72" t="s">
        <v>4</v>
      </c>
      <c r="D260" s="73" t="s">
        <v>134</v>
      </c>
      <c r="E260" s="74"/>
      <c r="F260" s="74"/>
      <c r="G260" s="75" t="str">
        <f>IF(stdProdLT(Main[[#This Row],[Comments]])=0.1,"N/A",IF(stdProdLT(Main[[#This Row],[Comments]])=0,"",stdProdLT(Main[[#This Row],[Comments]])))</f>
        <v/>
      </c>
      <c r="H260" s="76" t="str">
        <f>IF(AND(Main[[#This Row],[In Stock Date]]&lt;&gt;"",Main[[#This Row],[Revised Due Date]]&lt;&gt;""),Main[[#This Row],[In Stock Date]]-Main[[#This Row],[Revised Due Date]],"")</f>
        <v/>
      </c>
      <c r="I260" s="72" t="s">
        <v>69</v>
      </c>
      <c r="J260" s="72" t="s">
        <v>70</v>
      </c>
      <c r="K260" s="81" t="s">
        <v>1946</v>
      </c>
      <c r="L260" s="74"/>
      <c r="M260" s="77" t="str">
        <f>IF(Main[[#This Row],[Tech Start Date]]&lt;1/1/1990,"",IF(Main[[#This Row],[Class]]="C",WORKDAY(Main[[#This Row],[Tech Start Date]],9),IF(Main[[#This Row],[Class]]="B", WORKDAY(Main[[#This Row],[Tech Start Date]],6),IF(Main[[#This Row],[Class]]="A",WORKDAY(Main[[#This Row],[Tech Start Date]],2),""))))</f>
        <v/>
      </c>
      <c r="N260" s="77" t="str">
        <f>IF(Main[[#This Row],[Tech Start Date]]&lt;1/1/1990,"",IF(Main[[#This Row],[Class]]="C",WORKDAY(Main[[#This Row],[Tech Start Date]],19),IF(Main[[#This Row],[Class]]="B", WORKDAY(Main[[#This Row],[Tech Start Date]],12),IF(Main[[#This Row],[Class]]="A",WORKDAY(Main[[#This Row],[Tech Start Date]],4),""))))</f>
        <v/>
      </c>
      <c r="O260" s="77" t="str">
        <f>IF(Main[[#This Row],[Tech Start Date]]&lt;1/1/1990,"",IF(Main[[#This Row],[Class]]="C",WORKDAY(Main[[#This Row],[Tech Start Date]],23),IF(Main[[#This Row],[Class]]="B", WORKDAY(Main[[#This Row],[Tech Start Date]],15),IF(Main[[#This Row],[Class]]="A",WORKDAY(Main[[#This Row],[Tech Start Date]],5),""))))</f>
        <v/>
      </c>
      <c r="P260" s="77" t="str">
        <f>IF(Main[[#This Row],[Tech Start Date]]&lt;1/1/1990,"",IF(Main[[#This Row],[Class]]="C",WORKDAY(Main[[#This Row],[Tech Start Date]],28),IF(Main[[#This Row],[Class]]="B", WORKDAY(Main[[#This Row],[Tech Start Date]],19),IF(Main[[#This Row],[Class]]="A",WORKDAY(Main[[#This Row],[Tech Start Date]],9),""))))</f>
        <v/>
      </c>
      <c r="Q260" s="74">
        <v>40633</v>
      </c>
      <c r="R260" s="74"/>
      <c r="S260" s="72" t="s">
        <v>6</v>
      </c>
      <c r="T260" s="80" t="s">
        <v>4</v>
      </c>
      <c r="U260" s="72" t="s">
        <v>14</v>
      </c>
      <c r="V260" s="72" t="s">
        <v>1940</v>
      </c>
      <c r="W260" s="72" t="s">
        <v>1941</v>
      </c>
      <c r="X260" s="72" t="s">
        <v>2971</v>
      </c>
      <c r="Y260" s="72" t="s">
        <v>3090</v>
      </c>
      <c r="Z260" s="72" t="s">
        <v>44</v>
      </c>
    </row>
    <row r="261" spans="1:26" ht="18.600000000000001" customHeight="1">
      <c r="A261" s="142" t="str">
        <f>IF(priority(Main[[#This Row],[Comments]])&lt;&gt;0, priority(Main[[#This Row],[Comments]]),"")</f>
        <v/>
      </c>
      <c r="B261" s="90" t="s">
        <v>1113</v>
      </c>
      <c r="C261" s="72" t="s">
        <v>47</v>
      </c>
      <c r="D261" s="73" t="s">
        <v>147</v>
      </c>
      <c r="E261" s="74"/>
      <c r="F261" s="74"/>
      <c r="G261" s="75" t="str">
        <f>IF(stdProdLT(Main[[#This Row],[Comments]])=0.1,"N/A",IF(stdProdLT(Main[[#This Row],[Comments]])=0,"",stdProdLT(Main[[#This Row],[Comments]])))</f>
        <v/>
      </c>
      <c r="H261" s="76" t="str">
        <f>IF(AND(Main[[#This Row],[In Stock Date]]&lt;&gt;"",Main[[#This Row],[Revised Due Date]]&lt;&gt;""),Main[[#This Row],[In Stock Date]]-Main[[#This Row],[Revised Due Date]],"")</f>
        <v/>
      </c>
      <c r="I261" s="72" t="s">
        <v>4</v>
      </c>
      <c r="J261" s="72" t="s">
        <v>4</v>
      </c>
      <c r="K261" s="72" t="s">
        <v>4</v>
      </c>
      <c r="L261" s="74"/>
      <c r="M261" s="77" t="str">
        <f>IF(Main[[#This Row],[Tech Start Date]]&lt;1/1/1990,"",IF(Main[[#This Row],[Class]]="C",WORKDAY(Main[[#This Row],[Tech Start Date]],9),IF(Main[[#This Row],[Class]]="B", WORKDAY(Main[[#This Row],[Tech Start Date]],6),IF(Main[[#This Row],[Class]]="A",WORKDAY(Main[[#This Row],[Tech Start Date]],2),""))))</f>
        <v/>
      </c>
      <c r="N261" s="77" t="str">
        <f>IF(Main[[#This Row],[Tech Start Date]]&lt;1/1/1990,"",IF(Main[[#This Row],[Class]]="C",WORKDAY(Main[[#This Row],[Tech Start Date]],19),IF(Main[[#This Row],[Class]]="B", WORKDAY(Main[[#This Row],[Tech Start Date]],12),IF(Main[[#This Row],[Class]]="A",WORKDAY(Main[[#This Row],[Tech Start Date]],4),""))))</f>
        <v/>
      </c>
      <c r="O261" s="77" t="str">
        <f>IF(Main[[#This Row],[Tech Start Date]]&lt;1/1/1990,"",IF(Main[[#This Row],[Class]]="C",WORKDAY(Main[[#This Row],[Tech Start Date]],23),IF(Main[[#This Row],[Class]]="B", WORKDAY(Main[[#This Row],[Tech Start Date]],15),IF(Main[[#This Row],[Class]]="A",WORKDAY(Main[[#This Row],[Tech Start Date]],5),""))))</f>
        <v/>
      </c>
      <c r="P261" s="77" t="str">
        <f>IF(Main[[#This Row],[Tech Start Date]]&lt;1/1/1990,"",IF(Main[[#This Row],[Class]]="C",WORKDAY(Main[[#This Row],[Tech Start Date]],28),IF(Main[[#This Row],[Class]]="B", WORKDAY(Main[[#This Row],[Tech Start Date]],19),IF(Main[[#This Row],[Class]]="A",WORKDAY(Main[[#This Row],[Tech Start Date]],9),""))))</f>
        <v/>
      </c>
      <c r="Q261" s="74"/>
      <c r="R261" s="74"/>
      <c r="S261" s="72" t="s">
        <v>11</v>
      </c>
      <c r="T261" s="80" t="s">
        <v>4</v>
      </c>
      <c r="U261" s="72" t="s">
        <v>14</v>
      </c>
      <c r="V261" s="72" t="s">
        <v>1938</v>
      </c>
      <c r="W261" s="72" t="s">
        <v>1941</v>
      </c>
      <c r="X261" s="72" t="s">
        <v>404</v>
      </c>
      <c r="Y261" s="72" t="s">
        <v>4</v>
      </c>
      <c r="Z261" s="72" t="s">
        <v>4</v>
      </c>
    </row>
    <row r="262" spans="1:26" ht="18.600000000000001" customHeight="1">
      <c r="A262" s="142" t="str">
        <f>IF(priority(Main[[#This Row],[Comments]])&lt;&gt;0, priority(Main[[#This Row],[Comments]]),"")</f>
        <v/>
      </c>
      <c r="B262" s="90" t="s">
        <v>1114</v>
      </c>
      <c r="C262" s="72" t="s">
        <v>4</v>
      </c>
      <c r="D262" s="73" t="s">
        <v>148</v>
      </c>
      <c r="E262" s="74">
        <v>40666.180879629632</v>
      </c>
      <c r="F262" s="74"/>
      <c r="G262" s="75" t="str">
        <f>IF(stdProdLT(Main[[#This Row],[Comments]])=0.1,"N/A",IF(stdProdLT(Main[[#This Row],[Comments]])=0,"",stdProdLT(Main[[#This Row],[Comments]])))</f>
        <v/>
      </c>
      <c r="H262" s="76" t="str">
        <f>IF(AND(Main[[#This Row],[In Stock Date]]&lt;&gt;"",Main[[#This Row],[Revised Due Date]]&lt;&gt;""),Main[[#This Row],[In Stock Date]]-Main[[#This Row],[Revised Due Date]],"")</f>
        <v/>
      </c>
      <c r="I262" s="72" t="s">
        <v>4</v>
      </c>
      <c r="J262" s="72" t="s">
        <v>4</v>
      </c>
      <c r="K262" s="72" t="s">
        <v>4</v>
      </c>
      <c r="L262" s="74"/>
      <c r="M262" s="77" t="str">
        <f>IF(Main[[#This Row],[Tech Start Date]]&lt;1/1/1990,"",IF(Main[[#This Row],[Class]]="C",WORKDAY(Main[[#This Row],[Tech Start Date]],9),IF(Main[[#This Row],[Class]]="B", WORKDAY(Main[[#This Row],[Tech Start Date]],6),IF(Main[[#This Row],[Class]]="A",WORKDAY(Main[[#This Row],[Tech Start Date]],2),""))))</f>
        <v/>
      </c>
      <c r="N262" s="77" t="str">
        <f>IF(Main[[#This Row],[Tech Start Date]]&lt;1/1/1990,"",IF(Main[[#This Row],[Class]]="C",WORKDAY(Main[[#This Row],[Tech Start Date]],19),IF(Main[[#This Row],[Class]]="B", WORKDAY(Main[[#This Row],[Tech Start Date]],12),IF(Main[[#This Row],[Class]]="A",WORKDAY(Main[[#This Row],[Tech Start Date]],4),""))))</f>
        <v/>
      </c>
      <c r="O262" s="77" t="str">
        <f>IF(Main[[#This Row],[Tech Start Date]]&lt;1/1/1990,"",IF(Main[[#This Row],[Class]]="C",WORKDAY(Main[[#This Row],[Tech Start Date]],23),IF(Main[[#This Row],[Class]]="B", WORKDAY(Main[[#This Row],[Tech Start Date]],15),IF(Main[[#This Row],[Class]]="A",WORKDAY(Main[[#This Row],[Tech Start Date]],5),""))))</f>
        <v/>
      </c>
      <c r="P262" s="77" t="str">
        <f>IF(Main[[#This Row],[Tech Start Date]]&lt;1/1/1990,"",IF(Main[[#This Row],[Class]]="C",WORKDAY(Main[[#This Row],[Tech Start Date]],28),IF(Main[[#This Row],[Class]]="B", WORKDAY(Main[[#This Row],[Tech Start Date]],19),IF(Main[[#This Row],[Class]]="A",WORKDAY(Main[[#This Row],[Tech Start Date]],9),""))))</f>
        <v/>
      </c>
      <c r="Q262" s="74">
        <v>40687</v>
      </c>
      <c r="R262" s="74"/>
      <c r="S262" s="72" t="s">
        <v>6</v>
      </c>
      <c r="T262" s="80" t="s">
        <v>4</v>
      </c>
      <c r="U262" s="72" t="s">
        <v>7</v>
      </c>
      <c r="V262" s="72" t="s">
        <v>1937</v>
      </c>
      <c r="W262" s="72" t="s">
        <v>4</v>
      </c>
      <c r="X262" s="72" t="s">
        <v>3003</v>
      </c>
      <c r="Y262" s="72" t="s">
        <v>3144</v>
      </c>
      <c r="Z262" s="72" t="s">
        <v>4</v>
      </c>
    </row>
    <row r="263" spans="1:26" ht="18.600000000000001" customHeight="1">
      <c r="A263" s="142" t="str">
        <f>IF(priority(Main[[#This Row],[Comments]])&lt;&gt;0, priority(Main[[#This Row],[Comments]]),"")</f>
        <v/>
      </c>
      <c r="B263" s="90" t="s">
        <v>1115</v>
      </c>
      <c r="C263" s="72" t="s">
        <v>149</v>
      </c>
      <c r="D263" s="73" t="s">
        <v>150</v>
      </c>
      <c r="E263" s="74"/>
      <c r="F263" s="74"/>
      <c r="G263" s="75" t="str">
        <f>IF(stdProdLT(Main[[#This Row],[Comments]])=0.1,"N/A",IF(stdProdLT(Main[[#This Row],[Comments]])=0,"",stdProdLT(Main[[#This Row],[Comments]])))</f>
        <v/>
      </c>
      <c r="H263" s="76" t="str">
        <f>IF(AND(Main[[#This Row],[In Stock Date]]&lt;&gt;"",Main[[#This Row],[Revised Due Date]]&lt;&gt;""),Main[[#This Row],[In Stock Date]]-Main[[#This Row],[Revised Due Date]],"")</f>
        <v/>
      </c>
      <c r="I263" s="72" t="s">
        <v>4</v>
      </c>
      <c r="J263" s="72" t="s">
        <v>28</v>
      </c>
      <c r="K263" s="72" t="s">
        <v>4</v>
      </c>
      <c r="L263" s="74"/>
      <c r="M263" s="77" t="str">
        <f>IF(Main[[#This Row],[Tech Start Date]]&lt;1/1/1990,"",IF(Main[[#This Row],[Class]]="C",WORKDAY(Main[[#This Row],[Tech Start Date]],9),IF(Main[[#This Row],[Class]]="B", WORKDAY(Main[[#This Row],[Tech Start Date]],6),IF(Main[[#This Row],[Class]]="A",WORKDAY(Main[[#This Row],[Tech Start Date]],2),""))))</f>
        <v/>
      </c>
      <c r="N263" s="77" t="str">
        <f>IF(Main[[#This Row],[Tech Start Date]]&lt;1/1/1990,"",IF(Main[[#This Row],[Class]]="C",WORKDAY(Main[[#This Row],[Tech Start Date]],19),IF(Main[[#This Row],[Class]]="B", WORKDAY(Main[[#This Row],[Tech Start Date]],12),IF(Main[[#This Row],[Class]]="A",WORKDAY(Main[[#This Row],[Tech Start Date]],4),""))))</f>
        <v/>
      </c>
      <c r="O263" s="77" t="str">
        <f>IF(Main[[#This Row],[Tech Start Date]]&lt;1/1/1990,"",IF(Main[[#This Row],[Class]]="C",WORKDAY(Main[[#This Row],[Tech Start Date]],23),IF(Main[[#This Row],[Class]]="B", WORKDAY(Main[[#This Row],[Tech Start Date]],15),IF(Main[[#This Row],[Class]]="A",WORKDAY(Main[[#This Row],[Tech Start Date]],5),""))))</f>
        <v/>
      </c>
      <c r="P263" s="77" t="str">
        <f>IF(Main[[#This Row],[Tech Start Date]]&lt;1/1/1990,"",IF(Main[[#This Row],[Class]]="C",WORKDAY(Main[[#This Row],[Tech Start Date]],28),IF(Main[[#This Row],[Class]]="B", WORKDAY(Main[[#This Row],[Tech Start Date]],19),IF(Main[[#This Row],[Class]]="A",WORKDAY(Main[[#This Row],[Tech Start Date]],9),""))))</f>
        <v/>
      </c>
      <c r="Q263" s="74">
        <v>40511</v>
      </c>
      <c r="R263" s="74"/>
      <c r="S263" s="72" t="s">
        <v>11</v>
      </c>
      <c r="T263" s="80" t="s">
        <v>4</v>
      </c>
      <c r="U263" s="72" t="s">
        <v>14</v>
      </c>
      <c r="V263" s="72" t="s">
        <v>1940</v>
      </c>
      <c r="W263" s="72" t="s">
        <v>1939</v>
      </c>
      <c r="X263" s="72" t="s">
        <v>2995</v>
      </c>
      <c r="Y263" s="72" t="s">
        <v>3145</v>
      </c>
      <c r="Z263" s="72" t="s">
        <v>536</v>
      </c>
    </row>
    <row r="264" spans="1:26" ht="18.600000000000001" customHeight="1">
      <c r="A264" s="142" t="str">
        <f>IF(priority(Main[[#This Row],[Comments]])&lt;&gt;0, priority(Main[[#This Row],[Comments]]),"")</f>
        <v/>
      </c>
      <c r="B264" s="90" t="s">
        <v>2778</v>
      </c>
      <c r="C264" s="72" t="s">
        <v>4</v>
      </c>
      <c r="D264" s="73" t="s">
        <v>2779</v>
      </c>
      <c r="E264" s="74">
        <v>40905.438483796293</v>
      </c>
      <c r="F264" s="74"/>
      <c r="G264" s="75" t="str">
        <f>IF(stdProdLT(Main[[#This Row],[Comments]])=0.1,"N/A",IF(stdProdLT(Main[[#This Row],[Comments]])=0,"",stdProdLT(Main[[#This Row],[Comments]])))</f>
        <v/>
      </c>
      <c r="H264" s="76" t="str">
        <f>IF(AND(Main[[#This Row],[In Stock Date]]&lt;&gt;"",Main[[#This Row],[Revised Due Date]]&lt;&gt;""),Main[[#This Row],[In Stock Date]]-Main[[#This Row],[Revised Due Date]],"")</f>
        <v/>
      </c>
      <c r="I264" s="72" t="s">
        <v>4</v>
      </c>
      <c r="J264" s="72" t="s">
        <v>4</v>
      </c>
      <c r="K264" s="72" t="s">
        <v>4</v>
      </c>
      <c r="L264" s="74"/>
      <c r="M264" s="77" t="str">
        <f>IF(Main[[#This Row],[Tech Start Date]]&lt;1/1/1990,"",IF(Main[[#This Row],[Class]]="C",WORKDAY(Main[[#This Row],[Tech Start Date]],9),IF(Main[[#This Row],[Class]]="B", WORKDAY(Main[[#This Row],[Tech Start Date]],6),IF(Main[[#This Row],[Class]]="A",WORKDAY(Main[[#This Row],[Tech Start Date]],2),""))))</f>
        <v/>
      </c>
      <c r="N264" s="77" t="str">
        <f>IF(Main[[#This Row],[Tech Start Date]]&lt;1/1/1990,"",IF(Main[[#This Row],[Class]]="C",WORKDAY(Main[[#This Row],[Tech Start Date]],19),IF(Main[[#This Row],[Class]]="B", WORKDAY(Main[[#This Row],[Tech Start Date]],12),IF(Main[[#This Row],[Class]]="A",WORKDAY(Main[[#This Row],[Tech Start Date]],4),""))))</f>
        <v/>
      </c>
      <c r="O264" s="77" t="str">
        <f>IF(Main[[#This Row],[Tech Start Date]]&lt;1/1/1990,"",IF(Main[[#This Row],[Class]]="C",WORKDAY(Main[[#This Row],[Tech Start Date]],23),IF(Main[[#This Row],[Class]]="B", WORKDAY(Main[[#This Row],[Tech Start Date]],15),IF(Main[[#This Row],[Class]]="A",WORKDAY(Main[[#This Row],[Tech Start Date]],5),""))))</f>
        <v/>
      </c>
      <c r="P264" s="77" t="str">
        <f>IF(Main[[#This Row],[Tech Start Date]]&lt;1/1/1990,"",IF(Main[[#This Row],[Class]]="C",WORKDAY(Main[[#This Row],[Tech Start Date]],28),IF(Main[[#This Row],[Class]]="B", WORKDAY(Main[[#This Row],[Tech Start Date]],19),IF(Main[[#This Row],[Class]]="A",WORKDAY(Main[[#This Row],[Tech Start Date]],9),""))))</f>
        <v/>
      </c>
      <c r="Q264" s="74"/>
      <c r="R264" s="74"/>
      <c r="S264" s="72" t="s">
        <v>6</v>
      </c>
      <c r="T264" s="80" t="s">
        <v>4</v>
      </c>
      <c r="U264" s="72" t="s">
        <v>29</v>
      </c>
      <c r="V264" s="72" t="s">
        <v>1937</v>
      </c>
      <c r="W264" s="72" t="s">
        <v>1941</v>
      </c>
      <c r="X264" s="72" t="s">
        <v>953</v>
      </c>
      <c r="Y264" s="72" t="s">
        <v>3142</v>
      </c>
      <c r="Z264" s="72" t="s">
        <v>4</v>
      </c>
    </row>
    <row r="265" spans="1:26" ht="18.600000000000001" customHeight="1">
      <c r="A265" s="142" t="str">
        <f>IF(priority(Main[[#This Row],[Comments]])&lt;&gt;0, priority(Main[[#This Row],[Comments]]),"")</f>
        <v/>
      </c>
      <c r="B265" s="90" t="s">
        <v>1116</v>
      </c>
      <c r="C265" s="72" t="s">
        <v>93</v>
      </c>
      <c r="D265" s="73" t="s">
        <v>151</v>
      </c>
      <c r="E265" s="74"/>
      <c r="F265" s="74"/>
      <c r="G265" s="75" t="str">
        <f>IF(stdProdLT(Main[[#This Row],[Comments]])=0.1,"N/A",IF(stdProdLT(Main[[#This Row],[Comments]])=0,"",stdProdLT(Main[[#This Row],[Comments]])))</f>
        <v/>
      </c>
      <c r="H265" s="76" t="str">
        <f>IF(AND(Main[[#This Row],[In Stock Date]]&lt;&gt;"",Main[[#This Row],[Revised Due Date]]&lt;&gt;""),Main[[#This Row],[In Stock Date]]-Main[[#This Row],[Revised Due Date]],"")</f>
        <v/>
      </c>
      <c r="I265" s="72" t="s">
        <v>4</v>
      </c>
      <c r="J265" s="72" t="s">
        <v>4</v>
      </c>
      <c r="K265" s="72" t="s">
        <v>4</v>
      </c>
      <c r="L265" s="74"/>
      <c r="M265" s="77" t="str">
        <f>IF(Main[[#This Row],[Tech Start Date]]&lt;1/1/1990,"",IF(Main[[#This Row],[Class]]="C",WORKDAY(Main[[#This Row],[Tech Start Date]],9),IF(Main[[#This Row],[Class]]="B", WORKDAY(Main[[#This Row],[Tech Start Date]],6),IF(Main[[#This Row],[Class]]="A",WORKDAY(Main[[#This Row],[Tech Start Date]],2),""))))</f>
        <v/>
      </c>
      <c r="N265" s="77" t="str">
        <f>IF(Main[[#This Row],[Tech Start Date]]&lt;1/1/1990,"",IF(Main[[#This Row],[Class]]="C",WORKDAY(Main[[#This Row],[Tech Start Date]],19),IF(Main[[#This Row],[Class]]="B", WORKDAY(Main[[#This Row],[Tech Start Date]],12),IF(Main[[#This Row],[Class]]="A",WORKDAY(Main[[#This Row],[Tech Start Date]],4),""))))</f>
        <v/>
      </c>
      <c r="O265" s="77" t="str">
        <f>IF(Main[[#This Row],[Tech Start Date]]&lt;1/1/1990,"",IF(Main[[#This Row],[Class]]="C",WORKDAY(Main[[#This Row],[Tech Start Date]],23),IF(Main[[#This Row],[Class]]="B", WORKDAY(Main[[#This Row],[Tech Start Date]],15),IF(Main[[#This Row],[Class]]="A",WORKDAY(Main[[#This Row],[Tech Start Date]],5),""))))</f>
        <v/>
      </c>
      <c r="P265" s="77" t="str">
        <f>IF(Main[[#This Row],[Tech Start Date]]&lt;1/1/1990,"",IF(Main[[#This Row],[Class]]="C",WORKDAY(Main[[#This Row],[Tech Start Date]],28),IF(Main[[#This Row],[Class]]="B", WORKDAY(Main[[#This Row],[Tech Start Date]],19),IF(Main[[#This Row],[Class]]="A",WORKDAY(Main[[#This Row],[Tech Start Date]],9),""))))</f>
        <v/>
      </c>
      <c r="Q265" s="74"/>
      <c r="R265" s="74"/>
      <c r="S265" s="72" t="s">
        <v>11</v>
      </c>
      <c r="T265" s="80" t="s">
        <v>4</v>
      </c>
      <c r="U265" s="72" t="s">
        <v>14</v>
      </c>
      <c r="V265" s="72" t="s">
        <v>1940</v>
      </c>
      <c r="W265" s="72" t="s">
        <v>1943</v>
      </c>
      <c r="X265" s="72" t="s">
        <v>560</v>
      </c>
      <c r="Y265" s="72" t="s">
        <v>3146</v>
      </c>
      <c r="Z265" s="72" t="s">
        <v>4</v>
      </c>
    </row>
    <row r="266" spans="1:26" ht="18.600000000000001" customHeight="1">
      <c r="A266" s="142" t="str">
        <f>IF(priority(Main[[#This Row],[Comments]])&lt;&gt;0, priority(Main[[#This Row],[Comments]]),"")</f>
        <v/>
      </c>
      <c r="B266" s="90" t="s">
        <v>1117</v>
      </c>
      <c r="C266" s="72" t="s">
        <v>26</v>
      </c>
      <c r="D266" s="73" t="s">
        <v>152</v>
      </c>
      <c r="E266" s="74"/>
      <c r="F266" s="74">
        <v>40613</v>
      </c>
      <c r="G266" s="75" t="str">
        <f>IF(stdProdLT(Main[[#This Row],[Comments]])=0.1,"N/A",IF(stdProdLT(Main[[#This Row],[Comments]])=0,"",stdProdLT(Main[[#This Row],[Comments]])))</f>
        <v/>
      </c>
      <c r="H266" s="76" t="str">
        <f>IF(AND(Main[[#This Row],[In Stock Date]]&lt;&gt;"",Main[[#This Row],[Revised Due Date]]&lt;&gt;""),Main[[#This Row],[In Stock Date]]-Main[[#This Row],[Revised Due Date]],"")</f>
        <v/>
      </c>
      <c r="I266" s="72" t="s">
        <v>4</v>
      </c>
      <c r="J266" s="72" t="s">
        <v>28</v>
      </c>
      <c r="K266" s="81" t="s">
        <v>4</v>
      </c>
      <c r="L266" s="74"/>
      <c r="M266" s="77" t="str">
        <f>IF(Main[[#This Row],[Tech Start Date]]&lt;1/1/1990,"",IF(Main[[#This Row],[Class]]="C",WORKDAY(Main[[#This Row],[Tech Start Date]],9),IF(Main[[#This Row],[Class]]="B", WORKDAY(Main[[#This Row],[Tech Start Date]],6),IF(Main[[#This Row],[Class]]="A",WORKDAY(Main[[#This Row],[Tech Start Date]],2),""))))</f>
        <v/>
      </c>
      <c r="N266" s="77" t="str">
        <f>IF(Main[[#This Row],[Tech Start Date]]&lt;1/1/1990,"",IF(Main[[#This Row],[Class]]="C",WORKDAY(Main[[#This Row],[Tech Start Date]],19),IF(Main[[#This Row],[Class]]="B", WORKDAY(Main[[#This Row],[Tech Start Date]],12),IF(Main[[#This Row],[Class]]="A",WORKDAY(Main[[#This Row],[Tech Start Date]],4),""))))</f>
        <v/>
      </c>
      <c r="O266" s="77" t="str">
        <f>IF(Main[[#This Row],[Tech Start Date]]&lt;1/1/1990,"",IF(Main[[#This Row],[Class]]="C",WORKDAY(Main[[#This Row],[Tech Start Date]],23),IF(Main[[#This Row],[Class]]="B", WORKDAY(Main[[#This Row],[Tech Start Date]],15),IF(Main[[#This Row],[Class]]="A",WORKDAY(Main[[#This Row],[Tech Start Date]],5),""))))</f>
        <v/>
      </c>
      <c r="P266" s="77" t="str">
        <f>IF(Main[[#This Row],[Tech Start Date]]&lt;1/1/1990,"",IF(Main[[#This Row],[Class]]="C",WORKDAY(Main[[#This Row],[Tech Start Date]],28),IF(Main[[#This Row],[Class]]="B", WORKDAY(Main[[#This Row],[Tech Start Date]],19),IF(Main[[#This Row],[Class]]="A",WORKDAY(Main[[#This Row],[Tech Start Date]],9),""))))</f>
        <v/>
      </c>
      <c r="Q266" s="74"/>
      <c r="R266" s="74"/>
      <c r="S266" s="72" t="s">
        <v>11</v>
      </c>
      <c r="T266" s="80" t="s">
        <v>4</v>
      </c>
      <c r="U266" s="72" t="s">
        <v>14</v>
      </c>
      <c r="V266" s="72" t="s">
        <v>1937</v>
      </c>
      <c r="W266" s="72" t="s">
        <v>1945</v>
      </c>
      <c r="X266" s="72" t="s">
        <v>2994</v>
      </c>
      <c r="Y266" s="72" t="s">
        <v>3132</v>
      </c>
      <c r="Z266" s="72" t="s">
        <v>129</v>
      </c>
    </row>
    <row r="267" spans="1:26" ht="18.600000000000001" customHeight="1">
      <c r="A267" s="142" t="str">
        <f>IF(priority(Main[[#This Row],[Comments]])&lt;&gt;0, priority(Main[[#This Row],[Comments]]),"")</f>
        <v/>
      </c>
      <c r="B267" s="90" t="s">
        <v>1123</v>
      </c>
      <c r="C267" s="72" t="s">
        <v>4</v>
      </c>
      <c r="D267" s="73" t="s">
        <v>153</v>
      </c>
      <c r="E267" s="74">
        <v>40584.587800925925</v>
      </c>
      <c r="F267" s="74"/>
      <c r="G267" s="75" t="str">
        <f>IF(stdProdLT(Main[[#This Row],[Comments]])=0.1,"N/A",IF(stdProdLT(Main[[#This Row],[Comments]])=0,"",stdProdLT(Main[[#This Row],[Comments]])))</f>
        <v/>
      </c>
      <c r="H267" s="76" t="str">
        <f>IF(AND(Main[[#This Row],[In Stock Date]]&lt;&gt;"",Main[[#This Row],[Revised Due Date]]&lt;&gt;""),Main[[#This Row],[In Stock Date]]-Main[[#This Row],[Revised Due Date]],"")</f>
        <v/>
      </c>
      <c r="I267" s="72" t="s">
        <v>4</v>
      </c>
      <c r="J267" s="72" t="s">
        <v>4</v>
      </c>
      <c r="K267" s="72" t="s">
        <v>4</v>
      </c>
      <c r="L267" s="74"/>
      <c r="M267" s="77" t="str">
        <f>IF(Main[[#This Row],[Tech Start Date]]&lt;1/1/1990,"",IF(Main[[#This Row],[Class]]="C",WORKDAY(Main[[#This Row],[Tech Start Date]],9),IF(Main[[#This Row],[Class]]="B", WORKDAY(Main[[#This Row],[Tech Start Date]],6),IF(Main[[#This Row],[Class]]="A",WORKDAY(Main[[#This Row],[Tech Start Date]],2),""))))</f>
        <v/>
      </c>
      <c r="N267" s="77" t="str">
        <f>IF(Main[[#This Row],[Tech Start Date]]&lt;1/1/1990,"",IF(Main[[#This Row],[Class]]="C",WORKDAY(Main[[#This Row],[Tech Start Date]],19),IF(Main[[#This Row],[Class]]="B", WORKDAY(Main[[#This Row],[Tech Start Date]],12),IF(Main[[#This Row],[Class]]="A",WORKDAY(Main[[#This Row],[Tech Start Date]],4),""))))</f>
        <v/>
      </c>
      <c r="O267" s="77" t="str">
        <f>IF(Main[[#This Row],[Tech Start Date]]&lt;1/1/1990,"",IF(Main[[#This Row],[Class]]="C",WORKDAY(Main[[#This Row],[Tech Start Date]],23),IF(Main[[#This Row],[Class]]="B", WORKDAY(Main[[#This Row],[Tech Start Date]],15),IF(Main[[#This Row],[Class]]="A",WORKDAY(Main[[#This Row],[Tech Start Date]],5),""))))</f>
        <v/>
      </c>
      <c r="P267" s="77" t="str">
        <f>IF(Main[[#This Row],[Tech Start Date]]&lt;1/1/1990,"",IF(Main[[#This Row],[Class]]="C",WORKDAY(Main[[#This Row],[Tech Start Date]],28),IF(Main[[#This Row],[Class]]="B", WORKDAY(Main[[#This Row],[Tech Start Date]],19),IF(Main[[#This Row],[Class]]="A",WORKDAY(Main[[#This Row],[Tech Start Date]],9),""))))</f>
        <v/>
      </c>
      <c r="Q267" s="74"/>
      <c r="R267" s="74"/>
      <c r="S267" s="72" t="s">
        <v>4</v>
      </c>
      <c r="T267" s="80" t="s">
        <v>4</v>
      </c>
      <c r="U267" s="72" t="s">
        <v>29</v>
      </c>
      <c r="V267" s="72" t="s">
        <v>1938</v>
      </c>
      <c r="W267" s="72" t="s">
        <v>4</v>
      </c>
      <c r="X267" s="72" t="s">
        <v>958</v>
      </c>
      <c r="Y267" s="72" t="s">
        <v>3147</v>
      </c>
      <c r="Z267" s="72" t="s">
        <v>4</v>
      </c>
    </row>
    <row r="268" spans="1:26" ht="18.600000000000001" customHeight="1">
      <c r="A268" s="142" t="str">
        <f>IF(priority(Main[[#This Row],[Comments]])&lt;&gt;0, priority(Main[[#This Row],[Comments]]),"")</f>
        <v/>
      </c>
      <c r="B268" s="90" t="s">
        <v>1124</v>
      </c>
      <c r="C268" s="72" t="s">
        <v>4</v>
      </c>
      <c r="D268" s="73" t="s">
        <v>154</v>
      </c>
      <c r="E268" s="74"/>
      <c r="F268" s="74"/>
      <c r="G268" s="75" t="str">
        <f>IF(stdProdLT(Main[[#This Row],[Comments]])=0.1,"N/A",IF(stdProdLT(Main[[#This Row],[Comments]])=0,"",stdProdLT(Main[[#This Row],[Comments]])))</f>
        <v/>
      </c>
      <c r="H268" s="76" t="str">
        <f>IF(AND(Main[[#This Row],[In Stock Date]]&lt;&gt;"",Main[[#This Row],[Revised Due Date]]&lt;&gt;""),Main[[#This Row],[In Stock Date]]-Main[[#This Row],[Revised Due Date]],"")</f>
        <v/>
      </c>
      <c r="I268" s="72" t="s">
        <v>30</v>
      </c>
      <c r="J268" s="72" t="s">
        <v>52</v>
      </c>
      <c r="K268" s="81" t="s">
        <v>4</v>
      </c>
      <c r="L268" s="74"/>
      <c r="M268" s="77" t="str">
        <f>IF(Main[[#This Row],[Tech Start Date]]&lt;1/1/1990,"",IF(Main[[#This Row],[Class]]="C",WORKDAY(Main[[#This Row],[Tech Start Date]],9),IF(Main[[#This Row],[Class]]="B", WORKDAY(Main[[#This Row],[Tech Start Date]],6),IF(Main[[#This Row],[Class]]="A",WORKDAY(Main[[#This Row],[Tech Start Date]],2),""))))</f>
        <v/>
      </c>
      <c r="N268" s="77" t="str">
        <f>IF(Main[[#This Row],[Tech Start Date]]&lt;1/1/1990,"",IF(Main[[#This Row],[Class]]="C",WORKDAY(Main[[#This Row],[Tech Start Date]],19),IF(Main[[#This Row],[Class]]="B", WORKDAY(Main[[#This Row],[Tech Start Date]],12),IF(Main[[#This Row],[Class]]="A",WORKDAY(Main[[#This Row],[Tech Start Date]],4),""))))</f>
        <v/>
      </c>
      <c r="O268" s="77" t="str">
        <f>IF(Main[[#This Row],[Tech Start Date]]&lt;1/1/1990,"",IF(Main[[#This Row],[Class]]="C",WORKDAY(Main[[#This Row],[Tech Start Date]],23),IF(Main[[#This Row],[Class]]="B", WORKDAY(Main[[#This Row],[Tech Start Date]],15),IF(Main[[#This Row],[Class]]="A",WORKDAY(Main[[#This Row],[Tech Start Date]],5),""))))</f>
        <v/>
      </c>
      <c r="P268" s="77" t="str">
        <f>IF(Main[[#This Row],[Tech Start Date]]&lt;1/1/1990,"",IF(Main[[#This Row],[Class]]="C",WORKDAY(Main[[#This Row],[Tech Start Date]],28),IF(Main[[#This Row],[Class]]="B", WORKDAY(Main[[#This Row],[Tech Start Date]],19),IF(Main[[#This Row],[Class]]="A",WORKDAY(Main[[#This Row],[Tech Start Date]],9),""))))</f>
        <v/>
      </c>
      <c r="Q268" s="74">
        <v>40448</v>
      </c>
      <c r="R268" s="74"/>
      <c r="S268" s="72" t="s">
        <v>6</v>
      </c>
      <c r="T268" s="80" t="s">
        <v>4</v>
      </c>
      <c r="U268" s="72" t="s">
        <v>14</v>
      </c>
      <c r="V268" s="72" t="s">
        <v>1940</v>
      </c>
      <c r="W268" s="72" t="s">
        <v>4</v>
      </c>
      <c r="X268" s="72" t="s">
        <v>2970</v>
      </c>
      <c r="Y268" s="72" t="s">
        <v>3087</v>
      </c>
      <c r="Z268" s="72" t="s">
        <v>536</v>
      </c>
    </row>
    <row r="269" spans="1:26" ht="18.600000000000001" customHeight="1">
      <c r="A269" s="142" t="str">
        <f>IF(priority(Main[[#This Row],[Comments]])&lt;&gt;0, priority(Main[[#This Row],[Comments]]),"")</f>
        <v/>
      </c>
      <c r="B269" s="90" t="s">
        <v>1126</v>
      </c>
      <c r="C269" s="72" t="s">
        <v>156</v>
      </c>
      <c r="D269" s="73" t="s">
        <v>157</v>
      </c>
      <c r="E269" s="74"/>
      <c r="F269" s="74"/>
      <c r="G269" s="75" t="str">
        <f>IF(stdProdLT(Main[[#This Row],[Comments]])=0.1,"N/A",IF(stdProdLT(Main[[#This Row],[Comments]])=0,"",stdProdLT(Main[[#This Row],[Comments]])))</f>
        <v/>
      </c>
      <c r="H269" s="76" t="str">
        <f>IF(AND(Main[[#This Row],[In Stock Date]]&lt;&gt;"",Main[[#This Row],[Revised Due Date]]&lt;&gt;""),Main[[#This Row],[In Stock Date]]-Main[[#This Row],[Revised Due Date]],"")</f>
        <v/>
      </c>
      <c r="I269" s="72" t="s">
        <v>4</v>
      </c>
      <c r="J269" s="72" t="s">
        <v>4</v>
      </c>
      <c r="K269" s="81" t="s">
        <v>4</v>
      </c>
      <c r="L269" s="74"/>
      <c r="M269" s="77" t="str">
        <f>IF(Main[[#This Row],[Tech Start Date]]&lt;1/1/1990,"",IF(Main[[#This Row],[Class]]="C",WORKDAY(Main[[#This Row],[Tech Start Date]],9),IF(Main[[#This Row],[Class]]="B", WORKDAY(Main[[#This Row],[Tech Start Date]],6),IF(Main[[#This Row],[Class]]="A",WORKDAY(Main[[#This Row],[Tech Start Date]],2),""))))</f>
        <v/>
      </c>
      <c r="N269" s="77" t="str">
        <f>IF(Main[[#This Row],[Tech Start Date]]&lt;1/1/1990,"",IF(Main[[#This Row],[Class]]="C",WORKDAY(Main[[#This Row],[Tech Start Date]],19),IF(Main[[#This Row],[Class]]="B", WORKDAY(Main[[#This Row],[Tech Start Date]],12),IF(Main[[#This Row],[Class]]="A",WORKDAY(Main[[#This Row],[Tech Start Date]],4),""))))</f>
        <v/>
      </c>
      <c r="O269" s="77" t="str">
        <f>IF(Main[[#This Row],[Tech Start Date]]&lt;1/1/1990,"",IF(Main[[#This Row],[Class]]="C",WORKDAY(Main[[#This Row],[Tech Start Date]],23),IF(Main[[#This Row],[Class]]="B", WORKDAY(Main[[#This Row],[Tech Start Date]],15),IF(Main[[#This Row],[Class]]="A",WORKDAY(Main[[#This Row],[Tech Start Date]],5),""))))</f>
        <v/>
      </c>
      <c r="P269" s="77" t="str">
        <f>IF(Main[[#This Row],[Tech Start Date]]&lt;1/1/1990,"",IF(Main[[#This Row],[Class]]="C",WORKDAY(Main[[#This Row],[Tech Start Date]],28),IF(Main[[#This Row],[Class]]="B", WORKDAY(Main[[#This Row],[Tech Start Date]],19),IF(Main[[#This Row],[Class]]="A",WORKDAY(Main[[#This Row],[Tech Start Date]],9),""))))</f>
        <v/>
      </c>
      <c r="Q269" s="74">
        <v>40144</v>
      </c>
      <c r="R269" s="74"/>
      <c r="S269" s="72" t="s">
        <v>11</v>
      </c>
      <c r="T269" s="80" t="s">
        <v>4</v>
      </c>
      <c r="U269" s="72" t="s">
        <v>14</v>
      </c>
      <c r="V269" s="72" t="s">
        <v>1937</v>
      </c>
      <c r="W269" s="72" t="s">
        <v>1939</v>
      </c>
      <c r="X269" s="72" t="s">
        <v>3006</v>
      </c>
      <c r="Y269" s="72" t="s">
        <v>4</v>
      </c>
      <c r="Z269" s="72" t="s">
        <v>4</v>
      </c>
    </row>
    <row r="270" spans="1:26" ht="18.600000000000001" customHeight="1">
      <c r="A270" s="142" t="str">
        <f>IF(priority(Main[[#This Row],[Comments]])&lt;&gt;0, priority(Main[[#This Row],[Comments]]),"")</f>
        <v/>
      </c>
      <c r="B270" s="90" t="s">
        <v>1127</v>
      </c>
      <c r="C270" s="72" t="s">
        <v>158</v>
      </c>
      <c r="D270" s="73" t="s">
        <v>159</v>
      </c>
      <c r="E270" s="74"/>
      <c r="F270" s="74"/>
      <c r="G270" s="75" t="str">
        <f>IF(stdProdLT(Main[[#This Row],[Comments]])=0.1,"N/A",IF(stdProdLT(Main[[#This Row],[Comments]])=0,"",stdProdLT(Main[[#This Row],[Comments]])))</f>
        <v/>
      </c>
      <c r="H270" s="76" t="str">
        <f>IF(AND(Main[[#This Row],[In Stock Date]]&lt;&gt;"",Main[[#This Row],[Revised Due Date]]&lt;&gt;""),Main[[#This Row],[In Stock Date]]-Main[[#This Row],[Revised Due Date]],"")</f>
        <v/>
      </c>
      <c r="I270" s="72" t="s">
        <v>4</v>
      </c>
      <c r="J270" s="72" t="s">
        <v>4</v>
      </c>
      <c r="K270" s="72" t="s">
        <v>4</v>
      </c>
      <c r="L270" s="74"/>
      <c r="M270" s="77" t="str">
        <f>IF(Main[[#This Row],[Tech Start Date]]&lt;1/1/1990,"",IF(Main[[#This Row],[Class]]="C",WORKDAY(Main[[#This Row],[Tech Start Date]],9),IF(Main[[#This Row],[Class]]="B", WORKDAY(Main[[#This Row],[Tech Start Date]],6),IF(Main[[#This Row],[Class]]="A",WORKDAY(Main[[#This Row],[Tech Start Date]],2),""))))</f>
        <v/>
      </c>
      <c r="N270" s="77" t="str">
        <f>IF(Main[[#This Row],[Tech Start Date]]&lt;1/1/1990,"",IF(Main[[#This Row],[Class]]="C",WORKDAY(Main[[#This Row],[Tech Start Date]],19),IF(Main[[#This Row],[Class]]="B", WORKDAY(Main[[#This Row],[Tech Start Date]],12),IF(Main[[#This Row],[Class]]="A",WORKDAY(Main[[#This Row],[Tech Start Date]],4),""))))</f>
        <v/>
      </c>
      <c r="O270" s="77" t="str">
        <f>IF(Main[[#This Row],[Tech Start Date]]&lt;1/1/1990,"",IF(Main[[#This Row],[Class]]="C",WORKDAY(Main[[#This Row],[Tech Start Date]],23),IF(Main[[#This Row],[Class]]="B", WORKDAY(Main[[#This Row],[Tech Start Date]],15),IF(Main[[#This Row],[Class]]="A",WORKDAY(Main[[#This Row],[Tech Start Date]],5),""))))</f>
        <v/>
      </c>
      <c r="P270" s="77" t="str">
        <f>IF(Main[[#This Row],[Tech Start Date]]&lt;1/1/1990,"",IF(Main[[#This Row],[Class]]="C",WORKDAY(Main[[#This Row],[Tech Start Date]],28),IF(Main[[#This Row],[Class]]="B", WORKDAY(Main[[#This Row],[Tech Start Date]],19),IF(Main[[#This Row],[Class]]="A",WORKDAY(Main[[#This Row],[Tech Start Date]],9),""))))</f>
        <v/>
      </c>
      <c r="Q270" s="74"/>
      <c r="R270" s="74"/>
      <c r="S270" s="72" t="s">
        <v>11</v>
      </c>
      <c r="T270" s="80" t="s">
        <v>4</v>
      </c>
      <c r="U270" s="72" t="s">
        <v>14</v>
      </c>
      <c r="V270" s="72" t="s">
        <v>1938</v>
      </c>
      <c r="W270" s="72" t="s">
        <v>1939</v>
      </c>
      <c r="X270" s="72" t="s">
        <v>2967</v>
      </c>
      <c r="Y270" s="72" t="s">
        <v>3151</v>
      </c>
      <c r="Z270" s="72" t="s">
        <v>4</v>
      </c>
    </row>
    <row r="271" spans="1:26" ht="18.600000000000001" customHeight="1">
      <c r="A271" s="142" t="str">
        <f>IF(priority(Main[[#This Row],[Comments]])&lt;&gt;0, priority(Main[[#This Row],[Comments]]),"")</f>
        <v/>
      </c>
      <c r="B271" s="90" t="s">
        <v>1128</v>
      </c>
      <c r="C271" s="72" t="s">
        <v>160</v>
      </c>
      <c r="D271" s="73" t="s">
        <v>161</v>
      </c>
      <c r="E271" s="74"/>
      <c r="F271" s="74">
        <v>40513</v>
      </c>
      <c r="G271" s="75" t="str">
        <f>IF(stdProdLT(Main[[#This Row],[Comments]])=0.1,"N/A",IF(stdProdLT(Main[[#This Row],[Comments]])=0,"",stdProdLT(Main[[#This Row],[Comments]])))</f>
        <v/>
      </c>
      <c r="H271" s="76" t="str">
        <f>IF(AND(Main[[#This Row],[In Stock Date]]&lt;&gt;"",Main[[#This Row],[Revised Due Date]]&lt;&gt;""),Main[[#This Row],[In Stock Date]]-Main[[#This Row],[Revised Due Date]],"")</f>
        <v/>
      </c>
      <c r="I271" s="72" t="s">
        <v>4</v>
      </c>
      <c r="J271" s="72" t="s">
        <v>28</v>
      </c>
      <c r="K271" s="72" t="s">
        <v>4</v>
      </c>
      <c r="L271" s="74"/>
      <c r="M271" s="77" t="str">
        <f>IF(Main[[#This Row],[Tech Start Date]]&lt;1/1/1990,"",IF(Main[[#This Row],[Class]]="C",WORKDAY(Main[[#This Row],[Tech Start Date]],9),IF(Main[[#This Row],[Class]]="B", WORKDAY(Main[[#This Row],[Tech Start Date]],6),IF(Main[[#This Row],[Class]]="A",WORKDAY(Main[[#This Row],[Tech Start Date]],2),""))))</f>
        <v/>
      </c>
      <c r="N271" s="77" t="str">
        <f>IF(Main[[#This Row],[Tech Start Date]]&lt;1/1/1990,"",IF(Main[[#This Row],[Class]]="C",WORKDAY(Main[[#This Row],[Tech Start Date]],19),IF(Main[[#This Row],[Class]]="B", WORKDAY(Main[[#This Row],[Tech Start Date]],12),IF(Main[[#This Row],[Class]]="A",WORKDAY(Main[[#This Row],[Tech Start Date]],4),""))))</f>
        <v/>
      </c>
      <c r="O271" s="77" t="str">
        <f>IF(Main[[#This Row],[Tech Start Date]]&lt;1/1/1990,"",IF(Main[[#This Row],[Class]]="C",WORKDAY(Main[[#This Row],[Tech Start Date]],23),IF(Main[[#This Row],[Class]]="B", WORKDAY(Main[[#This Row],[Tech Start Date]],15),IF(Main[[#This Row],[Class]]="A",WORKDAY(Main[[#This Row],[Tech Start Date]],5),""))))</f>
        <v/>
      </c>
      <c r="P271" s="77" t="str">
        <f>IF(Main[[#This Row],[Tech Start Date]]&lt;1/1/1990,"",IF(Main[[#This Row],[Class]]="C",WORKDAY(Main[[#This Row],[Tech Start Date]],28),IF(Main[[#This Row],[Class]]="B", WORKDAY(Main[[#This Row],[Tech Start Date]],19),IF(Main[[#This Row],[Class]]="A",WORKDAY(Main[[#This Row],[Tech Start Date]],9),""))))</f>
        <v/>
      </c>
      <c r="Q271" s="74">
        <v>40382</v>
      </c>
      <c r="R271" s="74"/>
      <c r="S271" s="72" t="s">
        <v>11</v>
      </c>
      <c r="T271" s="80" t="s">
        <v>4</v>
      </c>
      <c r="U271" s="72" t="s">
        <v>14</v>
      </c>
      <c r="V271" s="72" t="s">
        <v>1937</v>
      </c>
      <c r="W271" s="72" t="s">
        <v>1945</v>
      </c>
      <c r="X271" s="72" t="s">
        <v>3007</v>
      </c>
      <c r="Y271" s="72" t="s">
        <v>3152</v>
      </c>
      <c r="Z271" s="72" t="s">
        <v>129</v>
      </c>
    </row>
    <row r="272" spans="1:26" ht="18.600000000000001" customHeight="1">
      <c r="A272" s="142" t="str">
        <f>IF(priority(Main[[#This Row],[Comments]])&lt;&gt;0, priority(Main[[#This Row],[Comments]]),"")</f>
        <v/>
      </c>
      <c r="B272" s="90" t="s">
        <v>2200</v>
      </c>
      <c r="C272" s="72" t="s">
        <v>4</v>
      </c>
      <c r="D272" s="73" t="s">
        <v>2201</v>
      </c>
      <c r="E272" s="74">
        <v>40781.644953703704</v>
      </c>
      <c r="F272" s="74"/>
      <c r="G272" s="75" t="str">
        <f>IF(stdProdLT(Main[[#This Row],[Comments]])=0.1,"N/A",IF(stdProdLT(Main[[#This Row],[Comments]])=0,"",stdProdLT(Main[[#This Row],[Comments]])))</f>
        <v/>
      </c>
      <c r="H272" s="76" t="str">
        <f>IF(AND(Main[[#This Row],[In Stock Date]]&lt;&gt;"",Main[[#This Row],[Revised Due Date]]&lt;&gt;""),Main[[#This Row],[In Stock Date]]-Main[[#This Row],[Revised Due Date]],"")</f>
        <v/>
      </c>
      <c r="I272" s="72" t="s">
        <v>4</v>
      </c>
      <c r="J272" s="72" t="s">
        <v>4</v>
      </c>
      <c r="K272" s="72" t="s">
        <v>4</v>
      </c>
      <c r="L272" s="74"/>
      <c r="M272" s="77" t="str">
        <f>IF(Main[[#This Row],[Tech Start Date]]&lt;1/1/1990,"",IF(Main[[#This Row],[Class]]="C",WORKDAY(Main[[#This Row],[Tech Start Date]],9),IF(Main[[#This Row],[Class]]="B", WORKDAY(Main[[#This Row],[Tech Start Date]],6),IF(Main[[#This Row],[Class]]="A",WORKDAY(Main[[#This Row],[Tech Start Date]],2),""))))</f>
        <v/>
      </c>
      <c r="N272" s="77" t="str">
        <f>IF(Main[[#This Row],[Tech Start Date]]&lt;1/1/1990,"",IF(Main[[#This Row],[Class]]="C",WORKDAY(Main[[#This Row],[Tech Start Date]],19),IF(Main[[#This Row],[Class]]="B", WORKDAY(Main[[#This Row],[Tech Start Date]],12),IF(Main[[#This Row],[Class]]="A",WORKDAY(Main[[#This Row],[Tech Start Date]],4),""))))</f>
        <v/>
      </c>
      <c r="O272" s="77" t="str">
        <f>IF(Main[[#This Row],[Tech Start Date]]&lt;1/1/1990,"",IF(Main[[#This Row],[Class]]="C",WORKDAY(Main[[#This Row],[Tech Start Date]],23),IF(Main[[#This Row],[Class]]="B", WORKDAY(Main[[#This Row],[Tech Start Date]],15),IF(Main[[#This Row],[Class]]="A",WORKDAY(Main[[#This Row],[Tech Start Date]],5),""))))</f>
        <v/>
      </c>
      <c r="P272" s="77" t="str">
        <f>IF(Main[[#This Row],[Tech Start Date]]&lt;1/1/1990,"",IF(Main[[#This Row],[Class]]="C",WORKDAY(Main[[#This Row],[Tech Start Date]],28),IF(Main[[#This Row],[Class]]="B", WORKDAY(Main[[#This Row],[Tech Start Date]],19),IF(Main[[#This Row],[Class]]="A",WORKDAY(Main[[#This Row],[Tech Start Date]],9),""))))</f>
        <v/>
      </c>
      <c r="Q272" s="74">
        <v>40809</v>
      </c>
      <c r="R272" s="74"/>
      <c r="S272" s="72" t="s">
        <v>6</v>
      </c>
      <c r="T272" s="80" t="s">
        <v>4</v>
      </c>
      <c r="U272" s="72" t="s">
        <v>7</v>
      </c>
      <c r="V272" s="72" t="s">
        <v>1937</v>
      </c>
      <c r="W272" s="72" t="s">
        <v>4</v>
      </c>
      <c r="X272" s="72" t="s">
        <v>2971</v>
      </c>
      <c r="Y272" s="72" t="s">
        <v>3090</v>
      </c>
      <c r="Z272" s="72" t="s">
        <v>4</v>
      </c>
    </row>
    <row r="273" spans="1:26" ht="18.600000000000001" customHeight="1">
      <c r="A273" s="142" t="str">
        <f>IF(priority(Main[[#This Row],[Comments]])&lt;&gt;0, priority(Main[[#This Row],[Comments]]),"")</f>
        <v/>
      </c>
      <c r="B273" s="90" t="s">
        <v>2782</v>
      </c>
      <c r="C273" s="72" t="s">
        <v>4</v>
      </c>
      <c r="D273" s="73" t="s">
        <v>2783</v>
      </c>
      <c r="E273" s="74">
        <v>40892.147916666669</v>
      </c>
      <c r="F273" s="74"/>
      <c r="G273" s="75" t="str">
        <f>IF(stdProdLT(Main[[#This Row],[Comments]])=0.1,"N/A",IF(stdProdLT(Main[[#This Row],[Comments]])=0,"",stdProdLT(Main[[#This Row],[Comments]])))</f>
        <v/>
      </c>
      <c r="H273" s="76" t="str">
        <f>IF(AND(Main[[#This Row],[In Stock Date]]&lt;&gt;"",Main[[#This Row],[Revised Due Date]]&lt;&gt;""),Main[[#This Row],[In Stock Date]]-Main[[#This Row],[Revised Due Date]],"")</f>
        <v/>
      </c>
      <c r="I273" s="72" t="s">
        <v>69</v>
      </c>
      <c r="J273" s="72" t="s">
        <v>70</v>
      </c>
      <c r="K273" s="81" t="s">
        <v>1946</v>
      </c>
      <c r="L273" s="74"/>
      <c r="M273" s="77" t="str">
        <f>IF(Main[[#This Row],[Tech Start Date]]&lt;1/1/1990,"",IF(Main[[#This Row],[Class]]="C",WORKDAY(Main[[#This Row],[Tech Start Date]],9),IF(Main[[#This Row],[Class]]="B", WORKDAY(Main[[#This Row],[Tech Start Date]],6),IF(Main[[#This Row],[Class]]="A",WORKDAY(Main[[#This Row],[Tech Start Date]],2),""))))</f>
        <v/>
      </c>
      <c r="N273" s="77" t="str">
        <f>IF(Main[[#This Row],[Tech Start Date]]&lt;1/1/1990,"",IF(Main[[#This Row],[Class]]="C",WORKDAY(Main[[#This Row],[Tech Start Date]],19),IF(Main[[#This Row],[Class]]="B", WORKDAY(Main[[#This Row],[Tech Start Date]],12),IF(Main[[#This Row],[Class]]="A",WORKDAY(Main[[#This Row],[Tech Start Date]],4),""))))</f>
        <v/>
      </c>
      <c r="O273" s="77" t="str">
        <f>IF(Main[[#This Row],[Tech Start Date]]&lt;1/1/1990,"",IF(Main[[#This Row],[Class]]="C",WORKDAY(Main[[#This Row],[Tech Start Date]],23),IF(Main[[#This Row],[Class]]="B", WORKDAY(Main[[#This Row],[Tech Start Date]],15),IF(Main[[#This Row],[Class]]="A",WORKDAY(Main[[#This Row],[Tech Start Date]],5),""))))</f>
        <v/>
      </c>
      <c r="P273" s="77" t="str">
        <f>IF(Main[[#This Row],[Tech Start Date]]&lt;1/1/1990,"",IF(Main[[#This Row],[Class]]="C",WORKDAY(Main[[#This Row],[Tech Start Date]],28),IF(Main[[#This Row],[Class]]="B", WORKDAY(Main[[#This Row],[Tech Start Date]],19),IF(Main[[#This Row],[Class]]="A",WORKDAY(Main[[#This Row],[Tech Start Date]],9),""))))</f>
        <v/>
      </c>
      <c r="Q273" s="74">
        <v>40914</v>
      </c>
      <c r="R273" s="74"/>
      <c r="S273" s="72" t="s">
        <v>6</v>
      </c>
      <c r="T273" s="80" t="s">
        <v>4</v>
      </c>
      <c r="U273" s="72" t="s">
        <v>29</v>
      </c>
      <c r="V273" s="72" t="s">
        <v>1940</v>
      </c>
      <c r="W273" s="72" t="s">
        <v>1941</v>
      </c>
      <c r="X273" s="72" t="s">
        <v>3003</v>
      </c>
      <c r="Y273" s="72" t="s">
        <v>3144</v>
      </c>
      <c r="Z273" s="72" t="s">
        <v>30</v>
      </c>
    </row>
    <row r="274" spans="1:26" ht="18.600000000000001" customHeight="1">
      <c r="A274" s="142" t="str">
        <f>IF(priority(Main[[#This Row],[Comments]])&lt;&gt;0, priority(Main[[#This Row],[Comments]]),"")</f>
        <v/>
      </c>
      <c r="B274" s="90" t="s">
        <v>2379</v>
      </c>
      <c r="C274" s="72" t="s">
        <v>4</v>
      </c>
      <c r="D274" s="73" t="s">
        <v>2380</v>
      </c>
      <c r="E274" s="74">
        <v>40876.410104166665</v>
      </c>
      <c r="F274" s="74"/>
      <c r="G274" s="75" t="str">
        <f>IF(stdProdLT(Main[[#This Row],[Comments]])=0.1,"N/A",IF(stdProdLT(Main[[#This Row],[Comments]])=0,"",stdProdLT(Main[[#This Row],[Comments]])))</f>
        <v/>
      </c>
      <c r="H274" s="76" t="str">
        <f>IF(AND(Main[[#This Row],[In Stock Date]]&lt;&gt;"",Main[[#This Row],[Revised Due Date]]&lt;&gt;""),Main[[#This Row],[In Stock Date]]-Main[[#This Row],[Revised Due Date]],"")</f>
        <v/>
      </c>
      <c r="I274" s="72" t="s">
        <v>4</v>
      </c>
      <c r="J274" s="72" t="s">
        <v>4</v>
      </c>
      <c r="K274" s="72" t="s">
        <v>4</v>
      </c>
      <c r="L274" s="74"/>
      <c r="M274" s="77" t="str">
        <f>IF(Main[[#This Row],[Tech Start Date]]&lt;1/1/1990,"",IF(Main[[#This Row],[Class]]="C",WORKDAY(Main[[#This Row],[Tech Start Date]],9),IF(Main[[#This Row],[Class]]="B", WORKDAY(Main[[#This Row],[Tech Start Date]],6),IF(Main[[#This Row],[Class]]="A",WORKDAY(Main[[#This Row],[Tech Start Date]],2),""))))</f>
        <v/>
      </c>
      <c r="N274" s="77" t="str">
        <f>IF(Main[[#This Row],[Tech Start Date]]&lt;1/1/1990,"",IF(Main[[#This Row],[Class]]="C",WORKDAY(Main[[#This Row],[Tech Start Date]],19),IF(Main[[#This Row],[Class]]="B", WORKDAY(Main[[#This Row],[Tech Start Date]],12),IF(Main[[#This Row],[Class]]="A",WORKDAY(Main[[#This Row],[Tech Start Date]],4),""))))</f>
        <v/>
      </c>
      <c r="O274" s="77" t="str">
        <f>IF(Main[[#This Row],[Tech Start Date]]&lt;1/1/1990,"",IF(Main[[#This Row],[Class]]="C",WORKDAY(Main[[#This Row],[Tech Start Date]],23),IF(Main[[#This Row],[Class]]="B", WORKDAY(Main[[#This Row],[Tech Start Date]],15),IF(Main[[#This Row],[Class]]="A",WORKDAY(Main[[#This Row],[Tech Start Date]],5),""))))</f>
        <v/>
      </c>
      <c r="P274" s="77" t="str">
        <f>IF(Main[[#This Row],[Tech Start Date]]&lt;1/1/1990,"",IF(Main[[#This Row],[Class]]="C",WORKDAY(Main[[#This Row],[Tech Start Date]],28),IF(Main[[#This Row],[Class]]="B", WORKDAY(Main[[#This Row],[Tech Start Date]],19),IF(Main[[#This Row],[Class]]="A",WORKDAY(Main[[#This Row],[Tech Start Date]],9),""))))</f>
        <v/>
      </c>
      <c r="Q274" s="74">
        <v>40879</v>
      </c>
      <c r="R274" s="74"/>
      <c r="S274" s="72" t="s">
        <v>6</v>
      </c>
      <c r="T274" s="80" t="s">
        <v>4</v>
      </c>
      <c r="U274" s="72" t="s">
        <v>29</v>
      </c>
      <c r="V274" s="72" t="s">
        <v>1938</v>
      </c>
      <c r="W274" s="72" t="s">
        <v>1941</v>
      </c>
      <c r="X274" s="72" t="s">
        <v>957</v>
      </c>
      <c r="Y274" s="72" t="s">
        <v>3153</v>
      </c>
      <c r="Z274" s="72" t="s">
        <v>4</v>
      </c>
    </row>
    <row r="275" spans="1:26" ht="18.600000000000001" customHeight="1">
      <c r="A275" s="142" t="str">
        <f>IF(priority(Main[[#This Row],[Comments]])&lt;&gt;0, priority(Main[[#This Row],[Comments]]),"")</f>
        <v/>
      </c>
      <c r="B275" s="90" t="s">
        <v>2510</v>
      </c>
      <c r="C275" s="72" t="s">
        <v>4</v>
      </c>
      <c r="D275" s="73" t="s">
        <v>2511</v>
      </c>
      <c r="E275" s="74">
        <v>40876.411770833336</v>
      </c>
      <c r="F275" s="74"/>
      <c r="G275" s="75" t="str">
        <f>IF(stdProdLT(Main[[#This Row],[Comments]])=0.1,"N/A",IF(stdProdLT(Main[[#This Row],[Comments]])=0,"",stdProdLT(Main[[#This Row],[Comments]])))</f>
        <v/>
      </c>
      <c r="H275" s="76" t="str">
        <f>IF(AND(Main[[#This Row],[In Stock Date]]&lt;&gt;"",Main[[#This Row],[Revised Due Date]]&lt;&gt;""),Main[[#This Row],[In Stock Date]]-Main[[#This Row],[Revised Due Date]],"")</f>
        <v/>
      </c>
      <c r="I275" s="72" t="s">
        <v>4</v>
      </c>
      <c r="J275" s="72" t="s">
        <v>4</v>
      </c>
      <c r="K275" s="72" t="s">
        <v>4</v>
      </c>
      <c r="L275" s="74"/>
      <c r="M275" s="77" t="str">
        <f>IF(Main[[#This Row],[Tech Start Date]]&lt;1/1/1990,"",IF(Main[[#This Row],[Class]]="C",WORKDAY(Main[[#This Row],[Tech Start Date]],9),IF(Main[[#This Row],[Class]]="B", WORKDAY(Main[[#This Row],[Tech Start Date]],6),IF(Main[[#This Row],[Class]]="A",WORKDAY(Main[[#This Row],[Tech Start Date]],2),""))))</f>
        <v/>
      </c>
      <c r="N275" s="77" t="str">
        <f>IF(Main[[#This Row],[Tech Start Date]]&lt;1/1/1990,"",IF(Main[[#This Row],[Class]]="C",WORKDAY(Main[[#This Row],[Tech Start Date]],19),IF(Main[[#This Row],[Class]]="B", WORKDAY(Main[[#This Row],[Tech Start Date]],12),IF(Main[[#This Row],[Class]]="A",WORKDAY(Main[[#This Row],[Tech Start Date]],4),""))))</f>
        <v/>
      </c>
      <c r="O275" s="77" t="str">
        <f>IF(Main[[#This Row],[Tech Start Date]]&lt;1/1/1990,"",IF(Main[[#This Row],[Class]]="C",WORKDAY(Main[[#This Row],[Tech Start Date]],23),IF(Main[[#This Row],[Class]]="B", WORKDAY(Main[[#This Row],[Tech Start Date]],15),IF(Main[[#This Row],[Class]]="A",WORKDAY(Main[[#This Row],[Tech Start Date]],5),""))))</f>
        <v/>
      </c>
      <c r="P275" s="77" t="str">
        <f>IF(Main[[#This Row],[Tech Start Date]]&lt;1/1/1990,"",IF(Main[[#This Row],[Class]]="C",WORKDAY(Main[[#This Row],[Tech Start Date]],28),IF(Main[[#This Row],[Class]]="B", WORKDAY(Main[[#This Row],[Tech Start Date]],19),IF(Main[[#This Row],[Class]]="A",WORKDAY(Main[[#This Row],[Tech Start Date]],9),""))))</f>
        <v/>
      </c>
      <c r="Q275" s="74"/>
      <c r="R275" s="74"/>
      <c r="S275" s="72" t="s">
        <v>6</v>
      </c>
      <c r="T275" s="80" t="s">
        <v>4</v>
      </c>
      <c r="U275" s="72" t="s">
        <v>7</v>
      </c>
      <c r="V275" s="72" t="s">
        <v>1937</v>
      </c>
      <c r="W275" s="72" t="s">
        <v>1945</v>
      </c>
      <c r="X275" s="72" t="s">
        <v>311</v>
      </c>
      <c r="Y275" s="72" t="s">
        <v>4</v>
      </c>
      <c r="Z275" s="72" t="s">
        <v>4</v>
      </c>
    </row>
    <row r="276" spans="1:26" ht="18.600000000000001" customHeight="1">
      <c r="A276" s="142" t="str">
        <f>IF(priority(Main[[#This Row],[Comments]])&lt;&gt;0, priority(Main[[#This Row],[Comments]]),"")</f>
        <v/>
      </c>
      <c r="B276" s="90" t="s">
        <v>2005</v>
      </c>
      <c r="C276" s="72" t="s">
        <v>2000</v>
      </c>
      <c r="D276" s="73" t="s">
        <v>2006</v>
      </c>
      <c r="E276" s="74"/>
      <c r="F276" s="74"/>
      <c r="G276" s="75" t="str">
        <f>IF(stdProdLT(Main[[#This Row],[Comments]])=0.1,"N/A",IF(stdProdLT(Main[[#This Row],[Comments]])=0,"",stdProdLT(Main[[#This Row],[Comments]])))</f>
        <v/>
      </c>
      <c r="H276" s="76" t="str">
        <f>IF(AND(Main[[#This Row],[In Stock Date]]&lt;&gt;"",Main[[#This Row],[Revised Due Date]]&lt;&gt;""),Main[[#This Row],[In Stock Date]]-Main[[#This Row],[Revised Due Date]],"")</f>
        <v/>
      </c>
      <c r="I276" s="72" t="s">
        <v>4</v>
      </c>
      <c r="J276" s="72" t="s">
        <v>4</v>
      </c>
      <c r="K276" s="72" t="s">
        <v>4</v>
      </c>
      <c r="L276" s="74"/>
      <c r="M276" s="77" t="str">
        <f>IF(Main[[#This Row],[Tech Start Date]]&lt;1/1/1990,"",IF(Main[[#This Row],[Class]]="C",WORKDAY(Main[[#This Row],[Tech Start Date]],9),IF(Main[[#This Row],[Class]]="B", WORKDAY(Main[[#This Row],[Tech Start Date]],6),IF(Main[[#This Row],[Class]]="A",WORKDAY(Main[[#This Row],[Tech Start Date]],2),""))))</f>
        <v/>
      </c>
      <c r="N276" s="77" t="str">
        <f>IF(Main[[#This Row],[Tech Start Date]]&lt;1/1/1990,"",IF(Main[[#This Row],[Class]]="C",WORKDAY(Main[[#This Row],[Tech Start Date]],19),IF(Main[[#This Row],[Class]]="B", WORKDAY(Main[[#This Row],[Tech Start Date]],12),IF(Main[[#This Row],[Class]]="A",WORKDAY(Main[[#This Row],[Tech Start Date]],4),""))))</f>
        <v/>
      </c>
      <c r="O276" s="77" t="str">
        <f>IF(Main[[#This Row],[Tech Start Date]]&lt;1/1/1990,"",IF(Main[[#This Row],[Class]]="C",WORKDAY(Main[[#This Row],[Tech Start Date]],23),IF(Main[[#This Row],[Class]]="B", WORKDAY(Main[[#This Row],[Tech Start Date]],15),IF(Main[[#This Row],[Class]]="A",WORKDAY(Main[[#This Row],[Tech Start Date]],5),""))))</f>
        <v/>
      </c>
      <c r="P276" s="77" t="str">
        <f>IF(Main[[#This Row],[Tech Start Date]]&lt;1/1/1990,"",IF(Main[[#This Row],[Class]]="C",WORKDAY(Main[[#This Row],[Tech Start Date]],28),IF(Main[[#This Row],[Class]]="B", WORKDAY(Main[[#This Row],[Tech Start Date]],19),IF(Main[[#This Row],[Class]]="A",WORKDAY(Main[[#This Row],[Tech Start Date]],9),""))))</f>
        <v/>
      </c>
      <c r="Q276" s="74">
        <v>40745</v>
      </c>
      <c r="R276" s="74"/>
      <c r="S276" s="72" t="s">
        <v>11</v>
      </c>
      <c r="T276" s="80" t="s">
        <v>4</v>
      </c>
      <c r="U276" s="72" t="s">
        <v>14</v>
      </c>
      <c r="V276" s="72" t="s">
        <v>1938</v>
      </c>
      <c r="W276" s="72" t="s">
        <v>1939</v>
      </c>
      <c r="X276" s="72" t="s">
        <v>2967</v>
      </c>
      <c r="Y276" s="72" t="s">
        <v>4</v>
      </c>
      <c r="Z276" s="72" t="s">
        <v>4</v>
      </c>
    </row>
    <row r="277" spans="1:26" ht="18.600000000000001" customHeight="1">
      <c r="A277" s="142" t="str">
        <f>IF(priority(Main[[#This Row],[Comments]])&lt;&gt;0, priority(Main[[#This Row],[Comments]]),"")</f>
        <v/>
      </c>
      <c r="B277" s="90" t="s">
        <v>1516</v>
      </c>
      <c r="C277" s="72" t="s">
        <v>93</v>
      </c>
      <c r="D277" s="73" t="s">
        <v>606</v>
      </c>
      <c r="E277" s="74">
        <v>40016.655266203707</v>
      </c>
      <c r="F277" s="74"/>
      <c r="G277" s="75" t="str">
        <f>IF(stdProdLT(Main[[#This Row],[Comments]])=0.1,"N/A",IF(stdProdLT(Main[[#This Row],[Comments]])=0,"",stdProdLT(Main[[#This Row],[Comments]])))</f>
        <v/>
      </c>
      <c r="H277" s="76" t="str">
        <f>IF(AND(Main[[#This Row],[In Stock Date]]&lt;&gt;"",Main[[#This Row],[Revised Due Date]]&lt;&gt;""),Main[[#This Row],[In Stock Date]]-Main[[#This Row],[Revised Due Date]],"")</f>
        <v/>
      </c>
      <c r="I277" s="72" t="s">
        <v>4</v>
      </c>
      <c r="J277" s="72" t="s">
        <v>4</v>
      </c>
      <c r="K277" s="72" t="s">
        <v>4</v>
      </c>
      <c r="L277" s="74"/>
      <c r="M277" s="77" t="str">
        <f>IF(Main[[#This Row],[Tech Start Date]]&lt;1/1/1990,"",IF(Main[[#This Row],[Class]]="C",WORKDAY(Main[[#This Row],[Tech Start Date]],9),IF(Main[[#This Row],[Class]]="B", WORKDAY(Main[[#This Row],[Tech Start Date]],6),IF(Main[[#This Row],[Class]]="A",WORKDAY(Main[[#This Row],[Tech Start Date]],2),""))))</f>
        <v/>
      </c>
      <c r="N277" s="77" t="str">
        <f>IF(Main[[#This Row],[Tech Start Date]]&lt;1/1/1990,"",IF(Main[[#This Row],[Class]]="C",WORKDAY(Main[[#This Row],[Tech Start Date]],19),IF(Main[[#This Row],[Class]]="B", WORKDAY(Main[[#This Row],[Tech Start Date]],12),IF(Main[[#This Row],[Class]]="A",WORKDAY(Main[[#This Row],[Tech Start Date]],4),""))))</f>
        <v/>
      </c>
      <c r="O277" s="77" t="str">
        <f>IF(Main[[#This Row],[Tech Start Date]]&lt;1/1/1990,"",IF(Main[[#This Row],[Class]]="C",WORKDAY(Main[[#This Row],[Tech Start Date]],23),IF(Main[[#This Row],[Class]]="B", WORKDAY(Main[[#This Row],[Tech Start Date]],15),IF(Main[[#This Row],[Class]]="A",WORKDAY(Main[[#This Row],[Tech Start Date]],5),""))))</f>
        <v/>
      </c>
      <c r="P277" s="77" t="str">
        <f>IF(Main[[#This Row],[Tech Start Date]]&lt;1/1/1990,"",IF(Main[[#This Row],[Class]]="C",WORKDAY(Main[[#This Row],[Tech Start Date]],28),IF(Main[[#This Row],[Class]]="B", WORKDAY(Main[[#This Row],[Tech Start Date]],19),IF(Main[[#This Row],[Class]]="A",WORKDAY(Main[[#This Row],[Tech Start Date]],9),""))))</f>
        <v/>
      </c>
      <c r="Q277" s="74"/>
      <c r="R277" s="74"/>
      <c r="S277" s="72" t="s">
        <v>17</v>
      </c>
      <c r="T277" s="80" t="s">
        <v>4</v>
      </c>
      <c r="U277" s="72" t="s">
        <v>29</v>
      </c>
      <c r="V277" s="72" t="s">
        <v>1940</v>
      </c>
      <c r="W277" s="72" t="s">
        <v>1943</v>
      </c>
      <c r="X277" s="72" t="s">
        <v>3005</v>
      </c>
      <c r="Y277" s="72" t="s">
        <v>3149</v>
      </c>
      <c r="Z277" s="72" t="s">
        <v>4</v>
      </c>
    </row>
    <row r="278" spans="1:26" ht="18.600000000000001" customHeight="1">
      <c r="A278" s="142" t="str">
        <f>IF(priority(Main[[#This Row],[Comments]])&lt;&gt;0, priority(Main[[#This Row],[Comments]]),"")</f>
        <v/>
      </c>
      <c r="B278" s="90" t="s">
        <v>1697</v>
      </c>
      <c r="C278" s="72" t="s">
        <v>4</v>
      </c>
      <c r="D278" s="73" t="s">
        <v>746</v>
      </c>
      <c r="E278" s="74">
        <v>40618.366238425922</v>
      </c>
      <c r="F278" s="74"/>
      <c r="G278" s="75" t="str">
        <f>IF(stdProdLT(Main[[#This Row],[Comments]])=0.1,"N/A",IF(stdProdLT(Main[[#This Row],[Comments]])=0,"",stdProdLT(Main[[#This Row],[Comments]])))</f>
        <v/>
      </c>
      <c r="H278" s="76" t="str">
        <f>IF(AND(Main[[#This Row],[In Stock Date]]&lt;&gt;"",Main[[#This Row],[Revised Due Date]]&lt;&gt;""),Main[[#This Row],[In Stock Date]]-Main[[#This Row],[Revised Due Date]],"")</f>
        <v/>
      </c>
      <c r="I278" s="72" t="s">
        <v>30</v>
      </c>
      <c r="J278" s="72" t="s">
        <v>28</v>
      </c>
      <c r="K278" s="72" t="s">
        <v>1946</v>
      </c>
      <c r="L278" s="74"/>
      <c r="M278" s="77" t="str">
        <f>IF(Main[[#This Row],[Tech Start Date]]&lt;1/1/1990,"",IF(Main[[#This Row],[Class]]="C",WORKDAY(Main[[#This Row],[Tech Start Date]],9),IF(Main[[#This Row],[Class]]="B", WORKDAY(Main[[#This Row],[Tech Start Date]],6),IF(Main[[#This Row],[Class]]="A",WORKDAY(Main[[#This Row],[Tech Start Date]],2),""))))</f>
        <v/>
      </c>
      <c r="N278" s="77" t="str">
        <f>IF(Main[[#This Row],[Tech Start Date]]&lt;1/1/1990,"",IF(Main[[#This Row],[Class]]="C",WORKDAY(Main[[#This Row],[Tech Start Date]],19),IF(Main[[#This Row],[Class]]="B", WORKDAY(Main[[#This Row],[Tech Start Date]],12),IF(Main[[#This Row],[Class]]="A",WORKDAY(Main[[#This Row],[Tech Start Date]],4),""))))</f>
        <v/>
      </c>
      <c r="O278" s="77" t="str">
        <f>IF(Main[[#This Row],[Tech Start Date]]&lt;1/1/1990,"",IF(Main[[#This Row],[Class]]="C",WORKDAY(Main[[#This Row],[Tech Start Date]],23),IF(Main[[#This Row],[Class]]="B", WORKDAY(Main[[#This Row],[Tech Start Date]],15),IF(Main[[#This Row],[Class]]="A",WORKDAY(Main[[#This Row],[Tech Start Date]],5),""))))</f>
        <v/>
      </c>
      <c r="P278" s="77" t="str">
        <f>IF(Main[[#This Row],[Tech Start Date]]&lt;1/1/1990,"",IF(Main[[#This Row],[Class]]="C",WORKDAY(Main[[#This Row],[Tech Start Date]],28),IF(Main[[#This Row],[Class]]="B", WORKDAY(Main[[#This Row],[Tech Start Date]],19),IF(Main[[#This Row],[Class]]="A",WORKDAY(Main[[#This Row],[Tech Start Date]],9),""))))</f>
        <v/>
      </c>
      <c r="Q278" s="74"/>
      <c r="R278" s="74"/>
      <c r="S278" s="72" t="s">
        <v>6</v>
      </c>
      <c r="T278" s="80" t="s">
        <v>4</v>
      </c>
      <c r="U278" s="72" t="s">
        <v>29</v>
      </c>
      <c r="V278" s="72" t="s">
        <v>1940</v>
      </c>
      <c r="W278" s="72" t="s">
        <v>1939</v>
      </c>
      <c r="X278" s="72" t="s">
        <v>421</v>
      </c>
      <c r="Y278" s="72" t="s">
        <v>3133</v>
      </c>
      <c r="Z278" s="72" t="s">
        <v>30</v>
      </c>
    </row>
    <row r="279" spans="1:26" ht="18.600000000000001" customHeight="1">
      <c r="A279" s="142" t="str">
        <f>IF(priority(Main[[#This Row],[Comments]])&lt;&gt;0, priority(Main[[#This Row],[Comments]]),"")</f>
        <v/>
      </c>
      <c r="B279" s="90" t="s">
        <v>2097</v>
      </c>
      <c r="C279" s="72" t="s">
        <v>4</v>
      </c>
      <c r="D279" s="73" t="s">
        <v>2098</v>
      </c>
      <c r="E279" s="74"/>
      <c r="F279" s="74"/>
      <c r="G279" s="75" t="str">
        <f>IF(stdProdLT(Main[[#This Row],[Comments]])=0.1,"N/A",IF(stdProdLT(Main[[#This Row],[Comments]])=0,"",stdProdLT(Main[[#This Row],[Comments]])))</f>
        <v/>
      </c>
      <c r="H279" s="76" t="str">
        <f>IF(AND(Main[[#This Row],[In Stock Date]]&lt;&gt;"",Main[[#This Row],[Revised Due Date]]&lt;&gt;""),Main[[#This Row],[In Stock Date]]-Main[[#This Row],[Revised Due Date]],"")</f>
        <v/>
      </c>
      <c r="I279" s="72" t="s">
        <v>4</v>
      </c>
      <c r="J279" s="72" t="s">
        <v>4</v>
      </c>
      <c r="K279" s="72" t="s">
        <v>4</v>
      </c>
      <c r="L279" s="74"/>
      <c r="M279" s="77" t="str">
        <f>IF(Main[[#This Row],[Tech Start Date]]&lt;1/1/1990,"",IF(Main[[#This Row],[Class]]="C",WORKDAY(Main[[#This Row],[Tech Start Date]],9),IF(Main[[#This Row],[Class]]="B", WORKDAY(Main[[#This Row],[Tech Start Date]],6),IF(Main[[#This Row],[Class]]="A",WORKDAY(Main[[#This Row],[Tech Start Date]],2),""))))</f>
        <v/>
      </c>
      <c r="N279" s="77" t="str">
        <f>IF(Main[[#This Row],[Tech Start Date]]&lt;1/1/1990,"",IF(Main[[#This Row],[Class]]="C",WORKDAY(Main[[#This Row],[Tech Start Date]],19),IF(Main[[#This Row],[Class]]="B", WORKDAY(Main[[#This Row],[Tech Start Date]],12),IF(Main[[#This Row],[Class]]="A",WORKDAY(Main[[#This Row],[Tech Start Date]],4),""))))</f>
        <v/>
      </c>
      <c r="O279" s="77" t="str">
        <f>IF(Main[[#This Row],[Tech Start Date]]&lt;1/1/1990,"",IF(Main[[#This Row],[Class]]="C",WORKDAY(Main[[#This Row],[Tech Start Date]],23),IF(Main[[#This Row],[Class]]="B", WORKDAY(Main[[#This Row],[Tech Start Date]],15),IF(Main[[#This Row],[Class]]="A",WORKDAY(Main[[#This Row],[Tech Start Date]],5),""))))</f>
        <v/>
      </c>
      <c r="P279" s="77" t="str">
        <f>IF(Main[[#This Row],[Tech Start Date]]&lt;1/1/1990,"",IF(Main[[#This Row],[Class]]="C",WORKDAY(Main[[#This Row],[Tech Start Date]],28),IF(Main[[#This Row],[Class]]="B", WORKDAY(Main[[#This Row],[Tech Start Date]],19),IF(Main[[#This Row],[Class]]="A",WORKDAY(Main[[#This Row],[Tech Start Date]],9),""))))</f>
        <v/>
      </c>
      <c r="Q279" s="74"/>
      <c r="R279" s="74"/>
      <c r="S279" s="72" t="s">
        <v>6</v>
      </c>
      <c r="T279" s="80" t="s">
        <v>4</v>
      </c>
      <c r="U279" s="72" t="s">
        <v>14</v>
      </c>
      <c r="V279" s="72" t="s">
        <v>1937</v>
      </c>
      <c r="W279" s="72" t="s">
        <v>1941</v>
      </c>
      <c r="X279" s="72" t="s">
        <v>311</v>
      </c>
      <c r="Y279" s="72" t="s">
        <v>4</v>
      </c>
      <c r="Z279" s="72" t="s">
        <v>4</v>
      </c>
    </row>
    <row r="280" spans="1:26" ht="18.600000000000001" customHeight="1">
      <c r="A280" s="142" t="str">
        <f>IF(priority(Main[[#This Row],[Comments]])&lt;&gt;0, priority(Main[[#This Row],[Comments]]),"")</f>
        <v/>
      </c>
      <c r="B280" s="90" t="s">
        <v>1174</v>
      </c>
      <c r="C280" s="72" t="s">
        <v>4</v>
      </c>
      <c r="D280" s="73" t="s">
        <v>2374</v>
      </c>
      <c r="E280" s="74">
        <v>40274.393113425926</v>
      </c>
      <c r="F280" s="74"/>
      <c r="G280" s="75" t="str">
        <f>IF(stdProdLT(Main[[#This Row],[Comments]])=0.1,"N/A",IF(stdProdLT(Main[[#This Row],[Comments]])=0,"",stdProdLT(Main[[#This Row],[Comments]])))</f>
        <v/>
      </c>
      <c r="H280" s="76" t="str">
        <f>IF(AND(Main[[#This Row],[In Stock Date]]&lt;&gt;"",Main[[#This Row],[Revised Due Date]]&lt;&gt;""),Main[[#This Row],[In Stock Date]]-Main[[#This Row],[Revised Due Date]],"")</f>
        <v/>
      </c>
      <c r="I280" s="72" t="s">
        <v>4</v>
      </c>
      <c r="J280" s="72" t="s">
        <v>4</v>
      </c>
      <c r="K280" s="72" t="s">
        <v>4</v>
      </c>
      <c r="L280" s="74"/>
      <c r="M280" s="77" t="str">
        <f>IF(Main[[#This Row],[Tech Start Date]]&lt;1/1/1990,"",IF(Main[[#This Row],[Class]]="C",WORKDAY(Main[[#This Row],[Tech Start Date]],9),IF(Main[[#This Row],[Class]]="B", WORKDAY(Main[[#This Row],[Tech Start Date]],6),IF(Main[[#This Row],[Class]]="A",WORKDAY(Main[[#This Row],[Tech Start Date]],2),""))))</f>
        <v/>
      </c>
      <c r="N280" s="77" t="str">
        <f>IF(Main[[#This Row],[Tech Start Date]]&lt;1/1/1990,"",IF(Main[[#This Row],[Class]]="C",WORKDAY(Main[[#This Row],[Tech Start Date]],19),IF(Main[[#This Row],[Class]]="B", WORKDAY(Main[[#This Row],[Tech Start Date]],12),IF(Main[[#This Row],[Class]]="A",WORKDAY(Main[[#This Row],[Tech Start Date]],4),""))))</f>
        <v/>
      </c>
      <c r="O280" s="77" t="str">
        <f>IF(Main[[#This Row],[Tech Start Date]]&lt;1/1/1990,"",IF(Main[[#This Row],[Class]]="C",WORKDAY(Main[[#This Row],[Tech Start Date]],23),IF(Main[[#This Row],[Class]]="B", WORKDAY(Main[[#This Row],[Tech Start Date]],15),IF(Main[[#This Row],[Class]]="A",WORKDAY(Main[[#This Row],[Tech Start Date]],5),""))))</f>
        <v/>
      </c>
      <c r="P280" s="77" t="str">
        <f>IF(Main[[#This Row],[Tech Start Date]]&lt;1/1/1990,"",IF(Main[[#This Row],[Class]]="C",WORKDAY(Main[[#This Row],[Tech Start Date]],28),IF(Main[[#This Row],[Class]]="B", WORKDAY(Main[[#This Row],[Tech Start Date]],19),IF(Main[[#This Row],[Class]]="A",WORKDAY(Main[[#This Row],[Tech Start Date]],9),""))))</f>
        <v/>
      </c>
      <c r="Q280" s="74">
        <v>40302</v>
      </c>
      <c r="R280" s="74"/>
      <c r="S280" s="72" t="s">
        <v>6</v>
      </c>
      <c r="T280" s="80" t="s">
        <v>4</v>
      </c>
      <c r="U280" s="72" t="s">
        <v>7</v>
      </c>
      <c r="V280" s="72" t="s">
        <v>1937</v>
      </c>
      <c r="W280" s="72" t="s">
        <v>1939</v>
      </c>
      <c r="X280" s="72" t="s">
        <v>2973</v>
      </c>
      <c r="Y280" s="72" t="s">
        <v>3094</v>
      </c>
      <c r="Z280" s="72" t="s">
        <v>4</v>
      </c>
    </row>
    <row r="281" spans="1:26" ht="18.600000000000001" customHeight="1">
      <c r="A281" s="142" t="str">
        <f>IF(priority(Main[[#This Row],[Comments]])&lt;&gt;0, priority(Main[[#This Row],[Comments]]),"")</f>
        <v/>
      </c>
      <c r="B281" s="90" t="s">
        <v>1407</v>
      </c>
      <c r="C281" s="72" t="s">
        <v>4</v>
      </c>
      <c r="D281" s="73" t="s">
        <v>2375</v>
      </c>
      <c r="E281" s="74">
        <v>40644.246631944443</v>
      </c>
      <c r="F281" s="74"/>
      <c r="G281" s="75" t="str">
        <f>IF(stdProdLT(Main[[#This Row],[Comments]])=0.1,"N/A",IF(stdProdLT(Main[[#This Row],[Comments]])=0,"",stdProdLT(Main[[#This Row],[Comments]])))</f>
        <v/>
      </c>
      <c r="H281" s="76" t="str">
        <f>IF(AND(Main[[#This Row],[In Stock Date]]&lt;&gt;"",Main[[#This Row],[Revised Due Date]]&lt;&gt;""),Main[[#This Row],[In Stock Date]]-Main[[#This Row],[Revised Due Date]],"")</f>
        <v/>
      </c>
      <c r="I281" s="72" t="s">
        <v>927</v>
      </c>
      <c r="J281" s="72" t="s">
        <v>52</v>
      </c>
      <c r="K281" s="72" t="s">
        <v>4</v>
      </c>
      <c r="L281" s="74"/>
      <c r="M281" s="77" t="str">
        <f>IF(Main[[#This Row],[Tech Start Date]]&lt;1/1/1990,"",IF(Main[[#This Row],[Class]]="C",WORKDAY(Main[[#This Row],[Tech Start Date]],9),IF(Main[[#This Row],[Class]]="B", WORKDAY(Main[[#This Row],[Tech Start Date]],6),IF(Main[[#This Row],[Class]]="A",WORKDAY(Main[[#This Row],[Tech Start Date]],2),""))))</f>
        <v/>
      </c>
      <c r="N281" s="77" t="str">
        <f>IF(Main[[#This Row],[Tech Start Date]]&lt;1/1/1990,"",IF(Main[[#This Row],[Class]]="C",WORKDAY(Main[[#This Row],[Tech Start Date]],19),IF(Main[[#This Row],[Class]]="B", WORKDAY(Main[[#This Row],[Tech Start Date]],12),IF(Main[[#This Row],[Class]]="A",WORKDAY(Main[[#This Row],[Tech Start Date]],4),""))))</f>
        <v/>
      </c>
      <c r="O281" s="77" t="str">
        <f>IF(Main[[#This Row],[Tech Start Date]]&lt;1/1/1990,"",IF(Main[[#This Row],[Class]]="C",WORKDAY(Main[[#This Row],[Tech Start Date]],23),IF(Main[[#This Row],[Class]]="B", WORKDAY(Main[[#This Row],[Tech Start Date]],15),IF(Main[[#This Row],[Class]]="A",WORKDAY(Main[[#This Row],[Tech Start Date]],5),""))))</f>
        <v/>
      </c>
      <c r="P281" s="77" t="str">
        <f>IF(Main[[#This Row],[Tech Start Date]]&lt;1/1/1990,"",IF(Main[[#This Row],[Class]]="C",WORKDAY(Main[[#This Row],[Tech Start Date]],28),IF(Main[[#This Row],[Class]]="B", WORKDAY(Main[[#This Row],[Tech Start Date]],19),IF(Main[[#This Row],[Class]]="A",WORKDAY(Main[[#This Row],[Tech Start Date]],9),""))))</f>
        <v/>
      </c>
      <c r="Q281" s="74">
        <v>40659</v>
      </c>
      <c r="R281" s="74"/>
      <c r="S281" s="72" t="s">
        <v>6</v>
      </c>
      <c r="T281" s="80" t="s">
        <v>4</v>
      </c>
      <c r="U281" s="72" t="s">
        <v>29</v>
      </c>
      <c r="V281" s="72" t="s">
        <v>1937</v>
      </c>
      <c r="W281" s="72" t="s">
        <v>1945</v>
      </c>
      <c r="X281" s="72" t="s">
        <v>2973</v>
      </c>
      <c r="Y281" s="72" t="s">
        <v>3094</v>
      </c>
      <c r="Z281" s="72" t="s">
        <v>4</v>
      </c>
    </row>
    <row r="282" spans="1:26" ht="18.600000000000001" customHeight="1">
      <c r="A282" s="142" t="str">
        <f>IF(priority(Main[[#This Row],[Comments]])&lt;&gt;0, priority(Main[[#This Row],[Comments]]),"")</f>
        <v/>
      </c>
      <c r="B282" s="90" t="s">
        <v>1131</v>
      </c>
      <c r="C282" s="72" t="s">
        <v>4</v>
      </c>
      <c r="D282" s="73" t="s">
        <v>164</v>
      </c>
      <c r="E282" s="74">
        <v>40585.667395833334</v>
      </c>
      <c r="F282" s="74">
        <v>40602</v>
      </c>
      <c r="G282" s="75" t="str">
        <f>IF(stdProdLT(Main[[#This Row],[Comments]])=0.1,"N/A",IF(stdProdLT(Main[[#This Row],[Comments]])=0,"",stdProdLT(Main[[#This Row],[Comments]])))</f>
        <v/>
      </c>
      <c r="H282" s="76" t="str">
        <f>IF(AND(Main[[#This Row],[In Stock Date]]&lt;&gt;"",Main[[#This Row],[Revised Due Date]]&lt;&gt;""),Main[[#This Row],[In Stock Date]]-Main[[#This Row],[Revised Due Date]],"")</f>
        <v/>
      </c>
      <c r="I282" s="72" t="s">
        <v>165</v>
      </c>
      <c r="J282" s="72" t="s">
        <v>52</v>
      </c>
      <c r="K282" s="72" t="s">
        <v>1946</v>
      </c>
      <c r="L282" s="74"/>
      <c r="M282" s="77" t="str">
        <f>IF(Main[[#This Row],[Tech Start Date]]&lt;1/1/1990,"",IF(Main[[#This Row],[Class]]="C",WORKDAY(Main[[#This Row],[Tech Start Date]],9),IF(Main[[#This Row],[Class]]="B", WORKDAY(Main[[#This Row],[Tech Start Date]],6),IF(Main[[#This Row],[Class]]="A",WORKDAY(Main[[#This Row],[Tech Start Date]],2),""))))</f>
        <v/>
      </c>
      <c r="N282" s="77" t="str">
        <f>IF(Main[[#This Row],[Tech Start Date]]&lt;1/1/1990,"",IF(Main[[#This Row],[Class]]="C",WORKDAY(Main[[#This Row],[Tech Start Date]],19),IF(Main[[#This Row],[Class]]="B", WORKDAY(Main[[#This Row],[Tech Start Date]],12),IF(Main[[#This Row],[Class]]="A",WORKDAY(Main[[#This Row],[Tech Start Date]],4),""))))</f>
        <v/>
      </c>
      <c r="O282" s="77" t="str">
        <f>IF(Main[[#This Row],[Tech Start Date]]&lt;1/1/1990,"",IF(Main[[#This Row],[Class]]="C",WORKDAY(Main[[#This Row],[Tech Start Date]],23),IF(Main[[#This Row],[Class]]="B", WORKDAY(Main[[#This Row],[Tech Start Date]],15),IF(Main[[#This Row],[Class]]="A",WORKDAY(Main[[#This Row],[Tech Start Date]],5),""))))</f>
        <v/>
      </c>
      <c r="P282" s="77" t="str">
        <f>IF(Main[[#This Row],[Tech Start Date]]&lt;1/1/1990,"",IF(Main[[#This Row],[Class]]="C",WORKDAY(Main[[#This Row],[Tech Start Date]],28),IF(Main[[#This Row],[Class]]="B", WORKDAY(Main[[#This Row],[Tech Start Date]],19),IF(Main[[#This Row],[Class]]="A",WORKDAY(Main[[#This Row],[Tech Start Date]],9),""))))</f>
        <v/>
      </c>
      <c r="Q282" s="74">
        <v>40602</v>
      </c>
      <c r="R282" s="74"/>
      <c r="S282" s="72" t="s">
        <v>6</v>
      </c>
      <c r="T282" s="80" t="s">
        <v>4</v>
      </c>
      <c r="U282" s="72" t="s">
        <v>29</v>
      </c>
      <c r="V282" s="72" t="s">
        <v>1940</v>
      </c>
      <c r="W282" s="72" t="s">
        <v>1939</v>
      </c>
      <c r="X282" s="72" t="s">
        <v>30</v>
      </c>
      <c r="Y282" s="72" t="s">
        <v>3115</v>
      </c>
      <c r="Z282" s="72" t="s">
        <v>421</v>
      </c>
    </row>
    <row r="283" spans="1:26" ht="18.600000000000001" customHeight="1">
      <c r="A283" s="142" t="str">
        <f>IF(priority(Main[[#This Row],[Comments]])&lt;&gt;0, priority(Main[[#This Row],[Comments]]),"")</f>
        <v/>
      </c>
      <c r="B283" s="90" t="s">
        <v>1132</v>
      </c>
      <c r="C283" s="72" t="s">
        <v>4</v>
      </c>
      <c r="D283" s="73" t="s">
        <v>166</v>
      </c>
      <c r="E283" s="74">
        <v>40315.288738425923</v>
      </c>
      <c r="F283" s="74"/>
      <c r="G283" s="75" t="str">
        <f>IF(stdProdLT(Main[[#This Row],[Comments]])=0.1,"N/A",IF(stdProdLT(Main[[#This Row],[Comments]])=0,"",stdProdLT(Main[[#This Row],[Comments]])))</f>
        <v/>
      </c>
      <c r="H283" s="76" t="str">
        <f>IF(AND(Main[[#This Row],[In Stock Date]]&lt;&gt;"",Main[[#This Row],[Revised Due Date]]&lt;&gt;""),Main[[#This Row],[In Stock Date]]-Main[[#This Row],[Revised Due Date]],"")</f>
        <v/>
      </c>
      <c r="I283" s="72" t="s">
        <v>129</v>
      </c>
      <c r="J283" s="72" t="s">
        <v>4</v>
      </c>
      <c r="K283" s="72" t="s">
        <v>4</v>
      </c>
      <c r="L283" s="74"/>
      <c r="M283" s="77" t="str">
        <f>IF(Main[[#This Row],[Tech Start Date]]&lt;1/1/1990,"",IF(Main[[#This Row],[Class]]="C",WORKDAY(Main[[#This Row],[Tech Start Date]],9),IF(Main[[#This Row],[Class]]="B", WORKDAY(Main[[#This Row],[Tech Start Date]],6),IF(Main[[#This Row],[Class]]="A",WORKDAY(Main[[#This Row],[Tech Start Date]],2),""))))</f>
        <v/>
      </c>
      <c r="N283" s="77" t="str">
        <f>IF(Main[[#This Row],[Tech Start Date]]&lt;1/1/1990,"",IF(Main[[#This Row],[Class]]="C",WORKDAY(Main[[#This Row],[Tech Start Date]],19),IF(Main[[#This Row],[Class]]="B", WORKDAY(Main[[#This Row],[Tech Start Date]],12),IF(Main[[#This Row],[Class]]="A",WORKDAY(Main[[#This Row],[Tech Start Date]],4),""))))</f>
        <v/>
      </c>
      <c r="O283" s="77" t="str">
        <f>IF(Main[[#This Row],[Tech Start Date]]&lt;1/1/1990,"",IF(Main[[#This Row],[Class]]="C",WORKDAY(Main[[#This Row],[Tech Start Date]],23),IF(Main[[#This Row],[Class]]="B", WORKDAY(Main[[#This Row],[Tech Start Date]],15),IF(Main[[#This Row],[Class]]="A",WORKDAY(Main[[#This Row],[Tech Start Date]],5),""))))</f>
        <v/>
      </c>
      <c r="P283" s="77" t="str">
        <f>IF(Main[[#This Row],[Tech Start Date]]&lt;1/1/1990,"",IF(Main[[#This Row],[Class]]="C",WORKDAY(Main[[#This Row],[Tech Start Date]],28),IF(Main[[#This Row],[Class]]="B", WORKDAY(Main[[#This Row],[Tech Start Date]],19),IF(Main[[#This Row],[Class]]="A",WORKDAY(Main[[#This Row],[Tech Start Date]],9),""))))</f>
        <v/>
      </c>
      <c r="Q283" s="74">
        <v>40359</v>
      </c>
      <c r="R283" s="74"/>
      <c r="S283" s="72" t="s">
        <v>6</v>
      </c>
      <c r="T283" s="80" t="s">
        <v>4</v>
      </c>
      <c r="U283" s="72" t="s">
        <v>7</v>
      </c>
      <c r="V283" s="72" t="s">
        <v>1937</v>
      </c>
      <c r="W283" s="72" t="s">
        <v>4</v>
      </c>
      <c r="X283" s="72" t="s">
        <v>2974</v>
      </c>
      <c r="Y283" s="72" t="s">
        <v>3096</v>
      </c>
      <c r="Z283" s="72" t="s">
        <v>4</v>
      </c>
    </row>
    <row r="284" spans="1:26" ht="18.600000000000001" customHeight="1">
      <c r="A284" s="142" t="str">
        <f>IF(priority(Main[[#This Row],[Comments]])&lt;&gt;0, priority(Main[[#This Row],[Comments]]),"")</f>
        <v/>
      </c>
      <c r="B284" s="90" t="s">
        <v>1133</v>
      </c>
      <c r="C284" s="72" t="s">
        <v>31</v>
      </c>
      <c r="D284" s="73" t="s">
        <v>167</v>
      </c>
      <c r="E284" s="74">
        <v>40490.313692129632</v>
      </c>
      <c r="F284" s="74">
        <v>40546</v>
      </c>
      <c r="G284" s="75" t="str">
        <f>IF(stdProdLT(Main[[#This Row],[Comments]])=0.1,"N/A",IF(stdProdLT(Main[[#This Row],[Comments]])=0,"",stdProdLT(Main[[#This Row],[Comments]])))</f>
        <v/>
      </c>
      <c r="H284" s="76" t="str">
        <f>IF(AND(Main[[#This Row],[In Stock Date]]&lt;&gt;"",Main[[#This Row],[Revised Due Date]]&lt;&gt;""),Main[[#This Row],[In Stock Date]]-Main[[#This Row],[Revised Due Date]],"")</f>
        <v/>
      </c>
      <c r="I284" s="72" t="s">
        <v>4</v>
      </c>
      <c r="J284" s="72" t="s">
        <v>4</v>
      </c>
      <c r="K284" s="72" t="s">
        <v>4</v>
      </c>
      <c r="L284" s="74"/>
      <c r="M284" s="77" t="str">
        <f>IF(Main[[#This Row],[Tech Start Date]]&lt;1/1/1990,"",IF(Main[[#This Row],[Class]]="C",WORKDAY(Main[[#This Row],[Tech Start Date]],9),IF(Main[[#This Row],[Class]]="B", WORKDAY(Main[[#This Row],[Tech Start Date]],6),IF(Main[[#This Row],[Class]]="A",WORKDAY(Main[[#This Row],[Tech Start Date]],2),""))))</f>
        <v/>
      </c>
      <c r="N284" s="77" t="str">
        <f>IF(Main[[#This Row],[Tech Start Date]]&lt;1/1/1990,"",IF(Main[[#This Row],[Class]]="C",WORKDAY(Main[[#This Row],[Tech Start Date]],19),IF(Main[[#This Row],[Class]]="B", WORKDAY(Main[[#This Row],[Tech Start Date]],12),IF(Main[[#This Row],[Class]]="A",WORKDAY(Main[[#This Row],[Tech Start Date]],4),""))))</f>
        <v/>
      </c>
      <c r="O284" s="77" t="str">
        <f>IF(Main[[#This Row],[Tech Start Date]]&lt;1/1/1990,"",IF(Main[[#This Row],[Class]]="C",WORKDAY(Main[[#This Row],[Tech Start Date]],23),IF(Main[[#This Row],[Class]]="B", WORKDAY(Main[[#This Row],[Tech Start Date]],15),IF(Main[[#This Row],[Class]]="A",WORKDAY(Main[[#This Row],[Tech Start Date]],5),""))))</f>
        <v/>
      </c>
      <c r="P284" s="77" t="str">
        <f>IF(Main[[#This Row],[Tech Start Date]]&lt;1/1/1990,"",IF(Main[[#This Row],[Class]]="C",WORKDAY(Main[[#This Row],[Tech Start Date]],28),IF(Main[[#This Row],[Class]]="B", WORKDAY(Main[[#This Row],[Tech Start Date]],19),IF(Main[[#This Row],[Class]]="A",WORKDAY(Main[[#This Row],[Tech Start Date]],9),""))))</f>
        <v/>
      </c>
      <c r="Q284" s="74">
        <v>40543</v>
      </c>
      <c r="R284" s="74"/>
      <c r="S284" s="72" t="s">
        <v>17</v>
      </c>
      <c r="T284" s="80" t="s">
        <v>4</v>
      </c>
      <c r="U284" s="72" t="s">
        <v>7</v>
      </c>
      <c r="V284" s="72" t="s">
        <v>1940</v>
      </c>
      <c r="W284" s="72" t="s">
        <v>4</v>
      </c>
      <c r="X284" s="72" t="s">
        <v>3008</v>
      </c>
      <c r="Y284" s="72" t="s">
        <v>3155</v>
      </c>
      <c r="Z284" s="72" t="s">
        <v>4</v>
      </c>
    </row>
    <row r="285" spans="1:26" ht="18.600000000000001" customHeight="1">
      <c r="A285" s="142" t="str">
        <f>IF(priority(Main[[#This Row],[Comments]])&lt;&gt;0, priority(Main[[#This Row],[Comments]]),"")</f>
        <v/>
      </c>
      <c r="B285" s="90" t="s">
        <v>1134</v>
      </c>
      <c r="C285" s="72" t="s">
        <v>4</v>
      </c>
      <c r="D285" s="73" t="s">
        <v>168</v>
      </c>
      <c r="E285" s="74">
        <v>40455.90861111111</v>
      </c>
      <c r="F285" s="74"/>
      <c r="G285" s="75" t="str">
        <f>IF(stdProdLT(Main[[#This Row],[Comments]])=0.1,"N/A",IF(stdProdLT(Main[[#This Row],[Comments]])=0,"",stdProdLT(Main[[#This Row],[Comments]])))</f>
        <v/>
      </c>
      <c r="H285" s="76" t="str">
        <f>IF(AND(Main[[#This Row],[In Stock Date]]&lt;&gt;"",Main[[#This Row],[Revised Due Date]]&lt;&gt;""),Main[[#This Row],[In Stock Date]]-Main[[#This Row],[Revised Due Date]],"")</f>
        <v/>
      </c>
      <c r="I285" s="72" t="s">
        <v>4</v>
      </c>
      <c r="J285" s="72" t="s">
        <v>28</v>
      </c>
      <c r="K285" s="81" t="s">
        <v>1949</v>
      </c>
      <c r="L285" s="74"/>
      <c r="M285" s="77" t="str">
        <f>IF(Main[[#This Row],[Tech Start Date]]&lt;1/1/1990,"",IF(Main[[#This Row],[Class]]="C",WORKDAY(Main[[#This Row],[Tech Start Date]],9),IF(Main[[#This Row],[Class]]="B", WORKDAY(Main[[#This Row],[Tech Start Date]],6),IF(Main[[#This Row],[Class]]="A",WORKDAY(Main[[#This Row],[Tech Start Date]],2),""))))</f>
        <v/>
      </c>
      <c r="N285" s="77" t="str">
        <f>IF(Main[[#This Row],[Tech Start Date]]&lt;1/1/1990,"",IF(Main[[#This Row],[Class]]="C",WORKDAY(Main[[#This Row],[Tech Start Date]],19),IF(Main[[#This Row],[Class]]="B", WORKDAY(Main[[#This Row],[Tech Start Date]],12),IF(Main[[#This Row],[Class]]="A",WORKDAY(Main[[#This Row],[Tech Start Date]],4),""))))</f>
        <v/>
      </c>
      <c r="O285" s="77" t="str">
        <f>IF(Main[[#This Row],[Tech Start Date]]&lt;1/1/1990,"",IF(Main[[#This Row],[Class]]="C",WORKDAY(Main[[#This Row],[Tech Start Date]],23),IF(Main[[#This Row],[Class]]="B", WORKDAY(Main[[#This Row],[Tech Start Date]],15),IF(Main[[#This Row],[Class]]="A",WORKDAY(Main[[#This Row],[Tech Start Date]],5),""))))</f>
        <v/>
      </c>
      <c r="P285" s="77" t="str">
        <f>IF(Main[[#This Row],[Tech Start Date]]&lt;1/1/1990,"",IF(Main[[#This Row],[Class]]="C",WORKDAY(Main[[#This Row],[Tech Start Date]],28),IF(Main[[#This Row],[Class]]="B", WORKDAY(Main[[#This Row],[Tech Start Date]],19),IF(Main[[#This Row],[Class]]="A",WORKDAY(Main[[#This Row],[Tech Start Date]],9),""))))</f>
        <v/>
      </c>
      <c r="Q285" s="74">
        <v>40512</v>
      </c>
      <c r="R285" s="74"/>
      <c r="S285" s="72" t="s">
        <v>17</v>
      </c>
      <c r="T285" s="80" t="s">
        <v>4</v>
      </c>
      <c r="U285" s="72" t="s">
        <v>7</v>
      </c>
      <c r="V285" s="72" t="s">
        <v>1937</v>
      </c>
      <c r="W285" s="72" t="s">
        <v>1942</v>
      </c>
      <c r="X285" s="72" t="s">
        <v>129</v>
      </c>
      <c r="Y285" s="72" t="s">
        <v>3091</v>
      </c>
      <c r="Z285" s="72" t="s">
        <v>129</v>
      </c>
    </row>
    <row r="286" spans="1:26" ht="18.600000000000001" customHeight="1">
      <c r="A286" s="142" t="str">
        <f>IF(priority(Main[[#This Row],[Comments]])&lt;&gt;0, priority(Main[[#This Row],[Comments]]),"")</f>
        <v/>
      </c>
      <c r="B286" s="90" t="s">
        <v>1135</v>
      </c>
      <c r="C286" s="72" t="s">
        <v>4</v>
      </c>
      <c r="D286" s="73" t="s">
        <v>169</v>
      </c>
      <c r="E286" s="74"/>
      <c r="F286" s="74"/>
      <c r="G286" s="75" t="str">
        <f>IF(stdProdLT(Main[[#This Row],[Comments]])=0.1,"N/A",IF(stdProdLT(Main[[#This Row],[Comments]])=0,"",stdProdLT(Main[[#This Row],[Comments]])))</f>
        <v/>
      </c>
      <c r="H286" s="76" t="str">
        <f>IF(AND(Main[[#This Row],[In Stock Date]]&lt;&gt;"",Main[[#This Row],[Revised Due Date]]&lt;&gt;""),Main[[#This Row],[In Stock Date]]-Main[[#This Row],[Revised Due Date]],"")</f>
        <v/>
      </c>
      <c r="I286" s="72" t="s">
        <v>4</v>
      </c>
      <c r="J286" s="72" t="s">
        <v>28</v>
      </c>
      <c r="K286" s="72" t="s">
        <v>1949</v>
      </c>
      <c r="L286" s="74"/>
      <c r="M286" s="77" t="str">
        <f>IF(Main[[#This Row],[Tech Start Date]]&lt;1/1/1990,"",IF(Main[[#This Row],[Class]]="C",WORKDAY(Main[[#This Row],[Tech Start Date]],9),IF(Main[[#This Row],[Class]]="B", WORKDAY(Main[[#This Row],[Tech Start Date]],6),IF(Main[[#This Row],[Class]]="A",WORKDAY(Main[[#This Row],[Tech Start Date]],2),""))))</f>
        <v/>
      </c>
      <c r="N286" s="77" t="str">
        <f>IF(Main[[#This Row],[Tech Start Date]]&lt;1/1/1990,"",IF(Main[[#This Row],[Class]]="C",WORKDAY(Main[[#This Row],[Tech Start Date]],19),IF(Main[[#This Row],[Class]]="B", WORKDAY(Main[[#This Row],[Tech Start Date]],12),IF(Main[[#This Row],[Class]]="A",WORKDAY(Main[[#This Row],[Tech Start Date]],4),""))))</f>
        <v/>
      </c>
      <c r="O286" s="77" t="str">
        <f>IF(Main[[#This Row],[Tech Start Date]]&lt;1/1/1990,"",IF(Main[[#This Row],[Class]]="C",WORKDAY(Main[[#This Row],[Tech Start Date]],23),IF(Main[[#This Row],[Class]]="B", WORKDAY(Main[[#This Row],[Tech Start Date]],15),IF(Main[[#This Row],[Class]]="A",WORKDAY(Main[[#This Row],[Tech Start Date]],5),""))))</f>
        <v/>
      </c>
      <c r="P286" s="77" t="str">
        <f>IF(Main[[#This Row],[Tech Start Date]]&lt;1/1/1990,"",IF(Main[[#This Row],[Class]]="C",WORKDAY(Main[[#This Row],[Tech Start Date]],28),IF(Main[[#This Row],[Class]]="B", WORKDAY(Main[[#This Row],[Tech Start Date]],19),IF(Main[[#This Row],[Class]]="A",WORKDAY(Main[[#This Row],[Tech Start Date]],9),""))))</f>
        <v/>
      </c>
      <c r="Q286" s="74"/>
      <c r="R286" s="74"/>
      <c r="S286" s="72" t="s">
        <v>17</v>
      </c>
      <c r="T286" s="80" t="s">
        <v>4</v>
      </c>
      <c r="U286" s="72" t="s">
        <v>14</v>
      </c>
      <c r="V286" s="72" t="s">
        <v>1940</v>
      </c>
      <c r="W286" s="72" t="s">
        <v>1942</v>
      </c>
      <c r="X286" s="72" t="s">
        <v>560</v>
      </c>
      <c r="Y286" s="72" t="s">
        <v>3110</v>
      </c>
      <c r="Z286" s="72" t="s">
        <v>984</v>
      </c>
    </row>
    <row r="287" spans="1:26" ht="18.600000000000001" customHeight="1">
      <c r="A287" s="142" t="str">
        <f>IF(priority(Main[[#This Row],[Comments]])&lt;&gt;0, priority(Main[[#This Row],[Comments]]),"")</f>
        <v/>
      </c>
      <c r="B287" s="90" t="s">
        <v>2741</v>
      </c>
      <c r="C287" s="72" t="s">
        <v>4</v>
      </c>
      <c r="D287" s="73" t="s">
        <v>2785</v>
      </c>
      <c r="E287" s="74">
        <v>40879.610138888886</v>
      </c>
      <c r="F287" s="74"/>
      <c r="G287" s="75" t="str">
        <f>IF(stdProdLT(Main[[#This Row],[Comments]])=0.1,"N/A",IF(stdProdLT(Main[[#This Row],[Comments]])=0,"",stdProdLT(Main[[#This Row],[Comments]])))</f>
        <v/>
      </c>
      <c r="H287" s="76" t="str">
        <f>IF(AND(Main[[#This Row],[In Stock Date]]&lt;&gt;"",Main[[#This Row],[Revised Due Date]]&lt;&gt;""),Main[[#This Row],[In Stock Date]]-Main[[#This Row],[Revised Due Date]],"")</f>
        <v/>
      </c>
      <c r="I287" s="72" t="s">
        <v>69</v>
      </c>
      <c r="J287" s="72" t="s">
        <v>21</v>
      </c>
      <c r="K287" s="72" t="s">
        <v>1946</v>
      </c>
      <c r="L287" s="74"/>
      <c r="M287" s="77" t="str">
        <f>IF(Main[[#This Row],[Tech Start Date]]&lt;1/1/1990,"",IF(Main[[#This Row],[Class]]="C",WORKDAY(Main[[#This Row],[Tech Start Date]],9),IF(Main[[#This Row],[Class]]="B", WORKDAY(Main[[#This Row],[Tech Start Date]],6),IF(Main[[#This Row],[Class]]="A",WORKDAY(Main[[#This Row],[Tech Start Date]],2),""))))</f>
        <v/>
      </c>
      <c r="N287" s="77" t="str">
        <f>IF(Main[[#This Row],[Tech Start Date]]&lt;1/1/1990,"",IF(Main[[#This Row],[Class]]="C",WORKDAY(Main[[#This Row],[Tech Start Date]],19),IF(Main[[#This Row],[Class]]="B", WORKDAY(Main[[#This Row],[Tech Start Date]],12),IF(Main[[#This Row],[Class]]="A",WORKDAY(Main[[#This Row],[Tech Start Date]],4),""))))</f>
        <v/>
      </c>
      <c r="O287" s="77" t="str">
        <f>IF(Main[[#This Row],[Tech Start Date]]&lt;1/1/1990,"",IF(Main[[#This Row],[Class]]="C",WORKDAY(Main[[#This Row],[Tech Start Date]],23),IF(Main[[#This Row],[Class]]="B", WORKDAY(Main[[#This Row],[Tech Start Date]],15),IF(Main[[#This Row],[Class]]="A",WORKDAY(Main[[#This Row],[Tech Start Date]],5),""))))</f>
        <v/>
      </c>
      <c r="P287" s="77" t="str">
        <f>IF(Main[[#This Row],[Tech Start Date]]&lt;1/1/1990,"",IF(Main[[#This Row],[Class]]="C",WORKDAY(Main[[#This Row],[Tech Start Date]],28),IF(Main[[#This Row],[Class]]="B", WORKDAY(Main[[#This Row],[Tech Start Date]],19),IF(Main[[#This Row],[Class]]="A",WORKDAY(Main[[#This Row],[Tech Start Date]],9),""))))</f>
        <v/>
      </c>
      <c r="Q287" s="74">
        <v>40921</v>
      </c>
      <c r="R287" s="74"/>
      <c r="S287" s="72" t="s">
        <v>6</v>
      </c>
      <c r="T287" s="80" t="s">
        <v>4</v>
      </c>
      <c r="U287" s="72" t="s">
        <v>29</v>
      </c>
      <c r="V287" s="72" t="s">
        <v>1947</v>
      </c>
      <c r="W287" s="72" t="s">
        <v>1941</v>
      </c>
      <c r="X287" s="72" t="s">
        <v>2970</v>
      </c>
      <c r="Y287" s="72" t="s">
        <v>3087</v>
      </c>
      <c r="Z287" s="72" t="s">
        <v>30</v>
      </c>
    </row>
    <row r="288" spans="1:26" ht="18.600000000000001" customHeight="1">
      <c r="A288" s="142" t="str">
        <f>IF(priority(Main[[#This Row],[Comments]])&lt;&gt;0, priority(Main[[#This Row],[Comments]]),"")</f>
        <v/>
      </c>
      <c r="B288" s="90" t="s">
        <v>1137</v>
      </c>
      <c r="C288" s="72" t="s">
        <v>171</v>
      </c>
      <c r="D288" s="73" t="s">
        <v>172</v>
      </c>
      <c r="E288" s="74"/>
      <c r="F288" s="74">
        <v>40237</v>
      </c>
      <c r="G288" s="75" t="str">
        <f>IF(stdProdLT(Main[[#This Row],[Comments]])=0.1,"N/A",IF(stdProdLT(Main[[#This Row],[Comments]])=0,"",stdProdLT(Main[[#This Row],[Comments]])))</f>
        <v/>
      </c>
      <c r="H288" s="76" t="str">
        <f>IF(AND(Main[[#This Row],[In Stock Date]]&lt;&gt;"",Main[[#This Row],[Revised Due Date]]&lt;&gt;""),Main[[#This Row],[In Stock Date]]-Main[[#This Row],[Revised Due Date]],"")</f>
        <v/>
      </c>
      <c r="I288" s="72" t="s">
        <v>4</v>
      </c>
      <c r="J288" s="72" t="s">
        <v>4</v>
      </c>
      <c r="K288" s="72" t="s">
        <v>4</v>
      </c>
      <c r="L288" s="74"/>
      <c r="M288" s="77" t="str">
        <f>IF(Main[[#This Row],[Tech Start Date]]&lt;1/1/1990,"",IF(Main[[#This Row],[Class]]="C",WORKDAY(Main[[#This Row],[Tech Start Date]],9),IF(Main[[#This Row],[Class]]="B", WORKDAY(Main[[#This Row],[Tech Start Date]],6),IF(Main[[#This Row],[Class]]="A",WORKDAY(Main[[#This Row],[Tech Start Date]],2),""))))</f>
        <v/>
      </c>
      <c r="N288" s="77" t="str">
        <f>IF(Main[[#This Row],[Tech Start Date]]&lt;1/1/1990,"",IF(Main[[#This Row],[Class]]="C",WORKDAY(Main[[#This Row],[Tech Start Date]],19),IF(Main[[#This Row],[Class]]="B", WORKDAY(Main[[#This Row],[Tech Start Date]],12),IF(Main[[#This Row],[Class]]="A",WORKDAY(Main[[#This Row],[Tech Start Date]],4),""))))</f>
        <v/>
      </c>
      <c r="O288" s="77" t="str">
        <f>IF(Main[[#This Row],[Tech Start Date]]&lt;1/1/1990,"",IF(Main[[#This Row],[Class]]="C",WORKDAY(Main[[#This Row],[Tech Start Date]],23),IF(Main[[#This Row],[Class]]="B", WORKDAY(Main[[#This Row],[Tech Start Date]],15),IF(Main[[#This Row],[Class]]="A",WORKDAY(Main[[#This Row],[Tech Start Date]],5),""))))</f>
        <v/>
      </c>
      <c r="P288" s="77" t="str">
        <f>IF(Main[[#This Row],[Tech Start Date]]&lt;1/1/1990,"",IF(Main[[#This Row],[Class]]="C",WORKDAY(Main[[#This Row],[Tech Start Date]],28),IF(Main[[#This Row],[Class]]="B", WORKDAY(Main[[#This Row],[Tech Start Date]],19),IF(Main[[#This Row],[Class]]="A",WORKDAY(Main[[#This Row],[Tech Start Date]],9),""))))</f>
        <v/>
      </c>
      <c r="Q288" s="74">
        <v>40132</v>
      </c>
      <c r="R288" s="74"/>
      <c r="S288" s="72" t="s">
        <v>11</v>
      </c>
      <c r="T288" s="80" t="s">
        <v>4</v>
      </c>
      <c r="U288" s="72" t="s">
        <v>14</v>
      </c>
      <c r="V288" s="72" t="s">
        <v>1937</v>
      </c>
      <c r="W288" s="72" t="s">
        <v>1942</v>
      </c>
      <c r="X288" s="72" t="s">
        <v>3010</v>
      </c>
      <c r="Y288" s="72" t="s">
        <v>4</v>
      </c>
      <c r="Z288" s="72" t="s">
        <v>4</v>
      </c>
    </row>
    <row r="289" spans="1:26" ht="18.600000000000001" customHeight="1">
      <c r="A289" s="142" t="str">
        <f>IF(priority(Main[[#This Row],[Comments]])&lt;&gt;0, priority(Main[[#This Row],[Comments]]),"")</f>
        <v/>
      </c>
      <c r="B289" s="90" t="s">
        <v>2395</v>
      </c>
      <c r="C289" s="72" t="s">
        <v>4</v>
      </c>
      <c r="D289" s="73" t="s">
        <v>2396</v>
      </c>
      <c r="E289" s="74">
        <v>40826.383356481485</v>
      </c>
      <c r="F289" s="74"/>
      <c r="G289" s="75" t="str">
        <f>IF(stdProdLT(Main[[#This Row],[Comments]])=0.1,"N/A",IF(stdProdLT(Main[[#This Row],[Comments]])=0,"",stdProdLT(Main[[#This Row],[Comments]])))</f>
        <v/>
      </c>
      <c r="H289" s="76" t="str">
        <f>IF(AND(Main[[#This Row],[In Stock Date]]&lt;&gt;"",Main[[#This Row],[Revised Due Date]]&lt;&gt;""),Main[[#This Row],[In Stock Date]]-Main[[#This Row],[Revised Due Date]],"")</f>
        <v/>
      </c>
      <c r="I289" s="72" t="s">
        <v>30</v>
      </c>
      <c r="J289" s="72" t="s">
        <v>2243</v>
      </c>
      <c r="K289" s="72" t="s">
        <v>4</v>
      </c>
      <c r="L289" s="74"/>
      <c r="M289" s="77" t="str">
        <f>IF(Main[[#This Row],[Tech Start Date]]&lt;1/1/1990,"",IF(Main[[#This Row],[Class]]="C",WORKDAY(Main[[#This Row],[Tech Start Date]],9),IF(Main[[#This Row],[Class]]="B", WORKDAY(Main[[#This Row],[Tech Start Date]],6),IF(Main[[#This Row],[Class]]="A",WORKDAY(Main[[#This Row],[Tech Start Date]],2),""))))</f>
        <v/>
      </c>
      <c r="N289" s="77" t="str">
        <f>IF(Main[[#This Row],[Tech Start Date]]&lt;1/1/1990,"",IF(Main[[#This Row],[Class]]="C",WORKDAY(Main[[#This Row],[Tech Start Date]],19),IF(Main[[#This Row],[Class]]="B", WORKDAY(Main[[#This Row],[Tech Start Date]],12),IF(Main[[#This Row],[Class]]="A",WORKDAY(Main[[#This Row],[Tech Start Date]],4),""))))</f>
        <v/>
      </c>
      <c r="O289" s="77" t="str">
        <f>IF(Main[[#This Row],[Tech Start Date]]&lt;1/1/1990,"",IF(Main[[#This Row],[Class]]="C",WORKDAY(Main[[#This Row],[Tech Start Date]],23),IF(Main[[#This Row],[Class]]="B", WORKDAY(Main[[#This Row],[Tech Start Date]],15),IF(Main[[#This Row],[Class]]="A",WORKDAY(Main[[#This Row],[Tech Start Date]],5),""))))</f>
        <v/>
      </c>
      <c r="P289" s="77" t="str">
        <f>IF(Main[[#This Row],[Tech Start Date]]&lt;1/1/1990,"",IF(Main[[#This Row],[Class]]="C",WORKDAY(Main[[#This Row],[Tech Start Date]],28),IF(Main[[#This Row],[Class]]="B", WORKDAY(Main[[#This Row],[Tech Start Date]],19),IF(Main[[#This Row],[Class]]="A",WORKDAY(Main[[#This Row],[Tech Start Date]],9),""))))</f>
        <v/>
      </c>
      <c r="Q289" s="74"/>
      <c r="R289" s="74"/>
      <c r="S289" s="72" t="s">
        <v>6</v>
      </c>
      <c r="T289" s="80" t="s">
        <v>4</v>
      </c>
      <c r="U289" s="72" t="s">
        <v>29</v>
      </c>
      <c r="V289" s="72" t="s">
        <v>1940</v>
      </c>
      <c r="W289" s="72" t="s">
        <v>1939</v>
      </c>
      <c r="X289" s="72" t="s">
        <v>311</v>
      </c>
      <c r="Y289" s="72" t="s">
        <v>4</v>
      </c>
      <c r="Z289" s="72" t="s">
        <v>81</v>
      </c>
    </row>
    <row r="290" spans="1:26" ht="18.600000000000001" customHeight="1">
      <c r="A290" s="142" t="str">
        <f>IF(priority(Main[[#This Row],[Comments]])&lt;&gt;0, priority(Main[[#This Row],[Comments]]),"")</f>
        <v/>
      </c>
      <c r="B290" s="90" t="s">
        <v>1138</v>
      </c>
      <c r="C290" s="72" t="s">
        <v>174</v>
      </c>
      <c r="D290" s="73" t="s">
        <v>175</v>
      </c>
      <c r="E290" s="74"/>
      <c r="F290" s="74">
        <v>40848</v>
      </c>
      <c r="G290" s="75" t="str">
        <f>IF(stdProdLT(Main[[#This Row],[Comments]])=0.1,"N/A",IF(stdProdLT(Main[[#This Row],[Comments]])=0,"",stdProdLT(Main[[#This Row],[Comments]])))</f>
        <v/>
      </c>
      <c r="H290" s="76" t="str">
        <f>IF(AND(Main[[#This Row],[In Stock Date]]&lt;&gt;"",Main[[#This Row],[Revised Due Date]]&lt;&gt;""),Main[[#This Row],[In Stock Date]]-Main[[#This Row],[Revised Due Date]],"")</f>
        <v/>
      </c>
      <c r="I290" s="72" t="s">
        <v>4</v>
      </c>
      <c r="J290" s="72" t="s">
        <v>51</v>
      </c>
      <c r="K290" s="81" t="s">
        <v>4</v>
      </c>
      <c r="L290" s="74"/>
      <c r="M290" s="77" t="str">
        <f>IF(Main[[#This Row],[Tech Start Date]]&lt;1/1/1990,"",IF(Main[[#This Row],[Class]]="C",WORKDAY(Main[[#This Row],[Tech Start Date]],9),IF(Main[[#This Row],[Class]]="B", WORKDAY(Main[[#This Row],[Tech Start Date]],6),IF(Main[[#This Row],[Class]]="A",WORKDAY(Main[[#This Row],[Tech Start Date]],2),""))))</f>
        <v/>
      </c>
      <c r="N290" s="77" t="str">
        <f>IF(Main[[#This Row],[Tech Start Date]]&lt;1/1/1990,"",IF(Main[[#This Row],[Class]]="C",WORKDAY(Main[[#This Row],[Tech Start Date]],19),IF(Main[[#This Row],[Class]]="B", WORKDAY(Main[[#This Row],[Tech Start Date]],12),IF(Main[[#This Row],[Class]]="A",WORKDAY(Main[[#This Row],[Tech Start Date]],4),""))))</f>
        <v/>
      </c>
      <c r="O290" s="77" t="str">
        <f>IF(Main[[#This Row],[Tech Start Date]]&lt;1/1/1990,"",IF(Main[[#This Row],[Class]]="C",WORKDAY(Main[[#This Row],[Tech Start Date]],23),IF(Main[[#This Row],[Class]]="B", WORKDAY(Main[[#This Row],[Tech Start Date]],15),IF(Main[[#This Row],[Class]]="A",WORKDAY(Main[[#This Row],[Tech Start Date]],5),""))))</f>
        <v/>
      </c>
      <c r="P290" s="77" t="str">
        <f>IF(Main[[#This Row],[Tech Start Date]]&lt;1/1/1990,"",IF(Main[[#This Row],[Class]]="C",WORKDAY(Main[[#This Row],[Tech Start Date]],28),IF(Main[[#This Row],[Class]]="B", WORKDAY(Main[[#This Row],[Tech Start Date]],19),IF(Main[[#This Row],[Class]]="A",WORKDAY(Main[[#This Row],[Tech Start Date]],9),""))))</f>
        <v/>
      </c>
      <c r="Q290" s="74">
        <v>40648</v>
      </c>
      <c r="R290" s="74"/>
      <c r="S290" s="72" t="s">
        <v>11</v>
      </c>
      <c r="T290" s="80" t="s">
        <v>4</v>
      </c>
      <c r="U290" s="72" t="s">
        <v>12</v>
      </c>
      <c r="V290" s="72" t="s">
        <v>1937</v>
      </c>
      <c r="W290" s="72" t="s">
        <v>1943</v>
      </c>
      <c r="X290" s="72" t="s">
        <v>50</v>
      </c>
      <c r="Y290" s="72" t="s">
        <v>3101</v>
      </c>
      <c r="Z290" s="72" t="s">
        <v>3323</v>
      </c>
    </row>
    <row r="291" spans="1:26" ht="18.600000000000001" customHeight="1">
      <c r="A291" s="142" t="str">
        <f>IF(priority(Main[[#This Row],[Comments]])&lt;&gt;0, priority(Main[[#This Row],[Comments]]),"")</f>
        <v/>
      </c>
      <c r="B291" s="90" t="s">
        <v>2590</v>
      </c>
      <c r="C291" s="72" t="s">
        <v>2390</v>
      </c>
      <c r="D291" s="73" t="s">
        <v>2591</v>
      </c>
      <c r="E291" s="74"/>
      <c r="F291" s="74">
        <v>41030</v>
      </c>
      <c r="G291" s="75" t="str">
        <f>IF(stdProdLT(Main[[#This Row],[Comments]])=0.1,"N/A",IF(stdProdLT(Main[[#This Row],[Comments]])=0,"",stdProdLT(Main[[#This Row],[Comments]])))</f>
        <v/>
      </c>
      <c r="H291" s="76" t="str">
        <f>IF(AND(Main[[#This Row],[In Stock Date]]&lt;&gt;"",Main[[#This Row],[Revised Due Date]]&lt;&gt;""),Main[[#This Row],[In Stock Date]]-Main[[#This Row],[Revised Due Date]],"")</f>
        <v/>
      </c>
      <c r="I291" s="72" t="s">
        <v>4</v>
      </c>
      <c r="J291" s="72" t="s">
        <v>75</v>
      </c>
      <c r="K291" s="72" t="s">
        <v>4</v>
      </c>
      <c r="L291" s="74"/>
      <c r="M291" s="77" t="str">
        <f>IF(Main[[#This Row],[Tech Start Date]]&lt;1/1/1990,"",IF(Main[[#This Row],[Class]]="C",WORKDAY(Main[[#This Row],[Tech Start Date]],9),IF(Main[[#This Row],[Class]]="B", WORKDAY(Main[[#This Row],[Tech Start Date]],6),IF(Main[[#This Row],[Class]]="A",WORKDAY(Main[[#This Row],[Tech Start Date]],2),""))))</f>
        <v/>
      </c>
      <c r="N291" s="77" t="str">
        <f>IF(Main[[#This Row],[Tech Start Date]]&lt;1/1/1990,"",IF(Main[[#This Row],[Class]]="C",WORKDAY(Main[[#This Row],[Tech Start Date]],19),IF(Main[[#This Row],[Class]]="B", WORKDAY(Main[[#This Row],[Tech Start Date]],12),IF(Main[[#This Row],[Class]]="A",WORKDAY(Main[[#This Row],[Tech Start Date]],4),""))))</f>
        <v/>
      </c>
      <c r="O291" s="77" t="str">
        <f>IF(Main[[#This Row],[Tech Start Date]]&lt;1/1/1990,"",IF(Main[[#This Row],[Class]]="C",WORKDAY(Main[[#This Row],[Tech Start Date]],23),IF(Main[[#This Row],[Class]]="B", WORKDAY(Main[[#This Row],[Tech Start Date]],15),IF(Main[[#This Row],[Class]]="A",WORKDAY(Main[[#This Row],[Tech Start Date]],5),""))))</f>
        <v/>
      </c>
      <c r="P291" s="77" t="str">
        <f>IF(Main[[#This Row],[Tech Start Date]]&lt;1/1/1990,"",IF(Main[[#This Row],[Class]]="C",WORKDAY(Main[[#This Row],[Tech Start Date]],28),IF(Main[[#This Row],[Class]]="B", WORKDAY(Main[[#This Row],[Tech Start Date]],19),IF(Main[[#This Row],[Class]]="A",WORKDAY(Main[[#This Row],[Tech Start Date]],9),""))))</f>
        <v/>
      </c>
      <c r="Q291" s="74">
        <v>40923</v>
      </c>
      <c r="R291" s="74"/>
      <c r="S291" s="72" t="s">
        <v>11</v>
      </c>
      <c r="T291" s="80" t="s">
        <v>4</v>
      </c>
      <c r="U291" s="72" t="s">
        <v>14</v>
      </c>
      <c r="V291" s="72" t="s">
        <v>1947</v>
      </c>
      <c r="W291" s="72" t="s">
        <v>1943</v>
      </c>
      <c r="X291" s="72" t="s">
        <v>3000</v>
      </c>
      <c r="Y291" s="72" t="s">
        <v>3137</v>
      </c>
      <c r="Z291" s="72" t="s">
        <v>536</v>
      </c>
    </row>
    <row r="292" spans="1:26" ht="18.600000000000001" customHeight="1">
      <c r="A292" s="142" t="str">
        <f>IF(priority(Main[[#This Row],[Comments]])&lt;&gt;0, priority(Main[[#This Row],[Comments]]),"")</f>
        <v/>
      </c>
      <c r="B292" s="90" t="s">
        <v>1139</v>
      </c>
      <c r="C292" s="72" t="s">
        <v>4</v>
      </c>
      <c r="D292" s="73" t="s">
        <v>176</v>
      </c>
      <c r="E292" s="74">
        <v>40681.639328703706</v>
      </c>
      <c r="F292" s="74"/>
      <c r="G292" s="75" t="str">
        <f>IF(stdProdLT(Main[[#This Row],[Comments]])=0.1,"N/A",IF(stdProdLT(Main[[#This Row],[Comments]])=0,"",stdProdLT(Main[[#This Row],[Comments]])))</f>
        <v/>
      </c>
      <c r="H292" s="76" t="str">
        <f>IF(AND(Main[[#This Row],[In Stock Date]]&lt;&gt;"",Main[[#This Row],[Revised Due Date]]&lt;&gt;""),Main[[#This Row],[In Stock Date]]-Main[[#This Row],[Revised Due Date]],"")</f>
        <v/>
      </c>
      <c r="I292" s="72" t="s">
        <v>4</v>
      </c>
      <c r="J292" s="72" t="s">
        <v>4</v>
      </c>
      <c r="K292" s="72" t="s">
        <v>4</v>
      </c>
      <c r="L292" s="74"/>
      <c r="M292" s="77" t="str">
        <f>IF(Main[[#This Row],[Tech Start Date]]&lt;1/1/1990,"",IF(Main[[#This Row],[Class]]="C",WORKDAY(Main[[#This Row],[Tech Start Date]],9),IF(Main[[#This Row],[Class]]="B", WORKDAY(Main[[#This Row],[Tech Start Date]],6),IF(Main[[#This Row],[Class]]="A",WORKDAY(Main[[#This Row],[Tech Start Date]],2),""))))</f>
        <v/>
      </c>
      <c r="N292" s="77" t="str">
        <f>IF(Main[[#This Row],[Tech Start Date]]&lt;1/1/1990,"",IF(Main[[#This Row],[Class]]="C",WORKDAY(Main[[#This Row],[Tech Start Date]],19),IF(Main[[#This Row],[Class]]="B", WORKDAY(Main[[#This Row],[Tech Start Date]],12),IF(Main[[#This Row],[Class]]="A",WORKDAY(Main[[#This Row],[Tech Start Date]],4),""))))</f>
        <v/>
      </c>
      <c r="O292" s="77" t="str">
        <f>IF(Main[[#This Row],[Tech Start Date]]&lt;1/1/1990,"",IF(Main[[#This Row],[Class]]="C",WORKDAY(Main[[#This Row],[Tech Start Date]],23),IF(Main[[#This Row],[Class]]="B", WORKDAY(Main[[#This Row],[Tech Start Date]],15),IF(Main[[#This Row],[Class]]="A",WORKDAY(Main[[#This Row],[Tech Start Date]],5),""))))</f>
        <v/>
      </c>
      <c r="P292" s="77" t="str">
        <f>IF(Main[[#This Row],[Tech Start Date]]&lt;1/1/1990,"",IF(Main[[#This Row],[Class]]="C",WORKDAY(Main[[#This Row],[Tech Start Date]],28),IF(Main[[#This Row],[Class]]="B", WORKDAY(Main[[#This Row],[Tech Start Date]],19),IF(Main[[#This Row],[Class]]="A",WORKDAY(Main[[#This Row],[Tech Start Date]],9),""))))</f>
        <v/>
      </c>
      <c r="Q292" s="74">
        <v>40702</v>
      </c>
      <c r="R292" s="74"/>
      <c r="S292" s="72" t="s">
        <v>6</v>
      </c>
      <c r="T292" s="80" t="s">
        <v>4</v>
      </c>
      <c r="U292" s="72" t="s">
        <v>7</v>
      </c>
      <c r="V292" s="72" t="s">
        <v>1937</v>
      </c>
      <c r="W292" s="72" t="s">
        <v>1945</v>
      </c>
      <c r="X292" s="72" t="s">
        <v>2973</v>
      </c>
      <c r="Y292" s="72" t="s">
        <v>3094</v>
      </c>
      <c r="Z292" s="72" t="s">
        <v>4</v>
      </c>
    </row>
    <row r="293" spans="1:26" ht="18.600000000000001" customHeight="1">
      <c r="A293" s="142" t="str">
        <f>IF(priority(Main[[#This Row],[Comments]])&lt;&gt;0, priority(Main[[#This Row],[Comments]]),"")</f>
        <v/>
      </c>
      <c r="B293" s="90" t="s">
        <v>1323</v>
      </c>
      <c r="C293" s="72" t="s">
        <v>47</v>
      </c>
      <c r="D293" s="73" t="s">
        <v>2038</v>
      </c>
      <c r="E293" s="74">
        <v>39952.315729166665</v>
      </c>
      <c r="F293" s="74"/>
      <c r="G293" s="75" t="str">
        <f>IF(stdProdLT(Main[[#This Row],[Comments]])=0.1,"N/A",IF(stdProdLT(Main[[#This Row],[Comments]])=0,"",stdProdLT(Main[[#This Row],[Comments]])))</f>
        <v/>
      </c>
      <c r="H293" s="76" t="str">
        <f>IF(AND(Main[[#This Row],[In Stock Date]]&lt;&gt;"",Main[[#This Row],[Revised Due Date]]&lt;&gt;""),Main[[#This Row],[In Stock Date]]-Main[[#This Row],[Revised Due Date]],"")</f>
        <v/>
      </c>
      <c r="I293" s="72" t="s">
        <v>2039</v>
      </c>
      <c r="J293" s="72" t="s">
        <v>28</v>
      </c>
      <c r="K293" s="81" t="s">
        <v>4</v>
      </c>
      <c r="L293" s="74"/>
      <c r="M293" s="77" t="str">
        <f>IF(Main[[#This Row],[Tech Start Date]]&lt;1/1/1990,"",IF(Main[[#This Row],[Class]]="C",WORKDAY(Main[[#This Row],[Tech Start Date]],9),IF(Main[[#This Row],[Class]]="B", WORKDAY(Main[[#This Row],[Tech Start Date]],6),IF(Main[[#This Row],[Class]]="A",WORKDAY(Main[[#This Row],[Tech Start Date]],2),""))))</f>
        <v/>
      </c>
      <c r="N293" s="77" t="str">
        <f>IF(Main[[#This Row],[Tech Start Date]]&lt;1/1/1990,"",IF(Main[[#This Row],[Class]]="C",WORKDAY(Main[[#This Row],[Tech Start Date]],19),IF(Main[[#This Row],[Class]]="B", WORKDAY(Main[[#This Row],[Tech Start Date]],12),IF(Main[[#This Row],[Class]]="A",WORKDAY(Main[[#This Row],[Tech Start Date]],4),""))))</f>
        <v/>
      </c>
      <c r="O293" s="77" t="str">
        <f>IF(Main[[#This Row],[Tech Start Date]]&lt;1/1/1990,"",IF(Main[[#This Row],[Class]]="C",WORKDAY(Main[[#This Row],[Tech Start Date]],23),IF(Main[[#This Row],[Class]]="B", WORKDAY(Main[[#This Row],[Tech Start Date]],15),IF(Main[[#This Row],[Class]]="A",WORKDAY(Main[[#This Row],[Tech Start Date]],5),""))))</f>
        <v/>
      </c>
      <c r="P293" s="77" t="str">
        <f>IF(Main[[#This Row],[Tech Start Date]]&lt;1/1/1990,"",IF(Main[[#This Row],[Class]]="C",WORKDAY(Main[[#This Row],[Tech Start Date]],28),IF(Main[[#This Row],[Class]]="B", WORKDAY(Main[[#This Row],[Tech Start Date]],19),IF(Main[[#This Row],[Class]]="A",WORKDAY(Main[[#This Row],[Tech Start Date]],9),""))))</f>
        <v/>
      </c>
      <c r="Q293" s="74"/>
      <c r="R293" s="74"/>
      <c r="S293" s="72" t="s">
        <v>17</v>
      </c>
      <c r="T293" s="80" t="s">
        <v>4</v>
      </c>
      <c r="U293" s="72" t="s">
        <v>7</v>
      </c>
      <c r="V293" s="72" t="s">
        <v>1952</v>
      </c>
      <c r="W293" s="72" t="s">
        <v>1942</v>
      </c>
      <c r="X293" s="72" t="s">
        <v>3011</v>
      </c>
      <c r="Y293" s="72" t="s">
        <v>3106</v>
      </c>
      <c r="Z293" s="72" t="s">
        <v>2242</v>
      </c>
    </row>
    <row r="294" spans="1:26" ht="18.600000000000001" customHeight="1">
      <c r="A294" s="142" t="str">
        <f>IF(priority(Main[[#This Row],[Comments]])&lt;&gt;0, priority(Main[[#This Row],[Comments]]),"")</f>
        <v/>
      </c>
      <c r="B294" s="90" t="s">
        <v>1171</v>
      </c>
      <c r="C294" s="72" t="s">
        <v>4</v>
      </c>
      <c r="D294" s="73" t="s">
        <v>212</v>
      </c>
      <c r="E294" s="74"/>
      <c r="F294" s="74"/>
      <c r="G294" s="75" t="str">
        <f>IF(stdProdLT(Main[[#This Row],[Comments]])=0.1,"N/A",IF(stdProdLT(Main[[#This Row],[Comments]])=0,"",stdProdLT(Main[[#This Row],[Comments]])))</f>
        <v/>
      </c>
      <c r="H294" s="76" t="str">
        <f>IF(AND(Main[[#This Row],[In Stock Date]]&lt;&gt;"",Main[[#This Row],[Revised Due Date]]&lt;&gt;""),Main[[#This Row],[In Stock Date]]-Main[[#This Row],[Revised Due Date]],"")</f>
        <v/>
      </c>
      <c r="I294" s="72" t="s">
        <v>4</v>
      </c>
      <c r="J294" s="72" t="s">
        <v>4</v>
      </c>
      <c r="K294" s="81" t="s">
        <v>4</v>
      </c>
      <c r="L294" s="74"/>
      <c r="M294" s="77" t="str">
        <f>IF(Main[[#This Row],[Tech Start Date]]&lt;1/1/1990,"",IF(Main[[#This Row],[Class]]="C",WORKDAY(Main[[#This Row],[Tech Start Date]],9),IF(Main[[#This Row],[Class]]="B", WORKDAY(Main[[#This Row],[Tech Start Date]],6),IF(Main[[#This Row],[Class]]="A",WORKDAY(Main[[#This Row],[Tech Start Date]],2),""))))</f>
        <v/>
      </c>
      <c r="N294" s="77" t="str">
        <f>IF(Main[[#This Row],[Tech Start Date]]&lt;1/1/1990,"",IF(Main[[#This Row],[Class]]="C",WORKDAY(Main[[#This Row],[Tech Start Date]],19),IF(Main[[#This Row],[Class]]="B", WORKDAY(Main[[#This Row],[Tech Start Date]],12),IF(Main[[#This Row],[Class]]="A",WORKDAY(Main[[#This Row],[Tech Start Date]],4),""))))</f>
        <v/>
      </c>
      <c r="O294" s="77" t="str">
        <f>IF(Main[[#This Row],[Tech Start Date]]&lt;1/1/1990,"",IF(Main[[#This Row],[Class]]="C",WORKDAY(Main[[#This Row],[Tech Start Date]],23),IF(Main[[#This Row],[Class]]="B", WORKDAY(Main[[#This Row],[Tech Start Date]],15),IF(Main[[#This Row],[Class]]="A",WORKDAY(Main[[#This Row],[Tech Start Date]],5),""))))</f>
        <v/>
      </c>
      <c r="P294" s="77" t="str">
        <f>IF(Main[[#This Row],[Tech Start Date]]&lt;1/1/1990,"",IF(Main[[#This Row],[Class]]="C",WORKDAY(Main[[#This Row],[Tech Start Date]],28),IF(Main[[#This Row],[Class]]="B", WORKDAY(Main[[#This Row],[Tech Start Date]],19),IF(Main[[#This Row],[Class]]="A",WORKDAY(Main[[#This Row],[Tech Start Date]],9),""))))</f>
        <v/>
      </c>
      <c r="Q294" s="74"/>
      <c r="R294" s="74"/>
      <c r="S294" s="72" t="s">
        <v>23</v>
      </c>
      <c r="T294" s="80" t="s">
        <v>4</v>
      </c>
      <c r="U294" s="72" t="s">
        <v>14</v>
      </c>
      <c r="V294" s="72" t="s">
        <v>1940</v>
      </c>
      <c r="W294" s="72" t="s">
        <v>1941</v>
      </c>
      <c r="X294" s="72" t="s">
        <v>311</v>
      </c>
      <c r="Y294" s="72" t="s">
        <v>4</v>
      </c>
      <c r="Z294" s="72" t="s">
        <v>4</v>
      </c>
    </row>
    <row r="295" spans="1:26" ht="18.600000000000001" customHeight="1">
      <c r="A295" s="142" t="str">
        <f>IF(priority(Main[[#This Row],[Comments]])&lt;&gt;0, priority(Main[[#This Row],[Comments]]),"")</f>
        <v/>
      </c>
      <c r="B295" s="90" t="s">
        <v>1172</v>
      </c>
      <c r="C295" s="72" t="s">
        <v>4</v>
      </c>
      <c r="D295" s="73" t="s">
        <v>213</v>
      </c>
      <c r="E295" s="74"/>
      <c r="F295" s="74"/>
      <c r="G295" s="75" t="str">
        <f>IF(stdProdLT(Main[[#This Row],[Comments]])=0.1,"N/A",IF(stdProdLT(Main[[#This Row],[Comments]])=0,"",stdProdLT(Main[[#This Row],[Comments]])))</f>
        <v/>
      </c>
      <c r="H295" s="76" t="str">
        <f>IF(AND(Main[[#This Row],[In Stock Date]]&lt;&gt;"",Main[[#This Row],[Revised Due Date]]&lt;&gt;""),Main[[#This Row],[In Stock Date]]-Main[[#This Row],[Revised Due Date]],"")</f>
        <v/>
      </c>
      <c r="I295" s="72" t="s">
        <v>4</v>
      </c>
      <c r="J295" s="72" t="s">
        <v>4</v>
      </c>
      <c r="K295" s="72" t="s">
        <v>4</v>
      </c>
      <c r="L295" s="74"/>
      <c r="M295" s="77" t="str">
        <f>IF(Main[[#This Row],[Tech Start Date]]&lt;1/1/1990,"",IF(Main[[#This Row],[Class]]="C",WORKDAY(Main[[#This Row],[Tech Start Date]],9),IF(Main[[#This Row],[Class]]="B", WORKDAY(Main[[#This Row],[Tech Start Date]],6),IF(Main[[#This Row],[Class]]="A",WORKDAY(Main[[#This Row],[Tech Start Date]],2),""))))</f>
        <v/>
      </c>
      <c r="N295" s="77" t="str">
        <f>IF(Main[[#This Row],[Tech Start Date]]&lt;1/1/1990,"",IF(Main[[#This Row],[Class]]="C",WORKDAY(Main[[#This Row],[Tech Start Date]],19),IF(Main[[#This Row],[Class]]="B", WORKDAY(Main[[#This Row],[Tech Start Date]],12),IF(Main[[#This Row],[Class]]="A",WORKDAY(Main[[#This Row],[Tech Start Date]],4),""))))</f>
        <v/>
      </c>
      <c r="O295" s="77" t="str">
        <f>IF(Main[[#This Row],[Tech Start Date]]&lt;1/1/1990,"",IF(Main[[#This Row],[Class]]="C",WORKDAY(Main[[#This Row],[Tech Start Date]],23),IF(Main[[#This Row],[Class]]="B", WORKDAY(Main[[#This Row],[Tech Start Date]],15),IF(Main[[#This Row],[Class]]="A",WORKDAY(Main[[#This Row],[Tech Start Date]],5),""))))</f>
        <v/>
      </c>
      <c r="P295" s="77" t="str">
        <f>IF(Main[[#This Row],[Tech Start Date]]&lt;1/1/1990,"",IF(Main[[#This Row],[Class]]="C",WORKDAY(Main[[#This Row],[Tech Start Date]],28),IF(Main[[#This Row],[Class]]="B", WORKDAY(Main[[#This Row],[Tech Start Date]],19),IF(Main[[#This Row],[Class]]="A",WORKDAY(Main[[#This Row],[Tech Start Date]],9),""))))</f>
        <v/>
      </c>
      <c r="Q295" s="74"/>
      <c r="R295" s="74"/>
      <c r="S295" s="72" t="s">
        <v>23</v>
      </c>
      <c r="T295" s="80" t="s">
        <v>4</v>
      </c>
      <c r="U295" s="72" t="s">
        <v>14</v>
      </c>
      <c r="V295" s="72" t="s">
        <v>1940</v>
      </c>
      <c r="W295" s="72" t="s">
        <v>1941</v>
      </c>
      <c r="X295" s="72" t="s">
        <v>404</v>
      </c>
      <c r="Y295" s="72" t="s">
        <v>4</v>
      </c>
      <c r="Z295" s="72" t="s">
        <v>4</v>
      </c>
    </row>
    <row r="296" spans="1:26" ht="18.600000000000001" customHeight="1">
      <c r="A296" s="142" t="str">
        <f>IF(priority(Main[[#This Row],[Comments]])&lt;&gt;0, priority(Main[[#This Row],[Comments]]),"")</f>
        <v/>
      </c>
      <c r="B296" s="90" t="s">
        <v>1236</v>
      </c>
      <c r="C296" s="72" t="s">
        <v>282</v>
      </c>
      <c r="D296" s="73" t="s">
        <v>283</v>
      </c>
      <c r="E296" s="74"/>
      <c r="F296" s="74">
        <v>40680</v>
      </c>
      <c r="G296" s="75" t="str">
        <f>IF(stdProdLT(Main[[#This Row],[Comments]])=0.1,"N/A",IF(stdProdLT(Main[[#This Row],[Comments]])=0,"",stdProdLT(Main[[#This Row],[Comments]])))</f>
        <v/>
      </c>
      <c r="H296" s="76" t="str">
        <f>IF(AND(Main[[#This Row],[In Stock Date]]&lt;&gt;"",Main[[#This Row],[Revised Due Date]]&lt;&gt;""),Main[[#This Row],[In Stock Date]]-Main[[#This Row],[Revised Due Date]],"")</f>
        <v/>
      </c>
      <c r="I296" s="72" t="s">
        <v>4</v>
      </c>
      <c r="J296" s="72" t="s">
        <v>28</v>
      </c>
      <c r="K296" s="72" t="s">
        <v>4</v>
      </c>
      <c r="L296" s="74"/>
      <c r="M296" s="77" t="str">
        <f>IF(Main[[#This Row],[Tech Start Date]]&lt;1/1/1990,"",IF(Main[[#This Row],[Class]]="C",WORKDAY(Main[[#This Row],[Tech Start Date]],9),IF(Main[[#This Row],[Class]]="B", WORKDAY(Main[[#This Row],[Tech Start Date]],6),IF(Main[[#This Row],[Class]]="A",WORKDAY(Main[[#This Row],[Tech Start Date]],2),""))))</f>
        <v/>
      </c>
      <c r="N296" s="77" t="str">
        <f>IF(Main[[#This Row],[Tech Start Date]]&lt;1/1/1990,"",IF(Main[[#This Row],[Class]]="C",WORKDAY(Main[[#This Row],[Tech Start Date]],19),IF(Main[[#This Row],[Class]]="B", WORKDAY(Main[[#This Row],[Tech Start Date]],12),IF(Main[[#This Row],[Class]]="A",WORKDAY(Main[[#This Row],[Tech Start Date]],4),""))))</f>
        <v/>
      </c>
      <c r="O296" s="77" t="str">
        <f>IF(Main[[#This Row],[Tech Start Date]]&lt;1/1/1990,"",IF(Main[[#This Row],[Class]]="C",WORKDAY(Main[[#This Row],[Tech Start Date]],23),IF(Main[[#This Row],[Class]]="B", WORKDAY(Main[[#This Row],[Tech Start Date]],15),IF(Main[[#This Row],[Class]]="A",WORKDAY(Main[[#This Row],[Tech Start Date]],5),""))))</f>
        <v/>
      </c>
      <c r="P296" s="77" t="str">
        <f>IF(Main[[#This Row],[Tech Start Date]]&lt;1/1/1990,"",IF(Main[[#This Row],[Class]]="C",WORKDAY(Main[[#This Row],[Tech Start Date]],28),IF(Main[[#This Row],[Class]]="B", WORKDAY(Main[[#This Row],[Tech Start Date]],19),IF(Main[[#This Row],[Class]]="A",WORKDAY(Main[[#This Row],[Tech Start Date]],9),""))))</f>
        <v/>
      </c>
      <c r="Q296" s="74">
        <v>40540</v>
      </c>
      <c r="R296" s="74"/>
      <c r="S296" s="72" t="s">
        <v>11</v>
      </c>
      <c r="T296" s="80" t="s">
        <v>4</v>
      </c>
      <c r="U296" s="72" t="s">
        <v>14</v>
      </c>
      <c r="V296" s="72" t="s">
        <v>1938</v>
      </c>
      <c r="W296" s="72" t="s">
        <v>1942</v>
      </c>
      <c r="X296" s="72" t="s">
        <v>3012</v>
      </c>
      <c r="Y296" s="72" t="s">
        <v>3162</v>
      </c>
      <c r="Z296" s="72" t="s">
        <v>4</v>
      </c>
    </row>
    <row r="297" spans="1:26" ht="18.600000000000001" customHeight="1">
      <c r="A297" s="142" t="str">
        <f>IF(priority(Main[[#This Row],[Comments]])&lt;&gt;0, priority(Main[[#This Row],[Comments]]),"")</f>
        <v/>
      </c>
      <c r="B297" s="90" t="s">
        <v>2211</v>
      </c>
      <c r="C297" s="72" t="s">
        <v>4</v>
      </c>
      <c r="D297" s="73" t="s">
        <v>2212</v>
      </c>
      <c r="E297" s="74"/>
      <c r="F297" s="74"/>
      <c r="G297" s="75" t="str">
        <f>IF(stdProdLT(Main[[#This Row],[Comments]])=0.1,"N/A",IF(stdProdLT(Main[[#This Row],[Comments]])=0,"",stdProdLT(Main[[#This Row],[Comments]])))</f>
        <v/>
      </c>
      <c r="H297" s="76" t="str">
        <f>IF(AND(Main[[#This Row],[In Stock Date]]&lt;&gt;"",Main[[#This Row],[Revised Due Date]]&lt;&gt;""),Main[[#This Row],[In Stock Date]]-Main[[#This Row],[Revised Due Date]],"")</f>
        <v/>
      </c>
      <c r="I297" s="72" t="s">
        <v>4</v>
      </c>
      <c r="J297" s="72" t="s">
        <v>4</v>
      </c>
      <c r="K297" s="72" t="s">
        <v>4</v>
      </c>
      <c r="L297" s="74"/>
      <c r="M297" s="77" t="str">
        <f>IF(Main[[#This Row],[Tech Start Date]]&lt;1/1/1990,"",IF(Main[[#This Row],[Class]]="C",WORKDAY(Main[[#This Row],[Tech Start Date]],9),IF(Main[[#This Row],[Class]]="B", WORKDAY(Main[[#This Row],[Tech Start Date]],6),IF(Main[[#This Row],[Class]]="A",WORKDAY(Main[[#This Row],[Tech Start Date]],2),""))))</f>
        <v/>
      </c>
      <c r="N297" s="77" t="str">
        <f>IF(Main[[#This Row],[Tech Start Date]]&lt;1/1/1990,"",IF(Main[[#This Row],[Class]]="C",WORKDAY(Main[[#This Row],[Tech Start Date]],19),IF(Main[[#This Row],[Class]]="B", WORKDAY(Main[[#This Row],[Tech Start Date]],12),IF(Main[[#This Row],[Class]]="A",WORKDAY(Main[[#This Row],[Tech Start Date]],4),""))))</f>
        <v/>
      </c>
      <c r="O297" s="77" t="str">
        <f>IF(Main[[#This Row],[Tech Start Date]]&lt;1/1/1990,"",IF(Main[[#This Row],[Class]]="C",WORKDAY(Main[[#This Row],[Tech Start Date]],23),IF(Main[[#This Row],[Class]]="B", WORKDAY(Main[[#This Row],[Tech Start Date]],15),IF(Main[[#This Row],[Class]]="A",WORKDAY(Main[[#This Row],[Tech Start Date]],5),""))))</f>
        <v/>
      </c>
      <c r="P297" s="77" t="str">
        <f>IF(Main[[#This Row],[Tech Start Date]]&lt;1/1/1990,"",IF(Main[[#This Row],[Class]]="C",WORKDAY(Main[[#This Row],[Tech Start Date]],28),IF(Main[[#This Row],[Class]]="B", WORKDAY(Main[[#This Row],[Tech Start Date]],19),IF(Main[[#This Row],[Class]]="A",WORKDAY(Main[[#This Row],[Tech Start Date]],9),""))))</f>
        <v/>
      </c>
      <c r="Q297" s="74"/>
      <c r="R297" s="74"/>
      <c r="S297" s="72" t="s">
        <v>6</v>
      </c>
      <c r="T297" s="80" t="s">
        <v>4</v>
      </c>
      <c r="U297" s="72" t="s">
        <v>14</v>
      </c>
      <c r="V297" s="72" t="s">
        <v>1937</v>
      </c>
      <c r="W297" s="72" t="s">
        <v>1939</v>
      </c>
      <c r="X297" s="72" t="s">
        <v>311</v>
      </c>
      <c r="Y297" s="72" t="s">
        <v>4</v>
      </c>
      <c r="Z297" s="72" t="s">
        <v>4</v>
      </c>
    </row>
    <row r="298" spans="1:26" ht="18.600000000000001" customHeight="1">
      <c r="A298" s="142" t="str">
        <f>IF(priority(Main[[#This Row],[Comments]])&lt;&gt;0, priority(Main[[#This Row],[Comments]]),"")</f>
        <v/>
      </c>
      <c r="B298" s="90" t="s">
        <v>1158</v>
      </c>
      <c r="C298" s="72" t="s">
        <v>93</v>
      </c>
      <c r="D298" s="73" t="s">
        <v>197</v>
      </c>
      <c r="E298" s="74"/>
      <c r="F298" s="74">
        <v>40203</v>
      </c>
      <c r="G298" s="75" t="str">
        <f>IF(stdProdLT(Main[[#This Row],[Comments]])=0.1,"N/A",IF(stdProdLT(Main[[#This Row],[Comments]])=0,"",stdProdLT(Main[[#This Row],[Comments]])))</f>
        <v/>
      </c>
      <c r="H298" s="76" t="str">
        <f>IF(AND(Main[[#This Row],[In Stock Date]]&lt;&gt;"",Main[[#This Row],[Revised Due Date]]&lt;&gt;""),Main[[#This Row],[In Stock Date]]-Main[[#This Row],[Revised Due Date]],"")</f>
        <v/>
      </c>
      <c r="I298" s="72" t="s">
        <v>4</v>
      </c>
      <c r="J298" s="72" t="s">
        <v>4</v>
      </c>
      <c r="K298" s="72" t="s">
        <v>4</v>
      </c>
      <c r="L298" s="74"/>
      <c r="M298" s="77" t="str">
        <f>IF(Main[[#This Row],[Tech Start Date]]&lt;1/1/1990,"",IF(Main[[#This Row],[Class]]="C",WORKDAY(Main[[#This Row],[Tech Start Date]],9),IF(Main[[#This Row],[Class]]="B", WORKDAY(Main[[#This Row],[Tech Start Date]],6),IF(Main[[#This Row],[Class]]="A",WORKDAY(Main[[#This Row],[Tech Start Date]],2),""))))</f>
        <v/>
      </c>
      <c r="N298" s="77" t="str">
        <f>IF(Main[[#This Row],[Tech Start Date]]&lt;1/1/1990,"",IF(Main[[#This Row],[Class]]="C",WORKDAY(Main[[#This Row],[Tech Start Date]],19),IF(Main[[#This Row],[Class]]="B", WORKDAY(Main[[#This Row],[Tech Start Date]],12),IF(Main[[#This Row],[Class]]="A",WORKDAY(Main[[#This Row],[Tech Start Date]],4),""))))</f>
        <v/>
      </c>
      <c r="O298" s="77" t="str">
        <f>IF(Main[[#This Row],[Tech Start Date]]&lt;1/1/1990,"",IF(Main[[#This Row],[Class]]="C",WORKDAY(Main[[#This Row],[Tech Start Date]],23),IF(Main[[#This Row],[Class]]="B", WORKDAY(Main[[#This Row],[Tech Start Date]],15),IF(Main[[#This Row],[Class]]="A",WORKDAY(Main[[#This Row],[Tech Start Date]],5),""))))</f>
        <v/>
      </c>
      <c r="P298" s="77" t="str">
        <f>IF(Main[[#This Row],[Tech Start Date]]&lt;1/1/1990,"",IF(Main[[#This Row],[Class]]="C",WORKDAY(Main[[#This Row],[Tech Start Date]],28),IF(Main[[#This Row],[Class]]="B", WORKDAY(Main[[#This Row],[Tech Start Date]],19),IF(Main[[#This Row],[Class]]="A",WORKDAY(Main[[#This Row],[Tech Start Date]],9),""))))</f>
        <v/>
      </c>
      <c r="Q298" s="74">
        <v>40046</v>
      </c>
      <c r="R298" s="74"/>
      <c r="S298" s="72" t="s">
        <v>11</v>
      </c>
      <c r="T298" s="80" t="s">
        <v>4</v>
      </c>
      <c r="U298" s="72" t="s">
        <v>14</v>
      </c>
      <c r="V298" s="72" t="s">
        <v>1937</v>
      </c>
      <c r="W298" s="72" t="s">
        <v>1943</v>
      </c>
      <c r="X298" s="72" t="s">
        <v>3005</v>
      </c>
      <c r="Y298" s="72" t="s">
        <v>3149</v>
      </c>
      <c r="Z298" s="72" t="s">
        <v>4</v>
      </c>
    </row>
    <row r="299" spans="1:26" ht="18.600000000000001" customHeight="1">
      <c r="A299" s="142" t="str">
        <f>IF(priority(Main[[#This Row],[Comments]])&lt;&gt;0, priority(Main[[#This Row],[Comments]]),"")</f>
        <v/>
      </c>
      <c r="B299" s="90" t="s">
        <v>1159</v>
      </c>
      <c r="C299" s="72" t="s">
        <v>4</v>
      </c>
      <c r="D299" s="73" t="s">
        <v>198</v>
      </c>
      <c r="E299" s="74"/>
      <c r="F299" s="74"/>
      <c r="G299" s="75" t="str">
        <f>IF(stdProdLT(Main[[#This Row],[Comments]])=0.1,"N/A",IF(stdProdLT(Main[[#This Row],[Comments]])=0,"",stdProdLT(Main[[#This Row],[Comments]])))</f>
        <v/>
      </c>
      <c r="H299" s="76" t="str">
        <f>IF(AND(Main[[#This Row],[In Stock Date]]&lt;&gt;"",Main[[#This Row],[Revised Due Date]]&lt;&gt;""),Main[[#This Row],[In Stock Date]]-Main[[#This Row],[Revised Due Date]],"")</f>
        <v/>
      </c>
      <c r="I299" s="72" t="s">
        <v>4</v>
      </c>
      <c r="J299" s="72" t="s">
        <v>4</v>
      </c>
      <c r="K299" s="72" t="s">
        <v>4</v>
      </c>
      <c r="L299" s="74"/>
      <c r="M299" s="77" t="str">
        <f>IF(Main[[#This Row],[Tech Start Date]]&lt;1/1/1990,"",IF(Main[[#This Row],[Class]]="C",WORKDAY(Main[[#This Row],[Tech Start Date]],9),IF(Main[[#This Row],[Class]]="B", WORKDAY(Main[[#This Row],[Tech Start Date]],6),IF(Main[[#This Row],[Class]]="A",WORKDAY(Main[[#This Row],[Tech Start Date]],2),""))))</f>
        <v/>
      </c>
      <c r="N299" s="77" t="str">
        <f>IF(Main[[#This Row],[Tech Start Date]]&lt;1/1/1990,"",IF(Main[[#This Row],[Class]]="C",WORKDAY(Main[[#This Row],[Tech Start Date]],19),IF(Main[[#This Row],[Class]]="B", WORKDAY(Main[[#This Row],[Tech Start Date]],12),IF(Main[[#This Row],[Class]]="A",WORKDAY(Main[[#This Row],[Tech Start Date]],4),""))))</f>
        <v/>
      </c>
      <c r="O299" s="77" t="str">
        <f>IF(Main[[#This Row],[Tech Start Date]]&lt;1/1/1990,"",IF(Main[[#This Row],[Class]]="C",WORKDAY(Main[[#This Row],[Tech Start Date]],23),IF(Main[[#This Row],[Class]]="B", WORKDAY(Main[[#This Row],[Tech Start Date]],15),IF(Main[[#This Row],[Class]]="A",WORKDAY(Main[[#This Row],[Tech Start Date]],5),""))))</f>
        <v/>
      </c>
      <c r="P299" s="77" t="str">
        <f>IF(Main[[#This Row],[Tech Start Date]]&lt;1/1/1990,"",IF(Main[[#This Row],[Class]]="C",WORKDAY(Main[[#This Row],[Tech Start Date]],28),IF(Main[[#This Row],[Class]]="B", WORKDAY(Main[[#This Row],[Tech Start Date]],19),IF(Main[[#This Row],[Class]]="A",WORKDAY(Main[[#This Row],[Tech Start Date]],9),""))))</f>
        <v/>
      </c>
      <c r="Q299" s="74">
        <v>40543</v>
      </c>
      <c r="R299" s="74"/>
      <c r="S299" s="72" t="s">
        <v>11</v>
      </c>
      <c r="T299" s="80" t="s">
        <v>4</v>
      </c>
      <c r="U299" s="72" t="s">
        <v>14</v>
      </c>
      <c r="V299" s="72" t="s">
        <v>1937</v>
      </c>
      <c r="W299" s="72" t="s">
        <v>1948</v>
      </c>
      <c r="X299" s="72" t="s">
        <v>3013</v>
      </c>
      <c r="Y299" s="72" t="s">
        <v>3163</v>
      </c>
      <c r="Z299" s="72" t="s">
        <v>4</v>
      </c>
    </row>
    <row r="300" spans="1:26" ht="18.600000000000001" customHeight="1">
      <c r="A300" s="142" t="str">
        <f>IF(priority(Main[[#This Row],[Comments]])&lt;&gt;0, priority(Main[[#This Row],[Comments]]),"")</f>
        <v/>
      </c>
      <c r="B300" s="90" t="s">
        <v>2628</v>
      </c>
      <c r="C300" s="72" t="s">
        <v>4</v>
      </c>
      <c r="D300" s="73" t="s">
        <v>2629</v>
      </c>
      <c r="E300" s="74">
        <v>40876.146770833337</v>
      </c>
      <c r="F300" s="74"/>
      <c r="G300" s="75" t="str">
        <f>IF(stdProdLT(Main[[#This Row],[Comments]])=0.1,"N/A",IF(stdProdLT(Main[[#This Row],[Comments]])=0,"",stdProdLT(Main[[#This Row],[Comments]])))</f>
        <v/>
      </c>
      <c r="H300" s="76" t="str">
        <f>IF(AND(Main[[#This Row],[In Stock Date]]&lt;&gt;"",Main[[#This Row],[Revised Due Date]]&lt;&gt;""),Main[[#This Row],[In Stock Date]]-Main[[#This Row],[Revised Due Date]],"")</f>
        <v/>
      </c>
      <c r="I300" s="72" t="s">
        <v>4</v>
      </c>
      <c r="J300" s="72" t="s">
        <v>4</v>
      </c>
      <c r="K300" s="72" t="s">
        <v>4</v>
      </c>
      <c r="L300" s="74"/>
      <c r="M300" s="77" t="str">
        <f>IF(Main[[#This Row],[Tech Start Date]]&lt;1/1/1990,"",IF(Main[[#This Row],[Class]]="C",WORKDAY(Main[[#This Row],[Tech Start Date]],9),IF(Main[[#This Row],[Class]]="B", WORKDAY(Main[[#This Row],[Tech Start Date]],6),IF(Main[[#This Row],[Class]]="A",WORKDAY(Main[[#This Row],[Tech Start Date]],2),""))))</f>
        <v/>
      </c>
      <c r="N300" s="77" t="str">
        <f>IF(Main[[#This Row],[Tech Start Date]]&lt;1/1/1990,"",IF(Main[[#This Row],[Class]]="C",WORKDAY(Main[[#This Row],[Tech Start Date]],19),IF(Main[[#This Row],[Class]]="B", WORKDAY(Main[[#This Row],[Tech Start Date]],12),IF(Main[[#This Row],[Class]]="A",WORKDAY(Main[[#This Row],[Tech Start Date]],4),""))))</f>
        <v/>
      </c>
      <c r="O300" s="77" t="str">
        <f>IF(Main[[#This Row],[Tech Start Date]]&lt;1/1/1990,"",IF(Main[[#This Row],[Class]]="C",WORKDAY(Main[[#This Row],[Tech Start Date]],23),IF(Main[[#This Row],[Class]]="B", WORKDAY(Main[[#This Row],[Tech Start Date]],15),IF(Main[[#This Row],[Class]]="A",WORKDAY(Main[[#This Row],[Tech Start Date]],5),""))))</f>
        <v/>
      </c>
      <c r="P300" s="77" t="str">
        <f>IF(Main[[#This Row],[Tech Start Date]]&lt;1/1/1990,"",IF(Main[[#This Row],[Class]]="C",WORKDAY(Main[[#This Row],[Tech Start Date]],28),IF(Main[[#This Row],[Class]]="B", WORKDAY(Main[[#This Row],[Tech Start Date]],19),IF(Main[[#This Row],[Class]]="A",WORKDAY(Main[[#This Row],[Tech Start Date]],9),""))))</f>
        <v/>
      </c>
      <c r="Q300" s="74">
        <v>40882</v>
      </c>
      <c r="R300" s="74"/>
      <c r="S300" s="72" t="s">
        <v>6</v>
      </c>
      <c r="T300" s="80" t="s">
        <v>4</v>
      </c>
      <c r="U300" s="72" t="s">
        <v>7</v>
      </c>
      <c r="V300" s="72" t="s">
        <v>1937</v>
      </c>
      <c r="W300" s="72" t="s">
        <v>4</v>
      </c>
      <c r="X300" s="72" t="s">
        <v>2974</v>
      </c>
      <c r="Y300" s="72" t="s">
        <v>3096</v>
      </c>
      <c r="Z300" s="72" t="s">
        <v>4</v>
      </c>
    </row>
    <row r="301" spans="1:26" ht="18.600000000000001" customHeight="1">
      <c r="A301" s="142" t="str">
        <f>IF(priority(Main[[#This Row],[Comments]])&lt;&gt;0, priority(Main[[#This Row],[Comments]]),"")</f>
        <v/>
      </c>
      <c r="B301" s="90" t="s">
        <v>1160</v>
      </c>
      <c r="C301" s="72" t="s">
        <v>4</v>
      </c>
      <c r="D301" s="73" t="s">
        <v>199</v>
      </c>
      <c r="E301" s="74"/>
      <c r="F301" s="74"/>
      <c r="G301" s="75" t="str">
        <f>IF(stdProdLT(Main[[#This Row],[Comments]])=0.1,"N/A",IF(stdProdLT(Main[[#This Row],[Comments]])=0,"",stdProdLT(Main[[#This Row],[Comments]])))</f>
        <v/>
      </c>
      <c r="H301" s="76" t="str">
        <f>IF(AND(Main[[#This Row],[In Stock Date]]&lt;&gt;"",Main[[#This Row],[Revised Due Date]]&lt;&gt;""),Main[[#This Row],[In Stock Date]]-Main[[#This Row],[Revised Due Date]],"")</f>
        <v/>
      </c>
      <c r="I301" s="72" t="s">
        <v>4</v>
      </c>
      <c r="J301" s="72" t="s">
        <v>4</v>
      </c>
      <c r="K301" s="72" t="s">
        <v>4</v>
      </c>
      <c r="L301" s="74"/>
      <c r="M301" s="77" t="str">
        <f>IF(Main[[#This Row],[Tech Start Date]]&lt;1/1/1990,"",IF(Main[[#This Row],[Class]]="C",WORKDAY(Main[[#This Row],[Tech Start Date]],9),IF(Main[[#This Row],[Class]]="B", WORKDAY(Main[[#This Row],[Tech Start Date]],6),IF(Main[[#This Row],[Class]]="A",WORKDAY(Main[[#This Row],[Tech Start Date]],2),""))))</f>
        <v/>
      </c>
      <c r="N301" s="77" t="str">
        <f>IF(Main[[#This Row],[Tech Start Date]]&lt;1/1/1990,"",IF(Main[[#This Row],[Class]]="C",WORKDAY(Main[[#This Row],[Tech Start Date]],19),IF(Main[[#This Row],[Class]]="B", WORKDAY(Main[[#This Row],[Tech Start Date]],12),IF(Main[[#This Row],[Class]]="A",WORKDAY(Main[[#This Row],[Tech Start Date]],4),""))))</f>
        <v/>
      </c>
      <c r="O301" s="77" t="str">
        <f>IF(Main[[#This Row],[Tech Start Date]]&lt;1/1/1990,"",IF(Main[[#This Row],[Class]]="C",WORKDAY(Main[[#This Row],[Tech Start Date]],23),IF(Main[[#This Row],[Class]]="B", WORKDAY(Main[[#This Row],[Tech Start Date]],15),IF(Main[[#This Row],[Class]]="A",WORKDAY(Main[[#This Row],[Tech Start Date]],5),""))))</f>
        <v/>
      </c>
      <c r="P301" s="77" t="str">
        <f>IF(Main[[#This Row],[Tech Start Date]]&lt;1/1/1990,"",IF(Main[[#This Row],[Class]]="C",WORKDAY(Main[[#This Row],[Tech Start Date]],28),IF(Main[[#This Row],[Class]]="B", WORKDAY(Main[[#This Row],[Tech Start Date]],19),IF(Main[[#This Row],[Class]]="A",WORKDAY(Main[[#This Row],[Tech Start Date]],9),""))))</f>
        <v/>
      </c>
      <c r="Q301" s="74"/>
      <c r="R301" s="74"/>
      <c r="S301" s="72" t="s">
        <v>17</v>
      </c>
      <c r="T301" s="80" t="s">
        <v>4</v>
      </c>
      <c r="U301" s="72" t="s">
        <v>14</v>
      </c>
      <c r="V301" s="72" t="s">
        <v>1940</v>
      </c>
      <c r="W301" s="72" t="s">
        <v>1942</v>
      </c>
      <c r="X301" s="72" t="s">
        <v>560</v>
      </c>
      <c r="Y301" s="72" t="s">
        <v>3110</v>
      </c>
      <c r="Z301" s="72" t="s">
        <v>4</v>
      </c>
    </row>
    <row r="302" spans="1:26" ht="18.600000000000001" customHeight="1">
      <c r="A302" s="142" t="str">
        <f>IF(priority(Main[[#This Row],[Comments]])&lt;&gt;0, priority(Main[[#This Row],[Comments]]),"")</f>
        <v/>
      </c>
      <c r="B302" s="90" t="s">
        <v>1161</v>
      </c>
      <c r="C302" s="72" t="s">
        <v>200</v>
      </c>
      <c r="D302" s="73" t="s">
        <v>201</v>
      </c>
      <c r="E302" s="74"/>
      <c r="F302" s="74"/>
      <c r="G302" s="75" t="str">
        <f>IF(stdProdLT(Main[[#This Row],[Comments]])=0.1,"N/A",IF(stdProdLT(Main[[#This Row],[Comments]])=0,"",stdProdLT(Main[[#This Row],[Comments]])))</f>
        <v/>
      </c>
      <c r="H302" s="76" t="str">
        <f>IF(AND(Main[[#This Row],[In Stock Date]]&lt;&gt;"",Main[[#This Row],[Revised Due Date]]&lt;&gt;""),Main[[#This Row],[In Stock Date]]-Main[[#This Row],[Revised Due Date]],"")</f>
        <v/>
      </c>
      <c r="I302" s="72" t="s">
        <v>4</v>
      </c>
      <c r="J302" s="72" t="s">
        <v>4</v>
      </c>
      <c r="K302" s="72" t="s">
        <v>4</v>
      </c>
      <c r="L302" s="74"/>
      <c r="M302" s="77" t="str">
        <f>IF(Main[[#This Row],[Tech Start Date]]&lt;1/1/1990,"",IF(Main[[#This Row],[Class]]="C",WORKDAY(Main[[#This Row],[Tech Start Date]],9),IF(Main[[#This Row],[Class]]="B", WORKDAY(Main[[#This Row],[Tech Start Date]],6),IF(Main[[#This Row],[Class]]="A",WORKDAY(Main[[#This Row],[Tech Start Date]],2),""))))</f>
        <v/>
      </c>
      <c r="N302" s="77" t="str">
        <f>IF(Main[[#This Row],[Tech Start Date]]&lt;1/1/1990,"",IF(Main[[#This Row],[Class]]="C",WORKDAY(Main[[#This Row],[Tech Start Date]],19),IF(Main[[#This Row],[Class]]="B", WORKDAY(Main[[#This Row],[Tech Start Date]],12),IF(Main[[#This Row],[Class]]="A",WORKDAY(Main[[#This Row],[Tech Start Date]],4),""))))</f>
        <v/>
      </c>
      <c r="O302" s="77" t="str">
        <f>IF(Main[[#This Row],[Tech Start Date]]&lt;1/1/1990,"",IF(Main[[#This Row],[Class]]="C",WORKDAY(Main[[#This Row],[Tech Start Date]],23),IF(Main[[#This Row],[Class]]="B", WORKDAY(Main[[#This Row],[Tech Start Date]],15),IF(Main[[#This Row],[Class]]="A",WORKDAY(Main[[#This Row],[Tech Start Date]],5),""))))</f>
        <v/>
      </c>
      <c r="P302" s="77" t="str">
        <f>IF(Main[[#This Row],[Tech Start Date]]&lt;1/1/1990,"",IF(Main[[#This Row],[Class]]="C",WORKDAY(Main[[#This Row],[Tech Start Date]],28),IF(Main[[#This Row],[Class]]="B", WORKDAY(Main[[#This Row],[Tech Start Date]],19),IF(Main[[#This Row],[Class]]="A",WORKDAY(Main[[#This Row],[Tech Start Date]],9),""))))</f>
        <v/>
      </c>
      <c r="Q302" s="74">
        <v>40165</v>
      </c>
      <c r="R302" s="74"/>
      <c r="S302" s="72" t="s">
        <v>11</v>
      </c>
      <c r="T302" s="80" t="s">
        <v>4</v>
      </c>
      <c r="U302" s="72" t="s">
        <v>14</v>
      </c>
      <c r="V302" s="72" t="s">
        <v>1947</v>
      </c>
      <c r="W302" s="72" t="s">
        <v>1943</v>
      </c>
      <c r="X302" s="72" t="s">
        <v>897</v>
      </c>
      <c r="Y302" s="72" t="s">
        <v>3121</v>
      </c>
      <c r="Z302" s="72" t="s">
        <v>4</v>
      </c>
    </row>
    <row r="303" spans="1:26" ht="18.600000000000001" customHeight="1">
      <c r="A303" s="142" t="str">
        <f>IF(priority(Main[[#This Row],[Comments]])&lt;&gt;0, priority(Main[[#This Row],[Comments]]),"")</f>
        <v/>
      </c>
      <c r="B303" s="90" t="s">
        <v>1739</v>
      </c>
      <c r="C303" s="72" t="s">
        <v>4</v>
      </c>
      <c r="D303" s="73" t="s">
        <v>784</v>
      </c>
      <c r="E303" s="74"/>
      <c r="F303" s="74"/>
      <c r="G303" s="75" t="str">
        <f>IF(stdProdLT(Main[[#This Row],[Comments]])=0.1,"N/A",IF(stdProdLT(Main[[#This Row],[Comments]])=0,"",stdProdLT(Main[[#This Row],[Comments]])))</f>
        <v/>
      </c>
      <c r="H303" s="76" t="str">
        <f>IF(AND(Main[[#This Row],[In Stock Date]]&lt;&gt;"",Main[[#This Row],[Revised Due Date]]&lt;&gt;""),Main[[#This Row],[In Stock Date]]-Main[[#This Row],[Revised Due Date]],"")</f>
        <v/>
      </c>
      <c r="I303" s="72" t="s">
        <v>4</v>
      </c>
      <c r="J303" s="72" t="s">
        <v>28</v>
      </c>
      <c r="K303" s="81" t="s">
        <v>1949</v>
      </c>
      <c r="L303" s="74"/>
      <c r="M303" s="77" t="str">
        <f>IF(Main[[#This Row],[Tech Start Date]]&lt;1/1/1990,"",IF(Main[[#This Row],[Class]]="C",WORKDAY(Main[[#This Row],[Tech Start Date]],9),IF(Main[[#This Row],[Class]]="B", WORKDAY(Main[[#This Row],[Tech Start Date]],6),IF(Main[[#This Row],[Class]]="A",WORKDAY(Main[[#This Row],[Tech Start Date]],2),""))))</f>
        <v/>
      </c>
      <c r="N303" s="77" t="str">
        <f>IF(Main[[#This Row],[Tech Start Date]]&lt;1/1/1990,"",IF(Main[[#This Row],[Class]]="C",WORKDAY(Main[[#This Row],[Tech Start Date]],19),IF(Main[[#This Row],[Class]]="B", WORKDAY(Main[[#This Row],[Tech Start Date]],12),IF(Main[[#This Row],[Class]]="A",WORKDAY(Main[[#This Row],[Tech Start Date]],4),""))))</f>
        <v/>
      </c>
      <c r="O303" s="77" t="str">
        <f>IF(Main[[#This Row],[Tech Start Date]]&lt;1/1/1990,"",IF(Main[[#This Row],[Class]]="C",WORKDAY(Main[[#This Row],[Tech Start Date]],23),IF(Main[[#This Row],[Class]]="B", WORKDAY(Main[[#This Row],[Tech Start Date]],15),IF(Main[[#This Row],[Class]]="A",WORKDAY(Main[[#This Row],[Tech Start Date]],5),""))))</f>
        <v/>
      </c>
      <c r="P303" s="77" t="str">
        <f>IF(Main[[#This Row],[Tech Start Date]]&lt;1/1/1990,"",IF(Main[[#This Row],[Class]]="C",WORKDAY(Main[[#This Row],[Tech Start Date]],28),IF(Main[[#This Row],[Class]]="B", WORKDAY(Main[[#This Row],[Tech Start Date]],19),IF(Main[[#This Row],[Class]]="A",WORKDAY(Main[[#This Row],[Tech Start Date]],9),""))))</f>
        <v/>
      </c>
      <c r="Q303" s="74">
        <v>40633</v>
      </c>
      <c r="R303" s="74"/>
      <c r="S303" s="72" t="s">
        <v>17</v>
      </c>
      <c r="T303" s="80" t="s">
        <v>4</v>
      </c>
      <c r="U303" s="72" t="s">
        <v>14</v>
      </c>
      <c r="V303" s="72" t="s">
        <v>1937</v>
      </c>
      <c r="W303" s="72" t="s">
        <v>1942</v>
      </c>
      <c r="X303" s="72" t="s">
        <v>129</v>
      </c>
      <c r="Y303" s="72" t="s">
        <v>3091</v>
      </c>
      <c r="Z303" s="72" t="s">
        <v>129</v>
      </c>
    </row>
    <row r="304" spans="1:26" ht="18.600000000000001" customHeight="1">
      <c r="A304" s="142" t="str">
        <f>IF(priority(Main[[#This Row],[Comments]])&lt;&gt;0, priority(Main[[#This Row],[Comments]]),"")</f>
        <v/>
      </c>
      <c r="B304" s="90" t="s">
        <v>1163</v>
      </c>
      <c r="C304" s="72" t="s">
        <v>93</v>
      </c>
      <c r="D304" s="73" t="s">
        <v>203</v>
      </c>
      <c r="E304" s="74"/>
      <c r="F304" s="74"/>
      <c r="G304" s="75" t="str">
        <f>IF(stdProdLT(Main[[#This Row],[Comments]])=0.1,"N/A",IF(stdProdLT(Main[[#This Row],[Comments]])=0,"",stdProdLT(Main[[#This Row],[Comments]])))</f>
        <v/>
      </c>
      <c r="H304" s="76" t="str">
        <f>IF(AND(Main[[#This Row],[In Stock Date]]&lt;&gt;"",Main[[#This Row],[Revised Due Date]]&lt;&gt;""),Main[[#This Row],[In Stock Date]]-Main[[#This Row],[Revised Due Date]],"")</f>
        <v/>
      </c>
      <c r="I304" s="72" t="s">
        <v>4</v>
      </c>
      <c r="J304" s="72" t="s">
        <v>4</v>
      </c>
      <c r="K304" s="72" t="s">
        <v>4</v>
      </c>
      <c r="L304" s="74"/>
      <c r="M304" s="77" t="str">
        <f>IF(Main[[#This Row],[Tech Start Date]]&lt;1/1/1990,"",IF(Main[[#This Row],[Class]]="C",WORKDAY(Main[[#This Row],[Tech Start Date]],9),IF(Main[[#This Row],[Class]]="B", WORKDAY(Main[[#This Row],[Tech Start Date]],6),IF(Main[[#This Row],[Class]]="A",WORKDAY(Main[[#This Row],[Tech Start Date]],2),""))))</f>
        <v/>
      </c>
      <c r="N304" s="77" t="str">
        <f>IF(Main[[#This Row],[Tech Start Date]]&lt;1/1/1990,"",IF(Main[[#This Row],[Class]]="C",WORKDAY(Main[[#This Row],[Tech Start Date]],19),IF(Main[[#This Row],[Class]]="B", WORKDAY(Main[[#This Row],[Tech Start Date]],12),IF(Main[[#This Row],[Class]]="A",WORKDAY(Main[[#This Row],[Tech Start Date]],4),""))))</f>
        <v/>
      </c>
      <c r="O304" s="77" t="str">
        <f>IF(Main[[#This Row],[Tech Start Date]]&lt;1/1/1990,"",IF(Main[[#This Row],[Class]]="C",WORKDAY(Main[[#This Row],[Tech Start Date]],23),IF(Main[[#This Row],[Class]]="B", WORKDAY(Main[[#This Row],[Tech Start Date]],15),IF(Main[[#This Row],[Class]]="A",WORKDAY(Main[[#This Row],[Tech Start Date]],5),""))))</f>
        <v/>
      </c>
      <c r="P304" s="77" t="str">
        <f>IF(Main[[#This Row],[Tech Start Date]]&lt;1/1/1990,"",IF(Main[[#This Row],[Class]]="C",WORKDAY(Main[[#This Row],[Tech Start Date]],28),IF(Main[[#This Row],[Class]]="B", WORKDAY(Main[[#This Row],[Tech Start Date]],19),IF(Main[[#This Row],[Class]]="A",WORKDAY(Main[[#This Row],[Tech Start Date]],9),""))))</f>
        <v/>
      </c>
      <c r="Q304" s="74"/>
      <c r="R304" s="74"/>
      <c r="S304" s="72" t="s">
        <v>11</v>
      </c>
      <c r="T304" s="80" t="s">
        <v>4</v>
      </c>
      <c r="U304" s="72" t="s">
        <v>14</v>
      </c>
      <c r="V304" s="72" t="s">
        <v>1947</v>
      </c>
      <c r="W304" s="72" t="s">
        <v>1943</v>
      </c>
      <c r="X304" s="72" t="s">
        <v>311</v>
      </c>
      <c r="Y304" s="72" t="s">
        <v>3099</v>
      </c>
      <c r="Z304" s="72" t="s">
        <v>4</v>
      </c>
    </row>
    <row r="305" spans="1:26" ht="18.600000000000001" customHeight="1">
      <c r="A305" s="142" t="str">
        <f>IF(priority(Main[[#This Row],[Comments]])&lt;&gt;0, priority(Main[[#This Row],[Comments]]),"")</f>
        <v/>
      </c>
      <c r="B305" s="90" t="s">
        <v>1164</v>
      </c>
      <c r="C305" s="72" t="s">
        <v>42</v>
      </c>
      <c r="D305" s="73" t="s">
        <v>204</v>
      </c>
      <c r="E305" s="74">
        <v>39952.329340277778</v>
      </c>
      <c r="F305" s="74"/>
      <c r="G305" s="75" t="str">
        <f>IF(stdProdLT(Main[[#This Row],[Comments]])=0.1,"N/A",IF(stdProdLT(Main[[#This Row],[Comments]])=0,"",stdProdLT(Main[[#This Row],[Comments]])))</f>
        <v/>
      </c>
      <c r="H305" s="76" t="str">
        <f>IF(AND(Main[[#This Row],[In Stock Date]]&lt;&gt;"",Main[[#This Row],[Revised Due Date]]&lt;&gt;""),Main[[#This Row],[In Stock Date]]-Main[[#This Row],[Revised Due Date]],"")</f>
        <v/>
      </c>
      <c r="I305" s="72" t="s">
        <v>4</v>
      </c>
      <c r="J305" s="72" t="s">
        <v>4</v>
      </c>
      <c r="K305" s="72" t="s">
        <v>4</v>
      </c>
      <c r="L305" s="74"/>
      <c r="M305" s="77" t="str">
        <f>IF(Main[[#This Row],[Tech Start Date]]&lt;1/1/1990,"",IF(Main[[#This Row],[Class]]="C",WORKDAY(Main[[#This Row],[Tech Start Date]],9),IF(Main[[#This Row],[Class]]="B", WORKDAY(Main[[#This Row],[Tech Start Date]],6),IF(Main[[#This Row],[Class]]="A",WORKDAY(Main[[#This Row],[Tech Start Date]],2),""))))</f>
        <v/>
      </c>
      <c r="N305" s="77" t="str">
        <f>IF(Main[[#This Row],[Tech Start Date]]&lt;1/1/1990,"",IF(Main[[#This Row],[Class]]="C",WORKDAY(Main[[#This Row],[Tech Start Date]],19),IF(Main[[#This Row],[Class]]="B", WORKDAY(Main[[#This Row],[Tech Start Date]],12),IF(Main[[#This Row],[Class]]="A",WORKDAY(Main[[#This Row],[Tech Start Date]],4),""))))</f>
        <v/>
      </c>
      <c r="O305" s="77" t="str">
        <f>IF(Main[[#This Row],[Tech Start Date]]&lt;1/1/1990,"",IF(Main[[#This Row],[Class]]="C",WORKDAY(Main[[#This Row],[Tech Start Date]],23),IF(Main[[#This Row],[Class]]="B", WORKDAY(Main[[#This Row],[Tech Start Date]],15),IF(Main[[#This Row],[Class]]="A",WORKDAY(Main[[#This Row],[Tech Start Date]],5),""))))</f>
        <v/>
      </c>
      <c r="P305" s="77" t="str">
        <f>IF(Main[[#This Row],[Tech Start Date]]&lt;1/1/1990,"",IF(Main[[#This Row],[Class]]="C",WORKDAY(Main[[#This Row],[Tech Start Date]],28),IF(Main[[#This Row],[Class]]="B", WORKDAY(Main[[#This Row],[Tech Start Date]],19),IF(Main[[#This Row],[Class]]="A",WORKDAY(Main[[#This Row],[Tech Start Date]],9),""))))</f>
        <v/>
      </c>
      <c r="Q305" s="74"/>
      <c r="R305" s="74"/>
      <c r="S305" s="72" t="s">
        <v>17</v>
      </c>
      <c r="T305" s="80" t="s">
        <v>4</v>
      </c>
      <c r="U305" s="72" t="s">
        <v>7</v>
      </c>
      <c r="V305" s="72" t="s">
        <v>1940</v>
      </c>
      <c r="W305" s="72" t="s">
        <v>4</v>
      </c>
      <c r="X305" s="72" t="s">
        <v>404</v>
      </c>
      <c r="Y305" s="72" t="s">
        <v>4</v>
      </c>
      <c r="Z305" s="72" t="s">
        <v>4</v>
      </c>
    </row>
    <row r="306" spans="1:26" ht="18.600000000000001" customHeight="1">
      <c r="A306" s="142" t="str">
        <f>IF(priority(Main[[#This Row],[Comments]])&lt;&gt;0, priority(Main[[#This Row],[Comments]]),"")</f>
        <v/>
      </c>
      <c r="B306" s="90" t="s">
        <v>1165</v>
      </c>
      <c r="C306" s="72" t="s">
        <v>58</v>
      </c>
      <c r="D306" s="73" t="s">
        <v>205</v>
      </c>
      <c r="E306" s="74"/>
      <c r="F306" s="74">
        <v>40697</v>
      </c>
      <c r="G306" s="75" t="str">
        <f>IF(stdProdLT(Main[[#This Row],[Comments]])=0.1,"N/A",IF(stdProdLT(Main[[#This Row],[Comments]])=0,"",stdProdLT(Main[[#This Row],[Comments]])))</f>
        <v/>
      </c>
      <c r="H306" s="76" t="str">
        <f>IF(AND(Main[[#This Row],[In Stock Date]]&lt;&gt;"",Main[[#This Row],[Revised Due Date]]&lt;&gt;""),Main[[#This Row],[In Stock Date]]-Main[[#This Row],[Revised Due Date]],"")</f>
        <v/>
      </c>
      <c r="I306" s="72" t="s">
        <v>4</v>
      </c>
      <c r="J306" s="72" t="s">
        <v>4</v>
      </c>
      <c r="K306" s="81" t="s">
        <v>4</v>
      </c>
      <c r="L306" s="74"/>
      <c r="M306" s="77" t="str">
        <f>IF(Main[[#This Row],[Tech Start Date]]&lt;1/1/1990,"",IF(Main[[#This Row],[Class]]="C",WORKDAY(Main[[#This Row],[Tech Start Date]],9),IF(Main[[#This Row],[Class]]="B", WORKDAY(Main[[#This Row],[Tech Start Date]],6),IF(Main[[#This Row],[Class]]="A",WORKDAY(Main[[#This Row],[Tech Start Date]],2),""))))</f>
        <v/>
      </c>
      <c r="N306" s="77" t="str">
        <f>IF(Main[[#This Row],[Tech Start Date]]&lt;1/1/1990,"",IF(Main[[#This Row],[Class]]="C",WORKDAY(Main[[#This Row],[Tech Start Date]],19),IF(Main[[#This Row],[Class]]="B", WORKDAY(Main[[#This Row],[Tech Start Date]],12),IF(Main[[#This Row],[Class]]="A",WORKDAY(Main[[#This Row],[Tech Start Date]],4),""))))</f>
        <v/>
      </c>
      <c r="O306" s="77" t="str">
        <f>IF(Main[[#This Row],[Tech Start Date]]&lt;1/1/1990,"",IF(Main[[#This Row],[Class]]="C",WORKDAY(Main[[#This Row],[Tech Start Date]],23),IF(Main[[#This Row],[Class]]="B", WORKDAY(Main[[#This Row],[Tech Start Date]],15),IF(Main[[#This Row],[Class]]="A",WORKDAY(Main[[#This Row],[Tech Start Date]],5),""))))</f>
        <v/>
      </c>
      <c r="P306" s="77" t="str">
        <f>IF(Main[[#This Row],[Tech Start Date]]&lt;1/1/1990,"",IF(Main[[#This Row],[Class]]="C",WORKDAY(Main[[#This Row],[Tech Start Date]],28),IF(Main[[#This Row],[Class]]="B", WORKDAY(Main[[#This Row],[Tech Start Date]],19),IF(Main[[#This Row],[Class]]="A",WORKDAY(Main[[#This Row],[Tech Start Date]],9),""))))</f>
        <v/>
      </c>
      <c r="Q306" s="74">
        <v>40539</v>
      </c>
      <c r="R306" s="74"/>
      <c r="S306" s="72" t="s">
        <v>11</v>
      </c>
      <c r="T306" s="80" t="s">
        <v>4</v>
      </c>
      <c r="U306" s="72" t="s">
        <v>14</v>
      </c>
      <c r="V306" s="72" t="s">
        <v>1937</v>
      </c>
      <c r="W306" s="72" t="s">
        <v>1943</v>
      </c>
      <c r="X306" s="72" t="s">
        <v>2981</v>
      </c>
      <c r="Y306" s="72" t="s">
        <v>3109</v>
      </c>
      <c r="Z306" s="72" t="s">
        <v>4</v>
      </c>
    </row>
    <row r="307" spans="1:26" ht="18.600000000000001" customHeight="1">
      <c r="A307" s="142" t="str">
        <f>IF(priority(Main[[#This Row],[Comments]])&lt;&gt;0, priority(Main[[#This Row],[Comments]]),"")</f>
        <v/>
      </c>
      <c r="B307" s="90" t="s">
        <v>1166</v>
      </c>
      <c r="C307" s="72" t="s">
        <v>206</v>
      </c>
      <c r="D307" s="73" t="s">
        <v>207</v>
      </c>
      <c r="E307" s="74"/>
      <c r="F307" s="74"/>
      <c r="G307" s="75" t="str">
        <f>IF(stdProdLT(Main[[#This Row],[Comments]])=0.1,"N/A",IF(stdProdLT(Main[[#This Row],[Comments]])=0,"",stdProdLT(Main[[#This Row],[Comments]])))</f>
        <v/>
      </c>
      <c r="H307" s="76" t="str">
        <f>IF(AND(Main[[#This Row],[In Stock Date]]&lt;&gt;"",Main[[#This Row],[Revised Due Date]]&lt;&gt;""),Main[[#This Row],[In Stock Date]]-Main[[#This Row],[Revised Due Date]],"")</f>
        <v/>
      </c>
      <c r="I307" s="72" t="s">
        <v>4</v>
      </c>
      <c r="J307" s="72" t="s">
        <v>4</v>
      </c>
      <c r="K307" s="81" t="s">
        <v>4</v>
      </c>
      <c r="L307" s="74"/>
      <c r="M307" s="77" t="str">
        <f>IF(Main[[#This Row],[Tech Start Date]]&lt;1/1/1990,"",IF(Main[[#This Row],[Class]]="C",WORKDAY(Main[[#This Row],[Tech Start Date]],9),IF(Main[[#This Row],[Class]]="B", WORKDAY(Main[[#This Row],[Tech Start Date]],6),IF(Main[[#This Row],[Class]]="A",WORKDAY(Main[[#This Row],[Tech Start Date]],2),""))))</f>
        <v/>
      </c>
      <c r="N307" s="77" t="str">
        <f>IF(Main[[#This Row],[Tech Start Date]]&lt;1/1/1990,"",IF(Main[[#This Row],[Class]]="C",WORKDAY(Main[[#This Row],[Tech Start Date]],19),IF(Main[[#This Row],[Class]]="B", WORKDAY(Main[[#This Row],[Tech Start Date]],12),IF(Main[[#This Row],[Class]]="A",WORKDAY(Main[[#This Row],[Tech Start Date]],4),""))))</f>
        <v/>
      </c>
      <c r="O307" s="77" t="str">
        <f>IF(Main[[#This Row],[Tech Start Date]]&lt;1/1/1990,"",IF(Main[[#This Row],[Class]]="C",WORKDAY(Main[[#This Row],[Tech Start Date]],23),IF(Main[[#This Row],[Class]]="B", WORKDAY(Main[[#This Row],[Tech Start Date]],15),IF(Main[[#This Row],[Class]]="A",WORKDAY(Main[[#This Row],[Tech Start Date]],5),""))))</f>
        <v/>
      </c>
      <c r="P307" s="77" t="str">
        <f>IF(Main[[#This Row],[Tech Start Date]]&lt;1/1/1990,"",IF(Main[[#This Row],[Class]]="C",WORKDAY(Main[[#This Row],[Tech Start Date]],28),IF(Main[[#This Row],[Class]]="B", WORKDAY(Main[[#This Row],[Tech Start Date]],19),IF(Main[[#This Row],[Class]]="A",WORKDAY(Main[[#This Row],[Tech Start Date]],9),""))))</f>
        <v/>
      </c>
      <c r="Q307" s="74">
        <v>40302</v>
      </c>
      <c r="R307" s="74"/>
      <c r="S307" s="72" t="s">
        <v>11</v>
      </c>
      <c r="T307" s="80" t="s">
        <v>4</v>
      </c>
      <c r="U307" s="72" t="s">
        <v>14</v>
      </c>
      <c r="V307" s="72" t="s">
        <v>1937</v>
      </c>
      <c r="W307" s="72" t="s">
        <v>1939</v>
      </c>
      <c r="X307" s="72" t="s">
        <v>3006</v>
      </c>
      <c r="Y307" s="72" t="s">
        <v>4</v>
      </c>
      <c r="Z307" s="72" t="s">
        <v>4</v>
      </c>
    </row>
    <row r="308" spans="1:26" ht="18.600000000000001" customHeight="1">
      <c r="A308" s="142" t="str">
        <f>IF(priority(Main[[#This Row],[Comments]])&lt;&gt;0, priority(Main[[#This Row],[Comments]]),"")</f>
        <v/>
      </c>
      <c r="B308" s="90" t="s">
        <v>2385</v>
      </c>
      <c r="C308" s="72" t="s">
        <v>4</v>
      </c>
      <c r="D308" s="73" t="s">
        <v>2386</v>
      </c>
      <c r="E308" s="74">
        <v>40849.308981481481</v>
      </c>
      <c r="F308" s="74"/>
      <c r="G308" s="75" t="str">
        <f>IF(stdProdLT(Main[[#This Row],[Comments]])=0.1,"N/A",IF(stdProdLT(Main[[#This Row],[Comments]])=0,"",stdProdLT(Main[[#This Row],[Comments]])))</f>
        <v/>
      </c>
      <c r="H308" s="76" t="str">
        <f>IF(AND(Main[[#This Row],[In Stock Date]]&lt;&gt;"",Main[[#This Row],[Revised Due Date]]&lt;&gt;""),Main[[#This Row],[In Stock Date]]-Main[[#This Row],[Revised Due Date]],"")</f>
        <v/>
      </c>
      <c r="I308" s="72" t="s">
        <v>927</v>
      </c>
      <c r="J308" s="72" t="s">
        <v>52</v>
      </c>
      <c r="K308" s="72" t="s">
        <v>4</v>
      </c>
      <c r="L308" s="74"/>
      <c r="M308" s="77" t="str">
        <f>IF(Main[[#This Row],[Tech Start Date]]&lt;1/1/1990,"",IF(Main[[#This Row],[Class]]="C",WORKDAY(Main[[#This Row],[Tech Start Date]],9),IF(Main[[#This Row],[Class]]="B", WORKDAY(Main[[#This Row],[Tech Start Date]],6),IF(Main[[#This Row],[Class]]="A",WORKDAY(Main[[#This Row],[Tech Start Date]],2),""))))</f>
        <v/>
      </c>
      <c r="N308" s="77" t="str">
        <f>IF(Main[[#This Row],[Tech Start Date]]&lt;1/1/1990,"",IF(Main[[#This Row],[Class]]="C",WORKDAY(Main[[#This Row],[Tech Start Date]],19),IF(Main[[#This Row],[Class]]="B", WORKDAY(Main[[#This Row],[Tech Start Date]],12),IF(Main[[#This Row],[Class]]="A",WORKDAY(Main[[#This Row],[Tech Start Date]],4),""))))</f>
        <v/>
      </c>
      <c r="O308" s="77" t="str">
        <f>IF(Main[[#This Row],[Tech Start Date]]&lt;1/1/1990,"",IF(Main[[#This Row],[Class]]="C",WORKDAY(Main[[#This Row],[Tech Start Date]],23),IF(Main[[#This Row],[Class]]="B", WORKDAY(Main[[#This Row],[Tech Start Date]],15),IF(Main[[#This Row],[Class]]="A",WORKDAY(Main[[#This Row],[Tech Start Date]],5),""))))</f>
        <v/>
      </c>
      <c r="P308" s="77" t="str">
        <f>IF(Main[[#This Row],[Tech Start Date]]&lt;1/1/1990,"",IF(Main[[#This Row],[Class]]="C",WORKDAY(Main[[#This Row],[Tech Start Date]],28),IF(Main[[#This Row],[Class]]="B", WORKDAY(Main[[#This Row],[Tech Start Date]],19),IF(Main[[#This Row],[Class]]="A",WORKDAY(Main[[#This Row],[Tech Start Date]],9),""))))</f>
        <v/>
      </c>
      <c r="Q308" s="74"/>
      <c r="R308" s="74"/>
      <c r="S308" s="72" t="s">
        <v>6</v>
      </c>
      <c r="T308" s="80" t="s">
        <v>4</v>
      </c>
      <c r="U308" s="72" t="s">
        <v>29</v>
      </c>
      <c r="V308" s="72" t="s">
        <v>1937</v>
      </c>
      <c r="W308" s="72" t="s">
        <v>1941</v>
      </c>
      <c r="X308" s="72" t="s">
        <v>953</v>
      </c>
      <c r="Y308" s="72" t="s">
        <v>3142</v>
      </c>
      <c r="Z308" s="72" t="s">
        <v>953</v>
      </c>
    </row>
    <row r="309" spans="1:26" ht="18.600000000000001" customHeight="1">
      <c r="A309" s="142" t="str">
        <f>IF(priority(Main[[#This Row],[Comments]])&lt;&gt;0, priority(Main[[#This Row],[Comments]]),"")</f>
        <v/>
      </c>
      <c r="B309" s="90" t="s">
        <v>2466</v>
      </c>
      <c r="C309" s="72" t="s">
        <v>4</v>
      </c>
      <c r="D309" s="73" t="s">
        <v>2729</v>
      </c>
      <c r="E309" s="74">
        <v>40842.390289351853</v>
      </c>
      <c r="F309" s="74"/>
      <c r="G309" s="75" t="str">
        <f>IF(stdProdLT(Main[[#This Row],[Comments]])=0.1,"N/A",IF(stdProdLT(Main[[#This Row],[Comments]])=0,"",stdProdLT(Main[[#This Row],[Comments]])))</f>
        <v/>
      </c>
      <c r="H309" s="76" t="str">
        <f>IF(AND(Main[[#This Row],[In Stock Date]]&lt;&gt;"",Main[[#This Row],[Revised Due Date]]&lt;&gt;""),Main[[#This Row],[In Stock Date]]-Main[[#This Row],[Revised Due Date]],"")</f>
        <v/>
      </c>
      <c r="I309" s="72" t="s">
        <v>4</v>
      </c>
      <c r="J309" s="72" t="s">
        <v>4</v>
      </c>
      <c r="K309" s="72" t="s">
        <v>4</v>
      </c>
      <c r="L309" s="74"/>
      <c r="M309" s="77" t="str">
        <f>IF(Main[[#This Row],[Tech Start Date]]&lt;1/1/1990,"",IF(Main[[#This Row],[Class]]="C",WORKDAY(Main[[#This Row],[Tech Start Date]],9),IF(Main[[#This Row],[Class]]="B", WORKDAY(Main[[#This Row],[Tech Start Date]],6),IF(Main[[#This Row],[Class]]="A",WORKDAY(Main[[#This Row],[Tech Start Date]],2),""))))</f>
        <v/>
      </c>
      <c r="N309" s="77" t="str">
        <f>IF(Main[[#This Row],[Tech Start Date]]&lt;1/1/1990,"",IF(Main[[#This Row],[Class]]="C",WORKDAY(Main[[#This Row],[Tech Start Date]],19),IF(Main[[#This Row],[Class]]="B", WORKDAY(Main[[#This Row],[Tech Start Date]],12),IF(Main[[#This Row],[Class]]="A",WORKDAY(Main[[#This Row],[Tech Start Date]],4),""))))</f>
        <v/>
      </c>
      <c r="O309" s="77" t="str">
        <f>IF(Main[[#This Row],[Tech Start Date]]&lt;1/1/1990,"",IF(Main[[#This Row],[Class]]="C",WORKDAY(Main[[#This Row],[Tech Start Date]],23),IF(Main[[#This Row],[Class]]="B", WORKDAY(Main[[#This Row],[Tech Start Date]],15),IF(Main[[#This Row],[Class]]="A",WORKDAY(Main[[#This Row],[Tech Start Date]],5),""))))</f>
        <v/>
      </c>
      <c r="P309" s="77" t="str">
        <f>IF(Main[[#This Row],[Tech Start Date]]&lt;1/1/1990,"",IF(Main[[#This Row],[Class]]="C",WORKDAY(Main[[#This Row],[Tech Start Date]],28),IF(Main[[#This Row],[Class]]="B", WORKDAY(Main[[#This Row],[Tech Start Date]],19),IF(Main[[#This Row],[Class]]="A",WORKDAY(Main[[#This Row],[Tech Start Date]],9),""))))</f>
        <v/>
      </c>
      <c r="Q309" s="74"/>
      <c r="R309" s="74"/>
      <c r="S309" s="72" t="s">
        <v>17</v>
      </c>
      <c r="T309" s="80" t="s">
        <v>4</v>
      </c>
      <c r="U309" s="72" t="s">
        <v>29</v>
      </c>
      <c r="V309" s="72" t="s">
        <v>1938</v>
      </c>
      <c r="W309" s="72" t="s">
        <v>1945</v>
      </c>
      <c r="X309" s="72" t="s">
        <v>3014</v>
      </c>
      <c r="Y309" s="72" t="s">
        <v>3164</v>
      </c>
      <c r="Z309" s="72" t="s">
        <v>4</v>
      </c>
    </row>
    <row r="310" spans="1:26" ht="18.600000000000001" customHeight="1">
      <c r="A310" s="142" t="str">
        <f>IF(priority(Main[[#This Row],[Comments]])&lt;&gt;0, priority(Main[[#This Row],[Comments]]),"")</f>
        <v/>
      </c>
      <c r="B310" s="90" t="s">
        <v>1167</v>
      </c>
      <c r="C310" s="72" t="s">
        <v>208</v>
      </c>
      <c r="D310" s="73" t="s">
        <v>209</v>
      </c>
      <c r="E310" s="74"/>
      <c r="F310" s="74"/>
      <c r="G310" s="75" t="str">
        <f>IF(stdProdLT(Main[[#This Row],[Comments]])=0.1,"N/A",IF(stdProdLT(Main[[#This Row],[Comments]])=0,"",stdProdLT(Main[[#This Row],[Comments]])))</f>
        <v/>
      </c>
      <c r="H310" s="76" t="str">
        <f>IF(AND(Main[[#This Row],[In Stock Date]]&lt;&gt;"",Main[[#This Row],[Revised Due Date]]&lt;&gt;""),Main[[#This Row],[In Stock Date]]-Main[[#This Row],[Revised Due Date]],"")</f>
        <v/>
      </c>
      <c r="I310" s="72" t="s">
        <v>4</v>
      </c>
      <c r="J310" s="72" t="s">
        <v>4</v>
      </c>
      <c r="K310" s="72" t="s">
        <v>4</v>
      </c>
      <c r="L310" s="74"/>
      <c r="M310" s="77" t="str">
        <f>IF(Main[[#This Row],[Tech Start Date]]&lt;1/1/1990,"",IF(Main[[#This Row],[Class]]="C",WORKDAY(Main[[#This Row],[Tech Start Date]],9),IF(Main[[#This Row],[Class]]="B", WORKDAY(Main[[#This Row],[Tech Start Date]],6),IF(Main[[#This Row],[Class]]="A",WORKDAY(Main[[#This Row],[Tech Start Date]],2),""))))</f>
        <v/>
      </c>
      <c r="N310" s="77" t="str">
        <f>IF(Main[[#This Row],[Tech Start Date]]&lt;1/1/1990,"",IF(Main[[#This Row],[Class]]="C",WORKDAY(Main[[#This Row],[Tech Start Date]],19),IF(Main[[#This Row],[Class]]="B", WORKDAY(Main[[#This Row],[Tech Start Date]],12),IF(Main[[#This Row],[Class]]="A",WORKDAY(Main[[#This Row],[Tech Start Date]],4),""))))</f>
        <v/>
      </c>
      <c r="O310" s="77" t="str">
        <f>IF(Main[[#This Row],[Tech Start Date]]&lt;1/1/1990,"",IF(Main[[#This Row],[Class]]="C",WORKDAY(Main[[#This Row],[Tech Start Date]],23),IF(Main[[#This Row],[Class]]="B", WORKDAY(Main[[#This Row],[Tech Start Date]],15),IF(Main[[#This Row],[Class]]="A",WORKDAY(Main[[#This Row],[Tech Start Date]],5),""))))</f>
        <v/>
      </c>
      <c r="P310" s="77" t="str">
        <f>IF(Main[[#This Row],[Tech Start Date]]&lt;1/1/1990,"",IF(Main[[#This Row],[Class]]="C",WORKDAY(Main[[#This Row],[Tech Start Date]],28),IF(Main[[#This Row],[Class]]="B", WORKDAY(Main[[#This Row],[Tech Start Date]],19),IF(Main[[#This Row],[Class]]="A",WORKDAY(Main[[#This Row],[Tech Start Date]],9),""))))</f>
        <v/>
      </c>
      <c r="Q310" s="74">
        <v>40116</v>
      </c>
      <c r="R310" s="74"/>
      <c r="S310" s="72" t="s">
        <v>11</v>
      </c>
      <c r="T310" s="80" t="s">
        <v>4</v>
      </c>
      <c r="U310" s="72" t="s">
        <v>14</v>
      </c>
      <c r="V310" s="72" t="s">
        <v>1940</v>
      </c>
      <c r="W310" s="72" t="s">
        <v>1939</v>
      </c>
      <c r="X310" s="72" t="s">
        <v>3015</v>
      </c>
      <c r="Y310" s="72" t="s">
        <v>4</v>
      </c>
      <c r="Z310" s="72" t="s">
        <v>4</v>
      </c>
    </row>
    <row r="311" spans="1:26" ht="18.600000000000001" customHeight="1">
      <c r="A311" s="142" t="str">
        <f>IF(priority(Main[[#This Row],[Comments]])&lt;&gt;0, priority(Main[[#This Row],[Comments]]),"")</f>
        <v/>
      </c>
      <c r="B311" s="90" t="s">
        <v>1168</v>
      </c>
      <c r="C311" s="72" t="s">
        <v>208</v>
      </c>
      <c r="D311" s="73" t="s">
        <v>210</v>
      </c>
      <c r="E311" s="74"/>
      <c r="F311" s="74"/>
      <c r="G311" s="75" t="str">
        <f>IF(stdProdLT(Main[[#This Row],[Comments]])=0.1,"N/A",IF(stdProdLT(Main[[#This Row],[Comments]])=0,"",stdProdLT(Main[[#This Row],[Comments]])))</f>
        <v/>
      </c>
      <c r="H311" s="76" t="str">
        <f>IF(AND(Main[[#This Row],[In Stock Date]]&lt;&gt;"",Main[[#This Row],[Revised Due Date]]&lt;&gt;""),Main[[#This Row],[In Stock Date]]-Main[[#This Row],[Revised Due Date]],"")</f>
        <v/>
      </c>
      <c r="I311" s="72" t="s">
        <v>4</v>
      </c>
      <c r="J311" s="72" t="s">
        <v>4</v>
      </c>
      <c r="K311" s="72" t="s">
        <v>4</v>
      </c>
      <c r="L311" s="74"/>
      <c r="M311" s="77" t="str">
        <f>IF(Main[[#This Row],[Tech Start Date]]&lt;1/1/1990,"",IF(Main[[#This Row],[Class]]="C",WORKDAY(Main[[#This Row],[Tech Start Date]],9),IF(Main[[#This Row],[Class]]="B", WORKDAY(Main[[#This Row],[Tech Start Date]],6),IF(Main[[#This Row],[Class]]="A",WORKDAY(Main[[#This Row],[Tech Start Date]],2),""))))</f>
        <v/>
      </c>
      <c r="N311" s="77" t="str">
        <f>IF(Main[[#This Row],[Tech Start Date]]&lt;1/1/1990,"",IF(Main[[#This Row],[Class]]="C",WORKDAY(Main[[#This Row],[Tech Start Date]],19),IF(Main[[#This Row],[Class]]="B", WORKDAY(Main[[#This Row],[Tech Start Date]],12),IF(Main[[#This Row],[Class]]="A",WORKDAY(Main[[#This Row],[Tech Start Date]],4),""))))</f>
        <v/>
      </c>
      <c r="O311" s="77" t="str">
        <f>IF(Main[[#This Row],[Tech Start Date]]&lt;1/1/1990,"",IF(Main[[#This Row],[Class]]="C",WORKDAY(Main[[#This Row],[Tech Start Date]],23),IF(Main[[#This Row],[Class]]="B", WORKDAY(Main[[#This Row],[Tech Start Date]],15),IF(Main[[#This Row],[Class]]="A",WORKDAY(Main[[#This Row],[Tech Start Date]],5),""))))</f>
        <v/>
      </c>
      <c r="P311" s="77" t="str">
        <f>IF(Main[[#This Row],[Tech Start Date]]&lt;1/1/1990,"",IF(Main[[#This Row],[Class]]="C",WORKDAY(Main[[#This Row],[Tech Start Date]],28),IF(Main[[#This Row],[Class]]="B", WORKDAY(Main[[#This Row],[Tech Start Date]],19),IF(Main[[#This Row],[Class]]="A",WORKDAY(Main[[#This Row],[Tech Start Date]],9),""))))</f>
        <v/>
      </c>
      <c r="Q311" s="74">
        <v>40116</v>
      </c>
      <c r="R311" s="74"/>
      <c r="S311" s="72" t="s">
        <v>11</v>
      </c>
      <c r="T311" s="80" t="s">
        <v>4</v>
      </c>
      <c r="U311" s="72" t="s">
        <v>14</v>
      </c>
      <c r="V311" s="72" t="s">
        <v>1940</v>
      </c>
      <c r="W311" s="72" t="s">
        <v>1939</v>
      </c>
      <c r="X311" s="72" t="s">
        <v>3015</v>
      </c>
      <c r="Y311" s="72" t="s">
        <v>4</v>
      </c>
      <c r="Z311" s="72" t="s">
        <v>4</v>
      </c>
    </row>
    <row r="312" spans="1:26" ht="18.600000000000001" customHeight="1">
      <c r="A312" s="142" t="str">
        <f>IF(priority(Main[[#This Row],[Comments]])&lt;&gt;0, priority(Main[[#This Row],[Comments]]),"")</f>
        <v/>
      </c>
      <c r="B312" s="90" t="s">
        <v>1169</v>
      </c>
      <c r="C312" s="72" t="s">
        <v>4</v>
      </c>
      <c r="D312" s="73" t="s">
        <v>211</v>
      </c>
      <c r="E312" s="74"/>
      <c r="F312" s="74"/>
      <c r="G312" s="75" t="str">
        <f>IF(stdProdLT(Main[[#This Row],[Comments]])=0.1,"N/A",IF(stdProdLT(Main[[#This Row],[Comments]])=0,"",stdProdLT(Main[[#This Row],[Comments]])))</f>
        <v/>
      </c>
      <c r="H312" s="76" t="str">
        <f>IF(AND(Main[[#This Row],[In Stock Date]]&lt;&gt;"",Main[[#This Row],[Revised Due Date]]&lt;&gt;""),Main[[#This Row],[In Stock Date]]-Main[[#This Row],[Revised Due Date]],"")</f>
        <v/>
      </c>
      <c r="I312" s="72" t="s">
        <v>4</v>
      </c>
      <c r="J312" s="72" t="s">
        <v>28</v>
      </c>
      <c r="K312" s="72" t="s">
        <v>4</v>
      </c>
      <c r="L312" s="74"/>
      <c r="M312" s="77" t="str">
        <f>IF(Main[[#This Row],[Tech Start Date]]&lt;1/1/1990,"",IF(Main[[#This Row],[Class]]="C",WORKDAY(Main[[#This Row],[Tech Start Date]],9),IF(Main[[#This Row],[Class]]="B", WORKDAY(Main[[#This Row],[Tech Start Date]],6),IF(Main[[#This Row],[Class]]="A",WORKDAY(Main[[#This Row],[Tech Start Date]],2),""))))</f>
        <v/>
      </c>
      <c r="N312" s="77" t="str">
        <f>IF(Main[[#This Row],[Tech Start Date]]&lt;1/1/1990,"",IF(Main[[#This Row],[Class]]="C",WORKDAY(Main[[#This Row],[Tech Start Date]],19),IF(Main[[#This Row],[Class]]="B", WORKDAY(Main[[#This Row],[Tech Start Date]],12),IF(Main[[#This Row],[Class]]="A",WORKDAY(Main[[#This Row],[Tech Start Date]],4),""))))</f>
        <v/>
      </c>
      <c r="O312" s="77" t="str">
        <f>IF(Main[[#This Row],[Tech Start Date]]&lt;1/1/1990,"",IF(Main[[#This Row],[Class]]="C",WORKDAY(Main[[#This Row],[Tech Start Date]],23),IF(Main[[#This Row],[Class]]="B", WORKDAY(Main[[#This Row],[Tech Start Date]],15),IF(Main[[#This Row],[Class]]="A",WORKDAY(Main[[#This Row],[Tech Start Date]],5),""))))</f>
        <v/>
      </c>
      <c r="P312" s="77" t="str">
        <f>IF(Main[[#This Row],[Tech Start Date]]&lt;1/1/1990,"",IF(Main[[#This Row],[Class]]="C",WORKDAY(Main[[#This Row],[Tech Start Date]],28),IF(Main[[#This Row],[Class]]="B", WORKDAY(Main[[#This Row],[Tech Start Date]],19),IF(Main[[#This Row],[Class]]="A",WORKDAY(Main[[#This Row],[Tech Start Date]],9),""))))</f>
        <v/>
      </c>
      <c r="Q312" s="74"/>
      <c r="R312" s="74"/>
      <c r="S312" s="72" t="s">
        <v>6</v>
      </c>
      <c r="T312" s="80" t="s">
        <v>4</v>
      </c>
      <c r="U312" s="72" t="s">
        <v>14</v>
      </c>
      <c r="V312" s="72" t="s">
        <v>1947</v>
      </c>
      <c r="W312" s="72" t="s">
        <v>1943</v>
      </c>
      <c r="X312" s="72" t="s">
        <v>50</v>
      </c>
      <c r="Y312" s="72" t="s">
        <v>3121</v>
      </c>
      <c r="Z312" s="72" t="s">
        <v>30</v>
      </c>
    </row>
    <row r="313" spans="1:26" ht="18.600000000000001" customHeight="1">
      <c r="A313" s="142" t="str">
        <f>IF(priority(Main[[#This Row],[Comments]])&lt;&gt;0, priority(Main[[#This Row],[Comments]]),"")</f>
        <v/>
      </c>
      <c r="B313" s="90" t="s">
        <v>1882</v>
      </c>
      <c r="C313" s="72" t="s">
        <v>31</v>
      </c>
      <c r="D313" s="73" t="s">
        <v>931</v>
      </c>
      <c r="E313" s="74"/>
      <c r="F313" s="74">
        <v>40664</v>
      </c>
      <c r="G313" s="75" t="str">
        <f>IF(stdProdLT(Main[[#This Row],[Comments]])=0.1,"N/A",IF(stdProdLT(Main[[#This Row],[Comments]])=0,"",stdProdLT(Main[[#This Row],[Comments]])))</f>
        <v/>
      </c>
      <c r="H313" s="76">
        <f>IF(AND(Main[[#This Row],[In Stock Date]]&lt;&gt;"",Main[[#This Row],[Revised Due Date]]&lt;&gt;""),Main[[#This Row],[In Stock Date]]-Main[[#This Row],[Revised Due Date]],"")</f>
        <v>87</v>
      </c>
      <c r="I313" s="72" t="s">
        <v>423</v>
      </c>
      <c r="J313" s="72" t="s">
        <v>75</v>
      </c>
      <c r="K313" s="72" t="s">
        <v>1946</v>
      </c>
      <c r="L313" s="74"/>
      <c r="M313" s="77" t="str">
        <f>IF(Main[[#This Row],[Tech Start Date]]&lt;1/1/1990,"",IF(Main[[#This Row],[Class]]="C",WORKDAY(Main[[#This Row],[Tech Start Date]],9),IF(Main[[#This Row],[Class]]="B", WORKDAY(Main[[#This Row],[Tech Start Date]],6),IF(Main[[#This Row],[Class]]="A",WORKDAY(Main[[#This Row],[Tech Start Date]],2),""))))</f>
        <v/>
      </c>
      <c r="N313" s="77" t="str">
        <f>IF(Main[[#This Row],[Tech Start Date]]&lt;1/1/1990,"",IF(Main[[#This Row],[Class]]="C",WORKDAY(Main[[#This Row],[Tech Start Date]],19),IF(Main[[#This Row],[Class]]="B", WORKDAY(Main[[#This Row],[Tech Start Date]],12),IF(Main[[#This Row],[Class]]="A",WORKDAY(Main[[#This Row],[Tech Start Date]],4),""))))</f>
        <v/>
      </c>
      <c r="O313" s="77" t="str">
        <f>IF(Main[[#This Row],[Tech Start Date]]&lt;1/1/1990,"",IF(Main[[#This Row],[Class]]="C",WORKDAY(Main[[#This Row],[Tech Start Date]],23),IF(Main[[#This Row],[Class]]="B", WORKDAY(Main[[#This Row],[Tech Start Date]],15),IF(Main[[#This Row],[Class]]="A",WORKDAY(Main[[#This Row],[Tech Start Date]],5),""))))</f>
        <v/>
      </c>
      <c r="P313" s="77" t="str">
        <f>IF(Main[[#This Row],[Tech Start Date]]&lt;1/1/1990,"",IF(Main[[#This Row],[Class]]="C",WORKDAY(Main[[#This Row],[Tech Start Date]],28),IF(Main[[#This Row],[Class]]="B", WORKDAY(Main[[#This Row],[Tech Start Date]],19),IF(Main[[#This Row],[Class]]="A",WORKDAY(Main[[#This Row],[Tech Start Date]],9),""))))</f>
        <v/>
      </c>
      <c r="Q313" s="74">
        <v>40589</v>
      </c>
      <c r="R313" s="74">
        <v>40577</v>
      </c>
      <c r="S313" s="72" t="s">
        <v>11</v>
      </c>
      <c r="T313" s="80" t="s">
        <v>4</v>
      </c>
      <c r="U313" s="72" t="s">
        <v>14</v>
      </c>
      <c r="V313" s="72" t="s">
        <v>1940</v>
      </c>
      <c r="W313" s="72" t="s">
        <v>1943</v>
      </c>
      <c r="X313" s="72" t="s">
        <v>2977</v>
      </c>
      <c r="Y313" s="72" t="s">
        <v>3125</v>
      </c>
      <c r="Z313" s="72" t="s">
        <v>536</v>
      </c>
    </row>
    <row r="314" spans="1:26" ht="18.600000000000001" customHeight="1">
      <c r="A314" s="142" t="str">
        <f>IF(priority(Main[[#This Row],[Comments]])&lt;&gt;0, priority(Main[[#This Row],[Comments]]),"")</f>
        <v/>
      </c>
      <c r="B314" s="90" t="s">
        <v>1175</v>
      </c>
      <c r="C314" s="72" t="s">
        <v>214</v>
      </c>
      <c r="D314" s="73" t="s">
        <v>215</v>
      </c>
      <c r="E314" s="74"/>
      <c r="F314" s="74">
        <v>40391</v>
      </c>
      <c r="G314" s="75" t="str">
        <f>IF(stdProdLT(Main[[#This Row],[Comments]])=0.1,"N/A",IF(stdProdLT(Main[[#This Row],[Comments]])=0,"",stdProdLT(Main[[#This Row],[Comments]])))</f>
        <v/>
      </c>
      <c r="H314" s="76" t="str">
        <f>IF(AND(Main[[#This Row],[In Stock Date]]&lt;&gt;"",Main[[#This Row],[Revised Due Date]]&lt;&gt;""),Main[[#This Row],[In Stock Date]]-Main[[#This Row],[Revised Due Date]],"")</f>
        <v/>
      </c>
      <c r="I314" s="72" t="s">
        <v>4</v>
      </c>
      <c r="J314" s="72" t="s">
        <v>4</v>
      </c>
      <c r="K314" s="72" t="s">
        <v>4</v>
      </c>
      <c r="L314" s="74"/>
      <c r="M314" s="77" t="str">
        <f>IF(Main[[#This Row],[Tech Start Date]]&lt;1/1/1990,"",IF(Main[[#This Row],[Class]]="C",WORKDAY(Main[[#This Row],[Tech Start Date]],9),IF(Main[[#This Row],[Class]]="B", WORKDAY(Main[[#This Row],[Tech Start Date]],6),IF(Main[[#This Row],[Class]]="A",WORKDAY(Main[[#This Row],[Tech Start Date]],2),""))))</f>
        <v/>
      </c>
      <c r="N314" s="77" t="str">
        <f>IF(Main[[#This Row],[Tech Start Date]]&lt;1/1/1990,"",IF(Main[[#This Row],[Class]]="C",WORKDAY(Main[[#This Row],[Tech Start Date]],19),IF(Main[[#This Row],[Class]]="B", WORKDAY(Main[[#This Row],[Tech Start Date]],12),IF(Main[[#This Row],[Class]]="A",WORKDAY(Main[[#This Row],[Tech Start Date]],4),""))))</f>
        <v/>
      </c>
      <c r="O314" s="77" t="str">
        <f>IF(Main[[#This Row],[Tech Start Date]]&lt;1/1/1990,"",IF(Main[[#This Row],[Class]]="C",WORKDAY(Main[[#This Row],[Tech Start Date]],23),IF(Main[[#This Row],[Class]]="B", WORKDAY(Main[[#This Row],[Tech Start Date]],15),IF(Main[[#This Row],[Class]]="A",WORKDAY(Main[[#This Row],[Tech Start Date]],5),""))))</f>
        <v/>
      </c>
      <c r="P314" s="77" t="str">
        <f>IF(Main[[#This Row],[Tech Start Date]]&lt;1/1/1990,"",IF(Main[[#This Row],[Class]]="C",WORKDAY(Main[[#This Row],[Tech Start Date]],28),IF(Main[[#This Row],[Class]]="B", WORKDAY(Main[[#This Row],[Tech Start Date]],19),IF(Main[[#This Row],[Class]]="A",WORKDAY(Main[[#This Row],[Tech Start Date]],9),""))))</f>
        <v/>
      </c>
      <c r="Q314" s="74">
        <v>40296</v>
      </c>
      <c r="R314" s="74"/>
      <c r="S314" s="72" t="s">
        <v>11</v>
      </c>
      <c r="T314" s="80" t="s">
        <v>4</v>
      </c>
      <c r="U314" s="72" t="s">
        <v>12</v>
      </c>
      <c r="V314" s="72" t="s">
        <v>1937</v>
      </c>
      <c r="W314" s="72" t="s">
        <v>1945</v>
      </c>
      <c r="X314" s="72" t="s">
        <v>2985</v>
      </c>
      <c r="Y314" s="72" t="s">
        <v>4</v>
      </c>
      <c r="Z314" s="72" t="s">
        <v>4</v>
      </c>
    </row>
    <row r="315" spans="1:26" ht="18.600000000000001" customHeight="1">
      <c r="A315" s="142" t="str">
        <f>IF(priority(Main[[#This Row],[Comments]])&lt;&gt;0, priority(Main[[#This Row],[Comments]]),"")</f>
        <v/>
      </c>
      <c r="B315" s="90" t="s">
        <v>1177</v>
      </c>
      <c r="C315" s="72" t="s">
        <v>216</v>
      </c>
      <c r="D315" s="73" t="s">
        <v>217</v>
      </c>
      <c r="E315" s="74">
        <v>40395.391388888886</v>
      </c>
      <c r="F315" s="74">
        <v>40574</v>
      </c>
      <c r="G315" s="75" t="str">
        <f>IF(stdProdLT(Main[[#This Row],[Comments]])=0.1,"N/A",IF(stdProdLT(Main[[#This Row],[Comments]])=0,"",stdProdLT(Main[[#This Row],[Comments]])))</f>
        <v/>
      </c>
      <c r="H315" s="76" t="str">
        <f>IF(AND(Main[[#This Row],[In Stock Date]]&lt;&gt;"",Main[[#This Row],[Revised Due Date]]&lt;&gt;""),Main[[#This Row],[In Stock Date]]-Main[[#This Row],[Revised Due Date]],"")</f>
        <v/>
      </c>
      <c r="I315" s="72" t="s">
        <v>4</v>
      </c>
      <c r="J315" s="72" t="s">
        <v>28</v>
      </c>
      <c r="K315" s="72" t="s">
        <v>4</v>
      </c>
      <c r="L315" s="74"/>
      <c r="M315" s="77" t="str">
        <f>IF(Main[[#This Row],[Tech Start Date]]&lt;1/1/1990,"",IF(Main[[#This Row],[Class]]="C",WORKDAY(Main[[#This Row],[Tech Start Date]],9),IF(Main[[#This Row],[Class]]="B", WORKDAY(Main[[#This Row],[Tech Start Date]],6),IF(Main[[#This Row],[Class]]="A",WORKDAY(Main[[#This Row],[Tech Start Date]],2),""))))</f>
        <v/>
      </c>
      <c r="N315" s="77" t="str">
        <f>IF(Main[[#This Row],[Tech Start Date]]&lt;1/1/1990,"",IF(Main[[#This Row],[Class]]="C",WORKDAY(Main[[#This Row],[Tech Start Date]],19),IF(Main[[#This Row],[Class]]="B", WORKDAY(Main[[#This Row],[Tech Start Date]],12),IF(Main[[#This Row],[Class]]="A",WORKDAY(Main[[#This Row],[Tech Start Date]],4),""))))</f>
        <v/>
      </c>
      <c r="O315" s="77" t="str">
        <f>IF(Main[[#This Row],[Tech Start Date]]&lt;1/1/1990,"",IF(Main[[#This Row],[Class]]="C",WORKDAY(Main[[#This Row],[Tech Start Date]],23),IF(Main[[#This Row],[Class]]="B", WORKDAY(Main[[#This Row],[Tech Start Date]],15),IF(Main[[#This Row],[Class]]="A",WORKDAY(Main[[#This Row],[Tech Start Date]],5),""))))</f>
        <v/>
      </c>
      <c r="P315" s="77" t="str">
        <f>IF(Main[[#This Row],[Tech Start Date]]&lt;1/1/1990,"",IF(Main[[#This Row],[Class]]="C",WORKDAY(Main[[#This Row],[Tech Start Date]],28),IF(Main[[#This Row],[Class]]="B", WORKDAY(Main[[#This Row],[Tech Start Date]],19),IF(Main[[#This Row],[Class]]="A",WORKDAY(Main[[#This Row],[Tech Start Date]],9),""))))</f>
        <v/>
      </c>
      <c r="Q315" s="74"/>
      <c r="R315" s="74"/>
      <c r="S315" s="72" t="s">
        <v>17</v>
      </c>
      <c r="T315" s="80" t="s">
        <v>4</v>
      </c>
      <c r="U315" s="72" t="s">
        <v>7</v>
      </c>
      <c r="V315" s="72" t="s">
        <v>1937</v>
      </c>
      <c r="W315" s="72" t="s">
        <v>1942</v>
      </c>
      <c r="X315" s="72" t="s">
        <v>50</v>
      </c>
      <c r="Y315" s="72" t="s">
        <v>3165</v>
      </c>
      <c r="Z315" s="72" t="s">
        <v>129</v>
      </c>
    </row>
    <row r="316" spans="1:26" ht="18.600000000000001" customHeight="1">
      <c r="A316" s="142" t="str">
        <f>IF(priority(Main[[#This Row],[Comments]])&lt;&gt;0, priority(Main[[#This Row],[Comments]]),"")</f>
        <v/>
      </c>
      <c r="B316" s="90" t="s">
        <v>1178</v>
      </c>
      <c r="C316" s="72" t="s">
        <v>171</v>
      </c>
      <c r="D316" s="73" t="s">
        <v>218</v>
      </c>
      <c r="E316" s="74"/>
      <c r="F316" s="74">
        <v>40237</v>
      </c>
      <c r="G316" s="75" t="str">
        <f>IF(stdProdLT(Main[[#This Row],[Comments]])=0.1,"N/A",IF(stdProdLT(Main[[#This Row],[Comments]])=0,"",stdProdLT(Main[[#This Row],[Comments]])))</f>
        <v/>
      </c>
      <c r="H316" s="76" t="str">
        <f>IF(AND(Main[[#This Row],[In Stock Date]]&lt;&gt;"",Main[[#This Row],[Revised Due Date]]&lt;&gt;""),Main[[#This Row],[In Stock Date]]-Main[[#This Row],[Revised Due Date]],"")</f>
        <v/>
      </c>
      <c r="I316" s="72" t="s">
        <v>4</v>
      </c>
      <c r="J316" s="72" t="s">
        <v>4</v>
      </c>
      <c r="K316" s="81" t="s">
        <v>4</v>
      </c>
      <c r="L316" s="74"/>
      <c r="M316" s="77" t="str">
        <f>IF(Main[[#This Row],[Tech Start Date]]&lt;1/1/1990,"",IF(Main[[#This Row],[Class]]="C",WORKDAY(Main[[#This Row],[Tech Start Date]],9),IF(Main[[#This Row],[Class]]="B", WORKDAY(Main[[#This Row],[Tech Start Date]],6),IF(Main[[#This Row],[Class]]="A",WORKDAY(Main[[#This Row],[Tech Start Date]],2),""))))</f>
        <v/>
      </c>
      <c r="N316" s="77" t="str">
        <f>IF(Main[[#This Row],[Tech Start Date]]&lt;1/1/1990,"",IF(Main[[#This Row],[Class]]="C",WORKDAY(Main[[#This Row],[Tech Start Date]],19),IF(Main[[#This Row],[Class]]="B", WORKDAY(Main[[#This Row],[Tech Start Date]],12),IF(Main[[#This Row],[Class]]="A",WORKDAY(Main[[#This Row],[Tech Start Date]],4),""))))</f>
        <v/>
      </c>
      <c r="O316" s="77" t="str">
        <f>IF(Main[[#This Row],[Tech Start Date]]&lt;1/1/1990,"",IF(Main[[#This Row],[Class]]="C",WORKDAY(Main[[#This Row],[Tech Start Date]],23),IF(Main[[#This Row],[Class]]="B", WORKDAY(Main[[#This Row],[Tech Start Date]],15),IF(Main[[#This Row],[Class]]="A",WORKDAY(Main[[#This Row],[Tech Start Date]],5),""))))</f>
        <v/>
      </c>
      <c r="P316" s="77" t="str">
        <f>IF(Main[[#This Row],[Tech Start Date]]&lt;1/1/1990,"",IF(Main[[#This Row],[Class]]="C",WORKDAY(Main[[#This Row],[Tech Start Date]],28),IF(Main[[#This Row],[Class]]="B", WORKDAY(Main[[#This Row],[Tech Start Date]],19),IF(Main[[#This Row],[Class]]="A",WORKDAY(Main[[#This Row],[Tech Start Date]],9),""))))</f>
        <v/>
      </c>
      <c r="Q316" s="74">
        <v>40132</v>
      </c>
      <c r="R316" s="74"/>
      <c r="S316" s="72" t="s">
        <v>11</v>
      </c>
      <c r="T316" s="80" t="s">
        <v>4</v>
      </c>
      <c r="U316" s="72" t="s">
        <v>14</v>
      </c>
      <c r="V316" s="72" t="s">
        <v>1937</v>
      </c>
      <c r="W316" s="72" t="s">
        <v>1942</v>
      </c>
      <c r="X316" s="72" t="s">
        <v>3010</v>
      </c>
      <c r="Y316" s="72" t="s">
        <v>4</v>
      </c>
      <c r="Z316" s="72" t="s">
        <v>4</v>
      </c>
    </row>
    <row r="317" spans="1:26" ht="18.600000000000001" customHeight="1">
      <c r="A317" s="142" t="str">
        <f>IF(priority(Main[[#This Row],[Comments]])&lt;&gt;0, priority(Main[[#This Row],[Comments]]),"")</f>
        <v/>
      </c>
      <c r="B317" s="90" t="s">
        <v>1179</v>
      </c>
      <c r="C317" s="72" t="s">
        <v>4</v>
      </c>
      <c r="D317" s="73" t="s">
        <v>219</v>
      </c>
      <c r="E317" s="74"/>
      <c r="F317" s="74"/>
      <c r="G317" s="75" t="str">
        <f>IF(stdProdLT(Main[[#This Row],[Comments]])=0.1,"N/A",IF(stdProdLT(Main[[#This Row],[Comments]])=0,"",stdProdLT(Main[[#This Row],[Comments]])))</f>
        <v/>
      </c>
      <c r="H317" s="76" t="str">
        <f>IF(AND(Main[[#This Row],[In Stock Date]]&lt;&gt;"",Main[[#This Row],[Revised Due Date]]&lt;&gt;""),Main[[#This Row],[In Stock Date]]-Main[[#This Row],[Revised Due Date]],"")</f>
        <v/>
      </c>
      <c r="I317" s="72" t="s">
        <v>4</v>
      </c>
      <c r="J317" s="72" t="s">
        <v>4</v>
      </c>
      <c r="K317" s="72" t="s">
        <v>4</v>
      </c>
      <c r="L317" s="74"/>
      <c r="M317" s="77" t="str">
        <f>IF(Main[[#This Row],[Tech Start Date]]&lt;1/1/1990,"",IF(Main[[#This Row],[Class]]="C",WORKDAY(Main[[#This Row],[Tech Start Date]],9),IF(Main[[#This Row],[Class]]="B", WORKDAY(Main[[#This Row],[Tech Start Date]],6),IF(Main[[#This Row],[Class]]="A",WORKDAY(Main[[#This Row],[Tech Start Date]],2),""))))</f>
        <v/>
      </c>
      <c r="N317" s="77" t="str">
        <f>IF(Main[[#This Row],[Tech Start Date]]&lt;1/1/1990,"",IF(Main[[#This Row],[Class]]="C",WORKDAY(Main[[#This Row],[Tech Start Date]],19),IF(Main[[#This Row],[Class]]="B", WORKDAY(Main[[#This Row],[Tech Start Date]],12),IF(Main[[#This Row],[Class]]="A",WORKDAY(Main[[#This Row],[Tech Start Date]],4),""))))</f>
        <v/>
      </c>
      <c r="O317" s="77" t="str">
        <f>IF(Main[[#This Row],[Tech Start Date]]&lt;1/1/1990,"",IF(Main[[#This Row],[Class]]="C",WORKDAY(Main[[#This Row],[Tech Start Date]],23),IF(Main[[#This Row],[Class]]="B", WORKDAY(Main[[#This Row],[Tech Start Date]],15),IF(Main[[#This Row],[Class]]="A",WORKDAY(Main[[#This Row],[Tech Start Date]],5),""))))</f>
        <v/>
      </c>
      <c r="P317" s="77" t="str">
        <f>IF(Main[[#This Row],[Tech Start Date]]&lt;1/1/1990,"",IF(Main[[#This Row],[Class]]="C",WORKDAY(Main[[#This Row],[Tech Start Date]],28),IF(Main[[#This Row],[Class]]="B", WORKDAY(Main[[#This Row],[Tech Start Date]],19),IF(Main[[#This Row],[Class]]="A",WORKDAY(Main[[#This Row],[Tech Start Date]],9),""))))</f>
        <v/>
      </c>
      <c r="Q317" s="74"/>
      <c r="R317" s="74"/>
      <c r="S317" s="72" t="s">
        <v>17</v>
      </c>
      <c r="T317" s="80" t="s">
        <v>4</v>
      </c>
      <c r="U317" s="72" t="s">
        <v>12</v>
      </c>
      <c r="V317" s="72" t="s">
        <v>1937</v>
      </c>
      <c r="W317" s="72" t="s">
        <v>1941</v>
      </c>
      <c r="X317" s="72" t="s">
        <v>891</v>
      </c>
      <c r="Y317" s="72" t="s">
        <v>4</v>
      </c>
      <c r="Z317" s="72" t="s">
        <v>4</v>
      </c>
    </row>
    <row r="318" spans="1:26" ht="18.600000000000001" customHeight="1">
      <c r="A318" s="142" t="str">
        <f>IF(priority(Main[[#This Row],[Comments]])&lt;&gt;0, priority(Main[[#This Row],[Comments]]),"")</f>
        <v/>
      </c>
      <c r="B318" s="90" t="s">
        <v>1181</v>
      </c>
      <c r="C318" s="72" t="s">
        <v>93</v>
      </c>
      <c r="D318" s="73" t="s">
        <v>221</v>
      </c>
      <c r="E318" s="74"/>
      <c r="F318" s="74">
        <v>40299</v>
      </c>
      <c r="G318" s="75" t="str">
        <f>IF(stdProdLT(Main[[#This Row],[Comments]])=0.1,"N/A",IF(stdProdLT(Main[[#This Row],[Comments]])=0,"",stdProdLT(Main[[#This Row],[Comments]])))</f>
        <v/>
      </c>
      <c r="H318" s="76" t="str">
        <f>IF(AND(Main[[#This Row],[In Stock Date]]&lt;&gt;"",Main[[#This Row],[Revised Due Date]]&lt;&gt;""),Main[[#This Row],[In Stock Date]]-Main[[#This Row],[Revised Due Date]],"")</f>
        <v/>
      </c>
      <c r="I318" s="72" t="s">
        <v>4</v>
      </c>
      <c r="J318" s="72" t="s">
        <v>4</v>
      </c>
      <c r="K318" s="72" t="s">
        <v>4</v>
      </c>
      <c r="L318" s="74"/>
      <c r="M318" s="77" t="str">
        <f>IF(Main[[#This Row],[Tech Start Date]]&lt;1/1/1990,"",IF(Main[[#This Row],[Class]]="C",WORKDAY(Main[[#This Row],[Tech Start Date]],9),IF(Main[[#This Row],[Class]]="B", WORKDAY(Main[[#This Row],[Tech Start Date]],6),IF(Main[[#This Row],[Class]]="A",WORKDAY(Main[[#This Row],[Tech Start Date]],2),""))))</f>
        <v/>
      </c>
      <c r="N318" s="77" t="str">
        <f>IF(Main[[#This Row],[Tech Start Date]]&lt;1/1/1990,"",IF(Main[[#This Row],[Class]]="C",WORKDAY(Main[[#This Row],[Tech Start Date]],19),IF(Main[[#This Row],[Class]]="B", WORKDAY(Main[[#This Row],[Tech Start Date]],12),IF(Main[[#This Row],[Class]]="A",WORKDAY(Main[[#This Row],[Tech Start Date]],4),""))))</f>
        <v/>
      </c>
      <c r="O318" s="77" t="str">
        <f>IF(Main[[#This Row],[Tech Start Date]]&lt;1/1/1990,"",IF(Main[[#This Row],[Class]]="C",WORKDAY(Main[[#This Row],[Tech Start Date]],23),IF(Main[[#This Row],[Class]]="B", WORKDAY(Main[[#This Row],[Tech Start Date]],15),IF(Main[[#This Row],[Class]]="A",WORKDAY(Main[[#This Row],[Tech Start Date]],5),""))))</f>
        <v/>
      </c>
      <c r="P318" s="77" t="str">
        <f>IF(Main[[#This Row],[Tech Start Date]]&lt;1/1/1990,"",IF(Main[[#This Row],[Class]]="C",WORKDAY(Main[[#This Row],[Tech Start Date]],28),IF(Main[[#This Row],[Class]]="B", WORKDAY(Main[[#This Row],[Tech Start Date]],19),IF(Main[[#This Row],[Class]]="A",WORKDAY(Main[[#This Row],[Tech Start Date]],9),""))))</f>
        <v/>
      </c>
      <c r="Q318" s="74">
        <v>40214</v>
      </c>
      <c r="R318" s="74"/>
      <c r="S318" s="72" t="s">
        <v>11</v>
      </c>
      <c r="T318" s="80" t="s">
        <v>4</v>
      </c>
      <c r="U318" s="72" t="s">
        <v>12</v>
      </c>
      <c r="V318" s="72" t="s">
        <v>1937</v>
      </c>
      <c r="W318" s="72" t="s">
        <v>1943</v>
      </c>
      <c r="X318" s="72" t="s">
        <v>2997</v>
      </c>
      <c r="Y318" s="72" t="s">
        <v>4</v>
      </c>
      <c r="Z318" s="72" t="s">
        <v>4</v>
      </c>
    </row>
    <row r="319" spans="1:26" ht="18.600000000000001" customHeight="1">
      <c r="A319" s="142" t="str">
        <f>IF(priority(Main[[#This Row],[Comments]])&lt;&gt;0, priority(Main[[#This Row],[Comments]]),"")</f>
        <v/>
      </c>
      <c r="B319" s="90" t="s">
        <v>1182</v>
      </c>
      <c r="C319" s="72" t="s">
        <v>113</v>
      </c>
      <c r="D319" s="73" t="s">
        <v>222</v>
      </c>
      <c r="E319" s="74"/>
      <c r="F319" s="74">
        <v>40193</v>
      </c>
      <c r="G319" s="75" t="str">
        <f>IF(stdProdLT(Main[[#This Row],[Comments]])=0.1,"N/A",IF(stdProdLT(Main[[#This Row],[Comments]])=0,"",stdProdLT(Main[[#This Row],[Comments]])))</f>
        <v/>
      </c>
      <c r="H319" s="76" t="str">
        <f>IF(AND(Main[[#This Row],[In Stock Date]]&lt;&gt;"",Main[[#This Row],[Revised Due Date]]&lt;&gt;""),Main[[#This Row],[In Stock Date]]-Main[[#This Row],[Revised Due Date]],"")</f>
        <v/>
      </c>
      <c r="I319" s="72" t="s">
        <v>4</v>
      </c>
      <c r="J319" s="72" t="s">
        <v>4</v>
      </c>
      <c r="K319" s="72" t="s">
        <v>4</v>
      </c>
      <c r="L319" s="74"/>
      <c r="M319" s="77" t="str">
        <f>IF(Main[[#This Row],[Tech Start Date]]&lt;1/1/1990,"",IF(Main[[#This Row],[Class]]="C",WORKDAY(Main[[#This Row],[Tech Start Date]],9),IF(Main[[#This Row],[Class]]="B", WORKDAY(Main[[#This Row],[Tech Start Date]],6),IF(Main[[#This Row],[Class]]="A",WORKDAY(Main[[#This Row],[Tech Start Date]],2),""))))</f>
        <v/>
      </c>
      <c r="N319" s="77" t="str">
        <f>IF(Main[[#This Row],[Tech Start Date]]&lt;1/1/1990,"",IF(Main[[#This Row],[Class]]="C",WORKDAY(Main[[#This Row],[Tech Start Date]],19),IF(Main[[#This Row],[Class]]="B", WORKDAY(Main[[#This Row],[Tech Start Date]],12),IF(Main[[#This Row],[Class]]="A",WORKDAY(Main[[#This Row],[Tech Start Date]],4),""))))</f>
        <v/>
      </c>
      <c r="O319" s="77" t="str">
        <f>IF(Main[[#This Row],[Tech Start Date]]&lt;1/1/1990,"",IF(Main[[#This Row],[Class]]="C",WORKDAY(Main[[#This Row],[Tech Start Date]],23),IF(Main[[#This Row],[Class]]="B", WORKDAY(Main[[#This Row],[Tech Start Date]],15),IF(Main[[#This Row],[Class]]="A",WORKDAY(Main[[#This Row],[Tech Start Date]],5),""))))</f>
        <v/>
      </c>
      <c r="P319" s="77" t="str">
        <f>IF(Main[[#This Row],[Tech Start Date]]&lt;1/1/1990,"",IF(Main[[#This Row],[Class]]="C",WORKDAY(Main[[#This Row],[Tech Start Date]],28),IF(Main[[#This Row],[Class]]="B", WORKDAY(Main[[#This Row],[Tech Start Date]],19),IF(Main[[#This Row],[Class]]="A",WORKDAY(Main[[#This Row],[Tech Start Date]],9),""))))</f>
        <v/>
      </c>
      <c r="Q319" s="74">
        <v>40448</v>
      </c>
      <c r="R319" s="74"/>
      <c r="S319" s="72" t="s">
        <v>11</v>
      </c>
      <c r="T319" s="80" t="s">
        <v>4</v>
      </c>
      <c r="U319" s="72" t="s">
        <v>14</v>
      </c>
      <c r="V319" s="72" t="s">
        <v>1947</v>
      </c>
      <c r="W319" s="72" t="s">
        <v>1943</v>
      </c>
      <c r="X319" s="72" t="s">
        <v>2996</v>
      </c>
      <c r="Y319" s="72" t="s">
        <v>3135</v>
      </c>
      <c r="Z319" s="72" t="s">
        <v>4</v>
      </c>
    </row>
    <row r="320" spans="1:26" ht="18.600000000000001" customHeight="1">
      <c r="A320" s="142" t="str">
        <f>IF(priority(Main[[#This Row],[Comments]])&lt;&gt;0, priority(Main[[#This Row],[Comments]]),"")</f>
        <v/>
      </c>
      <c r="B320" s="90" t="s">
        <v>1183</v>
      </c>
      <c r="C320" s="72" t="s">
        <v>4</v>
      </c>
      <c r="D320" s="73" t="s">
        <v>223</v>
      </c>
      <c r="E320" s="74"/>
      <c r="F320" s="74">
        <v>40031</v>
      </c>
      <c r="G320" s="75" t="str">
        <f>IF(stdProdLT(Main[[#This Row],[Comments]])=0.1,"N/A",IF(stdProdLT(Main[[#This Row],[Comments]])=0,"",stdProdLT(Main[[#This Row],[Comments]])))</f>
        <v/>
      </c>
      <c r="H320" s="76" t="str">
        <f>IF(AND(Main[[#This Row],[In Stock Date]]&lt;&gt;"",Main[[#This Row],[Revised Due Date]]&lt;&gt;""),Main[[#This Row],[In Stock Date]]-Main[[#This Row],[Revised Due Date]],"")</f>
        <v/>
      </c>
      <c r="I320" s="72" t="s">
        <v>4</v>
      </c>
      <c r="J320" s="72" t="s">
        <v>4</v>
      </c>
      <c r="K320" s="72" t="s">
        <v>4</v>
      </c>
      <c r="L320" s="74"/>
      <c r="M320" s="77" t="str">
        <f>IF(Main[[#This Row],[Tech Start Date]]&lt;1/1/1990,"",IF(Main[[#This Row],[Class]]="C",WORKDAY(Main[[#This Row],[Tech Start Date]],9),IF(Main[[#This Row],[Class]]="B", WORKDAY(Main[[#This Row],[Tech Start Date]],6),IF(Main[[#This Row],[Class]]="A",WORKDAY(Main[[#This Row],[Tech Start Date]],2),""))))</f>
        <v/>
      </c>
      <c r="N320" s="77" t="str">
        <f>IF(Main[[#This Row],[Tech Start Date]]&lt;1/1/1990,"",IF(Main[[#This Row],[Class]]="C",WORKDAY(Main[[#This Row],[Tech Start Date]],19),IF(Main[[#This Row],[Class]]="B", WORKDAY(Main[[#This Row],[Tech Start Date]],12),IF(Main[[#This Row],[Class]]="A",WORKDAY(Main[[#This Row],[Tech Start Date]],4),""))))</f>
        <v/>
      </c>
      <c r="O320" s="77" t="str">
        <f>IF(Main[[#This Row],[Tech Start Date]]&lt;1/1/1990,"",IF(Main[[#This Row],[Class]]="C",WORKDAY(Main[[#This Row],[Tech Start Date]],23),IF(Main[[#This Row],[Class]]="B", WORKDAY(Main[[#This Row],[Tech Start Date]],15),IF(Main[[#This Row],[Class]]="A",WORKDAY(Main[[#This Row],[Tech Start Date]],5),""))))</f>
        <v/>
      </c>
      <c r="P320" s="77" t="str">
        <f>IF(Main[[#This Row],[Tech Start Date]]&lt;1/1/1990,"",IF(Main[[#This Row],[Class]]="C",WORKDAY(Main[[#This Row],[Tech Start Date]],28),IF(Main[[#This Row],[Class]]="B", WORKDAY(Main[[#This Row],[Tech Start Date]],19),IF(Main[[#This Row],[Class]]="A",WORKDAY(Main[[#This Row],[Tech Start Date]],9),""))))</f>
        <v/>
      </c>
      <c r="Q320" s="74">
        <v>39976</v>
      </c>
      <c r="R320" s="74"/>
      <c r="S320" s="72" t="s">
        <v>11</v>
      </c>
      <c r="T320" s="80" t="s">
        <v>4</v>
      </c>
      <c r="U320" s="72" t="s">
        <v>14</v>
      </c>
      <c r="V320" s="72" t="s">
        <v>1938</v>
      </c>
      <c r="W320" s="72" t="s">
        <v>1945</v>
      </c>
      <c r="X320" s="72" t="s">
        <v>2976</v>
      </c>
      <c r="Y320" s="72" t="s">
        <v>3101</v>
      </c>
      <c r="Z320" s="72" t="s">
        <v>4</v>
      </c>
    </row>
    <row r="321" spans="1:26" ht="18.600000000000001" customHeight="1">
      <c r="A321" s="142" t="str">
        <f>IF(priority(Main[[#This Row],[Comments]])&lt;&gt;0, priority(Main[[#This Row],[Comments]]),"")</f>
        <v/>
      </c>
      <c r="B321" s="90" t="s">
        <v>1184</v>
      </c>
      <c r="C321" s="72" t="s">
        <v>4</v>
      </c>
      <c r="D321" s="73" t="s">
        <v>224</v>
      </c>
      <c r="E321" s="74"/>
      <c r="F321" s="74">
        <v>40309</v>
      </c>
      <c r="G321" s="75" t="str">
        <f>IF(stdProdLT(Main[[#This Row],[Comments]])=0.1,"N/A",IF(stdProdLT(Main[[#This Row],[Comments]])=0,"",stdProdLT(Main[[#This Row],[Comments]])))</f>
        <v/>
      </c>
      <c r="H321" s="76" t="str">
        <f>IF(AND(Main[[#This Row],[In Stock Date]]&lt;&gt;"",Main[[#This Row],[Revised Due Date]]&lt;&gt;""),Main[[#This Row],[In Stock Date]]-Main[[#This Row],[Revised Due Date]],"")</f>
        <v/>
      </c>
      <c r="I321" s="72" t="s">
        <v>4</v>
      </c>
      <c r="J321" s="72" t="s">
        <v>4</v>
      </c>
      <c r="K321" s="72" t="s">
        <v>4</v>
      </c>
      <c r="L321" s="74"/>
      <c r="M321" s="77" t="str">
        <f>IF(Main[[#This Row],[Tech Start Date]]&lt;1/1/1990,"",IF(Main[[#This Row],[Class]]="C",WORKDAY(Main[[#This Row],[Tech Start Date]],9),IF(Main[[#This Row],[Class]]="B", WORKDAY(Main[[#This Row],[Tech Start Date]],6),IF(Main[[#This Row],[Class]]="A",WORKDAY(Main[[#This Row],[Tech Start Date]],2),""))))</f>
        <v/>
      </c>
      <c r="N321" s="77" t="str">
        <f>IF(Main[[#This Row],[Tech Start Date]]&lt;1/1/1990,"",IF(Main[[#This Row],[Class]]="C",WORKDAY(Main[[#This Row],[Tech Start Date]],19),IF(Main[[#This Row],[Class]]="B", WORKDAY(Main[[#This Row],[Tech Start Date]],12),IF(Main[[#This Row],[Class]]="A",WORKDAY(Main[[#This Row],[Tech Start Date]],4),""))))</f>
        <v/>
      </c>
      <c r="O321" s="77" t="str">
        <f>IF(Main[[#This Row],[Tech Start Date]]&lt;1/1/1990,"",IF(Main[[#This Row],[Class]]="C",WORKDAY(Main[[#This Row],[Tech Start Date]],23),IF(Main[[#This Row],[Class]]="B", WORKDAY(Main[[#This Row],[Tech Start Date]],15),IF(Main[[#This Row],[Class]]="A",WORKDAY(Main[[#This Row],[Tech Start Date]],5),""))))</f>
        <v/>
      </c>
      <c r="P321" s="77" t="str">
        <f>IF(Main[[#This Row],[Tech Start Date]]&lt;1/1/1990,"",IF(Main[[#This Row],[Class]]="C",WORKDAY(Main[[#This Row],[Tech Start Date]],28),IF(Main[[#This Row],[Class]]="B", WORKDAY(Main[[#This Row],[Tech Start Date]],19),IF(Main[[#This Row],[Class]]="A",WORKDAY(Main[[#This Row],[Tech Start Date]],9),""))))</f>
        <v/>
      </c>
      <c r="Q321" s="74">
        <v>40305</v>
      </c>
      <c r="R321" s="74"/>
      <c r="S321" s="72" t="s">
        <v>6</v>
      </c>
      <c r="T321" s="80" t="s">
        <v>4</v>
      </c>
      <c r="U321" s="72" t="s">
        <v>12</v>
      </c>
      <c r="V321" s="72" t="s">
        <v>1937</v>
      </c>
      <c r="W321" s="72" t="s">
        <v>1945</v>
      </c>
      <c r="X321" s="72" t="s">
        <v>2976</v>
      </c>
      <c r="Y321" s="72" t="s">
        <v>3101</v>
      </c>
      <c r="Z321" s="72" t="s">
        <v>4</v>
      </c>
    </row>
    <row r="322" spans="1:26" ht="18.600000000000001" customHeight="1">
      <c r="A322" s="142" t="str">
        <f>IF(priority(Main[[#This Row],[Comments]])&lt;&gt;0, priority(Main[[#This Row],[Comments]]),"")</f>
        <v/>
      </c>
      <c r="B322" s="90" t="s">
        <v>1185</v>
      </c>
      <c r="C322" s="72" t="s">
        <v>31</v>
      </c>
      <c r="D322" s="73" t="s">
        <v>225</v>
      </c>
      <c r="E322" s="74"/>
      <c r="F322" s="74">
        <v>40169</v>
      </c>
      <c r="G322" s="75" t="str">
        <f>IF(stdProdLT(Main[[#This Row],[Comments]])=0.1,"N/A",IF(stdProdLT(Main[[#This Row],[Comments]])=0,"",stdProdLT(Main[[#This Row],[Comments]])))</f>
        <v/>
      </c>
      <c r="H322" s="76" t="str">
        <f>IF(AND(Main[[#This Row],[In Stock Date]]&lt;&gt;"",Main[[#This Row],[Revised Due Date]]&lt;&gt;""),Main[[#This Row],[In Stock Date]]-Main[[#This Row],[Revised Due Date]],"")</f>
        <v/>
      </c>
      <c r="I322" s="72" t="s">
        <v>4</v>
      </c>
      <c r="J322" s="72" t="s">
        <v>4</v>
      </c>
      <c r="K322" s="72" t="s">
        <v>4</v>
      </c>
      <c r="L322" s="74"/>
      <c r="M322" s="77" t="str">
        <f>IF(Main[[#This Row],[Tech Start Date]]&lt;1/1/1990,"",IF(Main[[#This Row],[Class]]="C",WORKDAY(Main[[#This Row],[Tech Start Date]],9),IF(Main[[#This Row],[Class]]="B", WORKDAY(Main[[#This Row],[Tech Start Date]],6),IF(Main[[#This Row],[Class]]="A",WORKDAY(Main[[#This Row],[Tech Start Date]],2),""))))</f>
        <v/>
      </c>
      <c r="N322" s="77" t="str">
        <f>IF(Main[[#This Row],[Tech Start Date]]&lt;1/1/1990,"",IF(Main[[#This Row],[Class]]="C",WORKDAY(Main[[#This Row],[Tech Start Date]],19),IF(Main[[#This Row],[Class]]="B", WORKDAY(Main[[#This Row],[Tech Start Date]],12),IF(Main[[#This Row],[Class]]="A",WORKDAY(Main[[#This Row],[Tech Start Date]],4),""))))</f>
        <v/>
      </c>
      <c r="O322" s="77" t="str">
        <f>IF(Main[[#This Row],[Tech Start Date]]&lt;1/1/1990,"",IF(Main[[#This Row],[Class]]="C",WORKDAY(Main[[#This Row],[Tech Start Date]],23),IF(Main[[#This Row],[Class]]="B", WORKDAY(Main[[#This Row],[Tech Start Date]],15),IF(Main[[#This Row],[Class]]="A",WORKDAY(Main[[#This Row],[Tech Start Date]],5),""))))</f>
        <v/>
      </c>
      <c r="P322" s="77" t="str">
        <f>IF(Main[[#This Row],[Tech Start Date]]&lt;1/1/1990,"",IF(Main[[#This Row],[Class]]="C",WORKDAY(Main[[#This Row],[Tech Start Date]],28),IF(Main[[#This Row],[Class]]="B", WORKDAY(Main[[#This Row],[Tech Start Date]],19),IF(Main[[#This Row],[Class]]="A",WORKDAY(Main[[#This Row],[Tech Start Date]],9),""))))</f>
        <v/>
      </c>
      <c r="Q322" s="74">
        <v>40169</v>
      </c>
      <c r="R322" s="74"/>
      <c r="S322" s="72" t="s">
        <v>11</v>
      </c>
      <c r="T322" s="80" t="s">
        <v>4</v>
      </c>
      <c r="U322" s="72" t="s">
        <v>14</v>
      </c>
      <c r="V322" s="72" t="s">
        <v>1938</v>
      </c>
      <c r="W322" s="72" t="s">
        <v>1945</v>
      </c>
      <c r="X322" s="72" t="s">
        <v>2987</v>
      </c>
      <c r="Y322" s="72" t="s">
        <v>4</v>
      </c>
      <c r="Z322" s="72" t="s">
        <v>4</v>
      </c>
    </row>
    <row r="323" spans="1:26" ht="18.600000000000001" customHeight="1">
      <c r="A323" s="142" t="str">
        <f>IF(priority(Main[[#This Row],[Comments]])&lt;&gt;0, priority(Main[[#This Row],[Comments]]),"")</f>
        <v/>
      </c>
      <c r="B323" s="90" t="s">
        <v>1186</v>
      </c>
      <c r="C323" s="72" t="s">
        <v>72</v>
      </c>
      <c r="D323" s="73" t="s">
        <v>226</v>
      </c>
      <c r="E323" s="74"/>
      <c r="F323" s="74">
        <v>40391</v>
      </c>
      <c r="G323" s="75" t="str">
        <f>IF(stdProdLT(Main[[#This Row],[Comments]])=0.1,"N/A",IF(stdProdLT(Main[[#This Row],[Comments]])=0,"",stdProdLT(Main[[#This Row],[Comments]])))</f>
        <v/>
      </c>
      <c r="H323" s="76" t="str">
        <f>IF(AND(Main[[#This Row],[In Stock Date]]&lt;&gt;"",Main[[#This Row],[Revised Due Date]]&lt;&gt;""),Main[[#This Row],[In Stock Date]]-Main[[#This Row],[Revised Due Date]],"")</f>
        <v/>
      </c>
      <c r="I323" s="72" t="s">
        <v>4</v>
      </c>
      <c r="J323" s="72" t="s">
        <v>4</v>
      </c>
      <c r="K323" s="81" t="s">
        <v>4</v>
      </c>
      <c r="L323" s="74"/>
      <c r="M323" s="77" t="str">
        <f>IF(Main[[#This Row],[Tech Start Date]]&lt;1/1/1990,"",IF(Main[[#This Row],[Class]]="C",WORKDAY(Main[[#This Row],[Tech Start Date]],9),IF(Main[[#This Row],[Class]]="B", WORKDAY(Main[[#This Row],[Tech Start Date]],6),IF(Main[[#This Row],[Class]]="A",WORKDAY(Main[[#This Row],[Tech Start Date]],2),""))))</f>
        <v/>
      </c>
      <c r="N323" s="77" t="str">
        <f>IF(Main[[#This Row],[Tech Start Date]]&lt;1/1/1990,"",IF(Main[[#This Row],[Class]]="C",WORKDAY(Main[[#This Row],[Tech Start Date]],19),IF(Main[[#This Row],[Class]]="B", WORKDAY(Main[[#This Row],[Tech Start Date]],12),IF(Main[[#This Row],[Class]]="A",WORKDAY(Main[[#This Row],[Tech Start Date]],4),""))))</f>
        <v/>
      </c>
      <c r="O323" s="77" t="str">
        <f>IF(Main[[#This Row],[Tech Start Date]]&lt;1/1/1990,"",IF(Main[[#This Row],[Class]]="C",WORKDAY(Main[[#This Row],[Tech Start Date]],23),IF(Main[[#This Row],[Class]]="B", WORKDAY(Main[[#This Row],[Tech Start Date]],15),IF(Main[[#This Row],[Class]]="A",WORKDAY(Main[[#This Row],[Tech Start Date]],5),""))))</f>
        <v/>
      </c>
      <c r="P323" s="77" t="str">
        <f>IF(Main[[#This Row],[Tech Start Date]]&lt;1/1/1990,"",IF(Main[[#This Row],[Class]]="C",WORKDAY(Main[[#This Row],[Tech Start Date]],28),IF(Main[[#This Row],[Class]]="B", WORKDAY(Main[[#This Row],[Tech Start Date]],19),IF(Main[[#This Row],[Class]]="A",WORKDAY(Main[[#This Row],[Tech Start Date]],9),""))))</f>
        <v/>
      </c>
      <c r="Q323" s="74">
        <v>40291</v>
      </c>
      <c r="R323" s="74"/>
      <c r="S323" s="72" t="s">
        <v>11</v>
      </c>
      <c r="T323" s="80" t="s">
        <v>4</v>
      </c>
      <c r="U323" s="72" t="s">
        <v>12</v>
      </c>
      <c r="V323" s="72" t="s">
        <v>1938</v>
      </c>
      <c r="W323" s="72" t="s">
        <v>1942</v>
      </c>
      <c r="X323" s="72" t="s">
        <v>3016</v>
      </c>
      <c r="Y323" s="72" t="s">
        <v>4</v>
      </c>
      <c r="Z323" s="72" t="s">
        <v>4</v>
      </c>
    </row>
    <row r="324" spans="1:26" ht="18.600000000000001" customHeight="1">
      <c r="A324" s="142" t="str">
        <f>IF(priority(Main[[#This Row],[Comments]])&lt;&gt;0, priority(Main[[#This Row],[Comments]]),"")</f>
        <v/>
      </c>
      <c r="B324" s="90" t="s">
        <v>1188</v>
      </c>
      <c r="C324" s="72" t="s">
        <v>4</v>
      </c>
      <c r="D324" s="73" t="s">
        <v>229</v>
      </c>
      <c r="E324" s="74"/>
      <c r="F324" s="74">
        <v>40574</v>
      </c>
      <c r="G324" s="75" t="str">
        <f>IF(stdProdLT(Main[[#This Row],[Comments]])=0.1,"N/A",IF(stdProdLT(Main[[#This Row],[Comments]])=0,"",stdProdLT(Main[[#This Row],[Comments]])))</f>
        <v/>
      </c>
      <c r="H324" s="76" t="str">
        <f>IF(AND(Main[[#This Row],[In Stock Date]]&lt;&gt;"",Main[[#This Row],[Revised Due Date]]&lt;&gt;""),Main[[#This Row],[In Stock Date]]-Main[[#This Row],[Revised Due Date]],"")</f>
        <v/>
      </c>
      <c r="I324" s="72" t="s">
        <v>4</v>
      </c>
      <c r="J324" s="72" t="s">
        <v>28</v>
      </c>
      <c r="K324" s="72" t="s">
        <v>1946</v>
      </c>
      <c r="L324" s="74"/>
      <c r="M324" s="77" t="str">
        <f>IF(Main[[#This Row],[Tech Start Date]]&lt;1/1/1990,"",IF(Main[[#This Row],[Class]]="C",WORKDAY(Main[[#This Row],[Tech Start Date]],9),IF(Main[[#This Row],[Class]]="B", WORKDAY(Main[[#This Row],[Tech Start Date]],6),IF(Main[[#This Row],[Class]]="A",WORKDAY(Main[[#This Row],[Tech Start Date]],2),""))))</f>
        <v/>
      </c>
      <c r="N324" s="77" t="str">
        <f>IF(Main[[#This Row],[Tech Start Date]]&lt;1/1/1990,"",IF(Main[[#This Row],[Class]]="C",WORKDAY(Main[[#This Row],[Tech Start Date]],19),IF(Main[[#This Row],[Class]]="B", WORKDAY(Main[[#This Row],[Tech Start Date]],12),IF(Main[[#This Row],[Class]]="A",WORKDAY(Main[[#This Row],[Tech Start Date]],4),""))))</f>
        <v/>
      </c>
      <c r="O324" s="77" t="str">
        <f>IF(Main[[#This Row],[Tech Start Date]]&lt;1/1/1990,"",IF(Main[[#This Row],[Class]]="C",WORKDAY(Main[[#This Row],[Tech Start Date]],23),IF(Main[[#This Row],[Class]]="B", WORKDAY(Main[[#This Row],[Tech Start Date]],15),IF(Main[[#This Row],[Class]]="A",WORKDAY(Main[[#This Row],[Tech Start Date]],5),""))))</f>
        <v/>
      </c>
      <c r="P324" s="77" t="str">
        <f>IF(Main[[#This Row],[Tech Start Date]]&lt;1/1/1990,"",IF(Main[[#This Row],[Class]]="C",WORKDAY(Main[[#This Row],[Tech Start Date]],28),IF(Main[[#This Row],[Class]]="B", WORKDAY(Main[[#This Row],[Tech Start Date]],19),IF(Main[[#This Row],[Class]]="A",WORKDAY(Main[[#This Row],[Tech Start Date]],9),""))))</f>
        <v/>
      </c>
      <c r="Q324" s="74">
        <v>40574</v>
      </c>
      <c r="R324" s="74"/>
      <c r="S324" s="72" t="s">
        <v>6</v>
      </c>
      <c r="T324" s="80" t="s">
        <v>4</v>
      </c>
      <c r="U324" s="72" t="s">
        <v>14</v>
      </c>
      <c r="V324" s="72" t="s">
        <v>1940</v>
      </c>
      <c r="W324" s="72" t="s">
        <v>1941</v>
      </c>
      <c r="X324" s="72" t="s">
        <v>2974</v>
      </c>
      <c r="Y324" s="72" t="s">
        <v>3096</v>
      </c>
      <c r="Z324" s="72" t="s">
        <v>536</v>
      </c>
    </row>
    <row r="325" spans="1:26" ht="18.600000000000001" customHeight="1">
      <c r="A325" s="142" t="str">
        <f>IF(priority(Main[[#This Row],[Comments]])&lt;&gt;0, priority(Main[[#This Row],[Comments]]),"")</f>
        <v/>
      </c>
      <c r="B325" s="90" t="s">
        <v>1191</v>
      </c>
      <c r="C325" s="72" t="s">
        <v>4</v>
      </c>
      <c r="D325" s="73" t="s">
        <v>231</v>
      </c>
      <c r="E325" s="74"/>
      <c r="F325" s="74"/>
      <c r="G325" s="75" t="str">
        <f>IF(stdProdLT(Main[[#This Row],[Comments]])=0.1,"N/A",IF(stdProdLT(Main[[#This Row],[Comments]])=0,"",stdProdLT(Main[[#This Row],[Comments]])))</f>
        <v/>
      </c>
      <c r="H325" s="76" t="str">
        <f>IF(AND(Main[[#This Row],[In Stock Date]]&lt;&gt;"",Main[[#This Row],[Revised Due Date]]&lt;&gt;""),Main[[#This Row],[In Stock Date]]-Main[[#This Row],[Revised Due Date]],"")</f>
        <v/>
      </c>
      <c r="I325" s="72" t="s">
        <v>4</v>
      </c>
      <c r="J325" s="72" t="s">
        <v>4</v>
      </c>
      <c r="K325" s="72" t="s">
        <v>4</v>
      </c>
      <c r="L325" s="74"/>
      <c r="M325" s="77" t="str">
        <f>IF(Main[[#This Row],[Tech Start Date]]&lt;1/1/1990,"",IF(Main[[#This Row],[Class]]="C",WORKDAY(Main[[#This Row],[Tech Start Date]],9),IF(Main[[#This Row],[Class]]="B", WORKDAY(Main[[#This Row],[Tech Start Date]],6),IF(Main[[#This Row],[Class]]="A",WORKDAY(Main[[#This Row],[Tech Start Date]],2),""))))</f>
        <v/>
      </c>
      <c r="N325" s="77" t="str">
        <f>IF(Main[[#This Row],[Tech Start Date]]&lt;1/1/1990,"",IF(Main[[#This Row],[Class]]="C",WORKDAY(Main[[#This Row],[Tech Start Date]],19),IF(Main[[#This Row],[Class]]="B", WORKDAY(Main[[#This Row],[Tech Start Date]],12),IF(Main[[#This Row],[Class]]="A",WORKDAY(Main[[#This Row],[Tech Start Date]],4),""))))</f>
        <v/>
      </c>
      <c r="O325" s="77" t="str">
        <f>IF(Main[[#This Row],[Tech Start Date]]&lt;1/1/1990,"",IF(Main[[#This Row],[Class]]="C",WORKDAY(Main[[#This Row],[Tech Start Date]],23),IF(Main[[#This Row],[Class]]="B", WORKDAY(Main[[#This Row],[Tech Start Date]],15),IF(Main[[#This Row],[Class]]="A",WORKDAY(Main[[#This Row],[Tech Start Date]],5),""))))</f>
        <v/>
      </c>
      <c r="P325" s="77" t="str">
        <f>IF(Main[[#This Row],[Tech Start Date]]&lt;1/1/1990,"",IF(Main[[#This Row],[Class]]="C",WORKDAY(Main[[#This Row],[Tech Start Date]],28),IF(Main[[#This Row],[Class]]="B", WORKDAY(Main[[#This Row],[Tech Start Date]],19),IF(Main[[#This Row],[Class]]="A",WORKDAY(Main[[#This Row],[Tech Start Date]],9),""))))</f>
        <v/>
      </c>
      <c r="Q325" s="74">
        <v>40724</v>
      </c>
      <c r="R325" s="74"/>
      <c r="S325" s="72" t="s">
        <v>6</v>
      </c>
      <c r="T325" s="80" t="s">
        <v>4</v>
      </c>
      <c r="U325" s="72" t="s">
        <v>12</v>
      </c>
      <c r="V325" s="72" t="s">
        <v>1937</v>
      </c>
      <c r="W325" s="72" t="s">
        <v>1941</v>
      </c>
      <c r="X325" s="72" t="s">
        <v>891</v>
      </c>
      <c r="Y325" s="72" t="s">
        <v>3167</v>
      </c>
      <c r="Z325" s="72" t="s">
        <v>4</v>
      </c>
    </row>
    <row r="326" spans="1:26" ht="18.600000000000001" customHeight="1">
      <c r="A326" s="142" t="str">
        <f>IF(priority(Main[[#This Row],[Comments]])&lt;&gt;0, priority(Main[[#This Row],[Comments]]),"")</f>
        <v/>
      </c>
      <c r="B326" s="90" t="s">
        <v>2387</v>
      </c>
      <c r="C326" s="72" t="s">
        <v>53</v>
      </c>
      <c r="D326" s="73" t="s">
        <v>2388</v>
      </c>
      <c r="E326" s="74"/>
      <c r="F326" s="74">
        <v>40845</v>
      </c>
      <c r="G326" s="75" t="str">
        <f>IF(stdProdLT(Main[[#This Row],[Comments]])=0.1,"N/A",IF(stdProdLT(Main[[#This Row],[Comments]])=0,"",stdProdLT(Main[[#This Row],[Comments]])))</f>
        <v/>
      </c>
      <c r="H326" s="76" t="str">
        <f>IF(AND(Main[[#This Row],[In Stock Date]]&lt;&gt;"",Main[[#This Row],[Revised Due Date]]&lt;&gt;""),Main[[#This Row],[In Stock Date]]-Main[[#This Row],[Revised Due Date]],"")</f>
        <v/>
      </c>
      <c r="I326" s="72" t="s">
        <v>4</v>
      </c>
      <c r="J326" s="72" t="s">
        <v>28</v>
      </c>
      <c r="K326" s="72" t="s">
        <v>4</v>
      </c>
      <c r="L326" s="74"/>
      <c r="M326" s="77" t="str">
        <f>IF(Main[[#This Row],[Tech Start Date]]&lt;1/1/1990,"",IF(Main[[#This Row],[Class]]="C",WORKDAY(Main[[#This Row],[Tech Start Date]],9),IF(Main[[#This Row],[Class]]="B", WORKDAY(Main[[#This Row],[Tech Start Date]],6),IF(Main[[#This Row],[Class]]="A",WORKDAY(Main[[#This Row],[Tech Start Date]],2),""))))</f>
        <v/>
      </c>
      <c r="N326" s="77" t="str">
        <f>IF(Main[[#This Row],[Tech Start Date]]&lt;1/1/1990,"",IF(Main[[#This Row],[Class]]="C",WORKDAY(Main[[#This Row],[Tech Start Date]],19),IF(Main[[#This Row],[Class]]="B", WORKDAY(Main[[#This Row],[Tech Start Date]],12),IF(Main[[#This Row],[Class]]="A",WORKDAY(Main[[#This Row],[Tech Start Date]],4),""))))</f>
        <v/>
      </c>
      <c r="O326" s="77" t="str">
        <f>IF(Main[[#This Row],[Tech Start Date]]&lt;1/1/1990,"",IF(Main[[#This Row],[Class]]="C",WORKDAY(Main[[#This Row],[Tech Start Date]],23),IF(Main[[#This Row],[Class]]="B", WORKDAY(Main[[#This Row],[Tech Start Date]],15),IF(Main[[#This Row],[Class]]="A",WORKDAY(Main[[#This Row],[Tech Start Date]],5),""))))</f>
        <v/>
      </c>
      <c r="P326" s="77" t="str">
        <f>IF(Main[[#This Row],[Tech Start Date]]&lt;1/1/1990,"",IF(Main[[#This Row],[Class]]="C",WORKDAY(Main[[#This Row],[Tech Start Date]],28),IF(Main[[#This Row],[Class]]="B", WORKDAY(Main[[#This Row],[Tech Start Date]],19),IF(Main[[#This Row],[Class]]="A",WORKDAY(Main[[#This Row],[Tech Start Date]],9),""))))</f>
        <v/>
      </c>
      <c r="Q326" s="74">
        <v>40840</v>
      </c>
      <c r="R326" s="74"/>
      <c r="S326" s="72" t="s">
        <v>11</v>
      </c>
      <c r="T326" s="80" t="s">
        <v>2389</v>
      </c>
      <c r="U326" s="72" t="s">
        <v>12</v>
      </c>
      <c r="V326" s="72" t="s">
        <v>1938</v>
      </c>
      <c r="W326" s="72" t="s">
        <v>1939</v>
      </c>
      <c r="X326" s="72" t="s">
        <v>2283</v>
      </c>
      <c r="Y326" s="72" t="s">
        <v>4</v>
      </c>
      <c r="Z326" s="72" t="s">
        <v>2080</v>
      </c>
    </row>
    <row r="327" spans="1:26" ht="18.600000000000001" customHeight="1">
      <c r="A327" s="142" t="str">
        <f>IF(priority(Main[[#This Row],[Comments]])&lt;&gt;0, priority(Main[[#This Row],[Comments]]),"")</f>
        <v/>
      </c>
      <c r="B327" s="90" t="s">
        <v>1194</v>
      </c>
      <c r="C327" s="72" t="s">
        <v>67</v>
      </c>
      <c r="D327" s="73" t="s">
        <v>234</v>
      </c>
      <c r="E327" s="74"/>
      <c r="F327" s="74"/>
      <c r="G327" s="75" t="str">
        <f>IF(stdProdLT(Main[[#This Row],[Comments]])=0.1,"N/A",IF(stdProdLT(Main[[#This Row],[Comments]])=0,"",stdProdLT(Main[[#This Row],[Comments]])))</f>
        <v/>
      </c>
      <c r="H327" s="76" t="str">
        <f>IF(AND(Main[[#This Row],[In Stock Date]]&lt;&gt;"",Main[[#This Row],[Revised Due Date]]&lt;&gt;""),Main[[#This Row],[In Stock Date]]-Main[[#This Row],[Revised Due Date]],"")</f>
        <v/>
      </c>
      <c r="I327" s="72" t="s">
        <v>4</v>
      </c>
      <c r="J327" s="72" t="s">
        <v>4</v>
      </c>
      <c r="K327" s="72" t="s">
        <v>4</v>
      </c>
      <c r="L327" s="74"/>
      <c r="M327" s="77" t="str">
        <f>IF(Main[[#This Row],[Tech Start Date]]&lt;1/1/1990,"",IF(Main[[#This Row],[Class]]="C",WORKDAY(Main[[#This Row],[Tech Start Date]],9),IF(Main[[#This Row],[Class]]="B", WORKDAY(Main[[#This Row],[Tech Start Date]],6),IF(Main[[#This Row],[Class]]="A",WORKDAY(Main[[#This Row],[Tech Start Date]],2),""))))</f>
        <v/>
      </c>
      <c r="N327" s="77" t="str">
        <f>IF(Main[[#This Row],[Tech Start Date]]&lt;1/1/1990,"",IF(Main[[#This Row],[Class]]="C",WORKDAY(Main[[#This Row],[Tech Start Date]],19),IF(Main[[#This Row],[Class]]="B", WORKDAY(Main[[#This Row],[Tech Start Date]],12),IF(Main[[#This Row],[Class]]="A",WORKDAY(Main[[#This Row],[Tech Start Date]],4),""))))</f>
        <v/>
      </c>
      <c r="O327" s="77" t="str">
        <f>IF(Main[[#This Row],[Tech Start Date]]&lt;1/1/1990,"",IF(Main[[#This Row],[Class]]="C",WORKDAY(Main[[#This Row],[Tech Start Date]],23),IF(Main[[#This Row],[Class]]="B", WORKDAY(Main[[#This Row],[Tech Start Date]],15),IF(Main[[#This Row],[Class]]="A",WORKDAY(Main[[#This Row],[Tech Start Date]],5),""))))</f>
        <v/>
      </c>
      <c r="P327" s="77" t="str">
        <f>IF(Main[[#This Row],[Tech Start Date]]&lt;1/1/1990,"",IF(Main[[#This Row],[Class]]="C",WORKDAY(Main[[#This Row],[Tech Start Date]],28),IF(Main[[#This Row],[Class]]="B", WORKDAY(Main[[#This Row],[Tech Start Date]],19),IF(Main[[#This Row],[Class]]="A",WORKDAY(Main[[#This Row],[Tech Start Date]],9),""))))</f>
        <v/>
      </c>
      <c r="Q327" s="74">
        <v>40466</v>
      </c>
      <c r="R327" s="74"/>
      <c r="S327" s="72" t="s">
        <v>17</v>
      </c>
      <c r="T327" s="80" t="s">
        <v>4</v>
      </c>
      <c r="U327" s="72" t="s">
        <v>14</v>
      </c>
      <c r="V327" s="72" t="s">
        <v>1940</v>
      </c>
      <c r="W327" s="72" t="s">
        <v>1945</v>
      </c>
      <c r="X327" s="72" t="s">
        <v>421</v>
      </c>
      <c r="Y327" s="72" t="s">
        <v>3107</v>
      </c>
      <c r="Z327" s="72" t="s">
        <v>421</v>
      </c>
    </row>
    <row r="328" spans="1:26" ht="18.600000000000001" customHeight="1">
      <c r="A328" s="142" t="str">
        <f>IF(priority(Main[[#This Row],[Comments]])&lt;&gt;0, priority(Main[[#This Row],[Comments]]),"")</f>
        <v/>
      </c>
      <c r="B328" s="90" t="s">
        <v>1195</v>
      </c>
      <c r="C328" s="72" t="s">
        <v>72</v>
      </c>
      <c r="D328" s="73" t="s">
        <v>226</v>
      </c>
      <c r="E328" s="74"/>
      <c r="F328" s="74">
        <v>40391</v>
      </c>
      <c r="G328" s="75" t="str">
        <f>IF(stdProdLT(Main[[#This Row],[Comments]])=0.1,"N/A",IF(stdProdLT(Main[[#This Row],[Comments]])=0,"",stdProdLT(Main[[#This Row],[Comments]])))</f>
        <v/>
      </c>
      <c r="H328" s="76" t="str">
        <f>IF(AND(Main[[#This Row],[In Stock Date]]&lt;&gt;"",Main[[#This Row],[Revised Due Date]]&lt;&gt;""),Main[[#This Row],[In Stock Date]]-Main[[#This Row],[Revised Due Date]],"")</f>
        <v/>
      </c>
      <c r="I328" s="72" t="s">
        <v>4</v>
      </c>
      <c r="J328" s="72" t="s">
        <v>4</v>
      </c>
      <c r="K328" s="72" t="s">
        <v>4</v>
      </c>
      <c r="L328" s="74"/>
      <c r="M328" s="77" t="str">
        <f>IF(Main[[#This Row],[Tech Start Date]]&lt;1/1/1990,"",IF(Main[[#This Row],[Class]]="C",WORKDAY(Main[[#This Row],[Tech Start Date]],9),IF(Main[[#This Row],[Class]]="B", WORKDAY(Main[[#This Row],[Tech Start Date]],6),IF(Main[[#This Row],[Class]]="A",WORKDAY(Main[[#This Row],[Tech Start Date]],2),""))))</f>
        <v/>
      </c>
      <c r="N328" s="77" t="str">
        <f>IF(Main[[#This Row],[Tech Start Date]]&lt;1/1/1990,"",IF(Main[[#This Row],[Class]]="C",WORKDAY(Main[[#This Row],[Tech Start Date]],19),IF(Main[[#This Row],[Class]]="B", WORKDAY(Main[[#This Row],[Tech Start Date]],12),IF(Main[[#This Row],[Class]]="A",WORKDAY(Main[[#This Row],[Tech Start Date]],4),""))))</f>
        <v/>
      </c>
      <c r="O328" s="77" t="str">
        <f>IF(Main[[#This Row],[Tech Start Date]]&lt;1/1/1990,"",IF(Main[[#This Row],[Class]]="C",WORKDAY(Main[[#This Row],[Tech Start Date]],23),IF(Main[[#This Row],[Class]]="B", WORKDAY(Main[[#This Row],[Tech Start Date]],15),IF(Main[[#This Row],[Class]]="A",WORKDAY(Main[[#This Row],[Tech Start Date]],5),""))))</f>
        <v/>
      </c>
      <c r="P328" s="77" t="str">
        <f>IF(Main[[#This Row],[Tech Start Date]]&lt;1/1/1990,"",IF(Main[[#This Row],[Class]]="C",WORKDAY(Main[[#This Row],[Tech Start Date]],28),IF(Main[[#This Row],[Class]]="B", WORKDAY(Main[[#This Row],[Tech Start Date]],19),IF(Main[[#This Row],[Class]]="A",WORKDAY(Main[[#This Row],[Tech Start Date]],9),""))))</f>
        <v/>
      </c>
      <c r="Q328" s="74">
        <v>40291</v>
      </c>
      <c r="R328" s="74"/>
      <c r="S328" s="72" t="s">
        <v>11</v>
      </c>
      <c r="T328" s="80" t="s">
        <v>4</v>
      </c>
      <c r="U328" s="72" t="s">
        <v>12</v>
      </c>
      <c r="V328" s="72" t="s">
        <v>1938</v>
      </c>
      <c r="W328" s="72" t="s">
        <v>1942</v>
      </c>
      <c r="X328" s="72" t="s">
        <v>3016</v>
      </c>
      <c r="Y328" s="72" t="s">
        <v>4</v>
      </c>
      <c r="Z328" s="72" t="s">
        <v>4</v>
      </c>
    </row>
    <row r="329" spans="1:26" ht="18.600000000000001" customHeight="1">
      <c r="A329" s="142" t="str">
        <f>IF(priority(Main[[#This Row],[Comments]])&lt;&gt;0, priority(Main[[#This Row],[Comments]]),"")</f>
        <v/>
      </c>
      <c r="B329" s="90" t="s">
        <v>1237</v>
      </c>
      <c r="C329" s="72" t="s">
        <v>4</v>
      </c>
      <c r="D329" s="73" t="s">
        <v>284</v>
      </c>
      <c r="E329" s="74"/>
      <c r="F329" s="74"/>
      <c r="G329" s="75" t="str">
        <f>IF(stdProdLT(Main[[#This Row],[Comments]])=0.1,"N/A",IF(stdProdLT(Main[[#This Row],[Comments]])=0,"",stdProdLT(Main[[#This Row],[Comments]])))</f>
        <v/>
      </c>
      <c r="H329" s="76" t="str">
        <f>IF(AND(Main[[#This Row],[In Stock Date]]&lt;&gt;"",Main[[#This Row],[Revised Due Date]]&lt;&gt;""),Main[[#This Row],[In Stock Date]]-Main[[#This Row],[Revised Due Date]],"")</f>
        <v/>
      </c>
      <c r="I329" s="72" t="s">
        <v>4</v>
      </c>
      <c r="J329" s="72" t="s">
        <v>4</v>
      </c>
      <c r="K329" s="72" t="s">
        <v>4</v>
      </c>
      <c r="L329" s="74"/>
      <c r="M329" s="77" t="str">
        <f>IF(Main[[#This Row],[Tech Start Date]]&lt;1/1/1990,"",IF(Main[[#This Row],[Class]]="C",WORKDAY(Main[[#This Row],[Tech Start Date]],9),IF(Main[[#This Row],[Class]]="B", WORKDAY(Main[[#This Row],[Tech Start Date]],6),IF(Main[[#This Row],[Class]]="A",WORKDAY(Main[[#This Row],[Tech Start Date]],2),""))))</f>
        <v/>
      </c>
      <c r="N329" s="77" t="str">
        <f>IF(Main[[#This Row],[Tech Start Date]]&lt;1/1/1990,"",IF(Main[[#This Row],[Class]]="C",WORKDAY(Main[[#This Row],[Tech Start Date]],19),IF(Main[[#This Row],[Class]]="B", WORKDAY(Main[[#This Row],[Tech Start Date]],12),IF(Main[[#This Row],[Class]]="A",WORKDAY(Main[[#This Row],[Tech Start Date]],4),""))))</f>
        <v/>
      </c>
      <c r="O329" s="77" t="str">
        <f>IF(Main[[#This Row],[Tech Start Date]]&lt;1/1/1990,"",IF(Main[[#This Row],[Class]]="C",WORKDAY(Main[[#This Row],[Tech Start Date]],23),IF(Main[[#This Row],[Class]]="B", WORKDAY(Main[[#This Row],[Tech Start Date]],15),IF(Main[[#This Row],[Class]]="A",WORKDAY(Main[[#This Row],[Tech Start Date]],5),""))))</f>
        <v/>
      </c>
      <c r="P329" s="77" t="str">
        <f>IF(Main[[#This Row],[Tech Start Date]]&lt;1/1/1990,"",IF(Main[[#This Row],[Class]]="C",WORKDAY(Main[[#This Row],[Tech Start Date]],28),IF(Main[[#This Row],[Class]]="B", WORKDAY(Main[[#This Row],[Tech Start Date]],19),IF(Main[[#This Row],[Class]]="A",WORKDAY(Main[[#This Row],[Tech Start Date]],9),""))))</f>
        <v/>
      </c>
      <c r="Q329" s="74"/>
      <c r="R329" s="74"/>
      <c r="S329" s="72" t="s">
        <v>23</v>
      </c>
      <c r="T329" s="80" t="s">
        <v>4</v>
      </c>
      <c r="U329" s="72" t="s">
        <v>12</v>
      </c>
      <c r="V329" s="72" t="s">
        <v>1937</v>
      </c>
      <c r="W329" s="72" t="s">
        <v>1941</v>
      </c>
      <c r="X329" s="72" t="s">
        <v>404</v>
      </c>
      <c r="Y329" s="72" t="s">
        <v>4</v>
      </c>
      <c r="Z329" s="72" t="s">
        <v>4</v>
      </c>
    </row>
    <row r="330" spans="1:26" ht="18.600000000000001" customHeight="1">
      <c r="A330" s="142" t="str">
        <f>IF(priority(Main[[#This Row],[Comments]])&lt;&gt;0, priority(Main[[#This Row],[Comments]]),"")</f>
        <v/>
      </c>
      <c r="B330" s="90" t="s">
        <v>1238</v>
      </c>
      <c r="C330" s="72" t="s">
        <v>31</v>
      </c>
      <c r="D330" s="73" t="s">
        <v>285</v>
      </c>
      <c r="E330" s="74"/>
      <c r="F330" s="74"/>
      <c r="G330" s="75" t="str">
        <f>IF(stdProdLT(Main[[#This Row],[Comments]])=0.1,"N/A",IF(stdProdLT(Main[[#This Row],[Comments]])=0,"",stdProdLT(Main[[#This Row],[Comments]])))</f>
        <v/>
      </c>
      <c r="H330" s="76" t="str">
        <f>IF(AND(Main[[#This Row],[In Stock Date]]&lt;&gt;"",Main[[#This Row],[Revised Due Date]]&lt;&gt;""),Main[[#This Row],[In Stock Date]]-Main[[#This Row],[Revised Due Date]],"")</f>
        <v/>
      </c>
      <c r="I330" s="72" t="s">
        <v>4</v>
      </c>
      <c r="J330" s="72" t="s">
        <v>4</v>
      </c>
      <c r="K330" s="72" t="s">
        <v>4</v>
      </c>
      <c r="L330" s="74"/>
      <c r="M330" s="77" t="str">
        <f>IF(Main[[#This Row],[Tech Start Date]]&lt;1/1/1990,"",IF(Main[[#This Row],[Class]]="C",WORKDAY(Main[[#This Row],[Tech Start Date]],9),IF(Main[[#This Row],[Class]]="B", WORKDAY(Main[[#This Row],[Tech Start Date]],6),IF(Main[[#This Row],[Class]]="A",WORKDAY(Main[[#This Row],[Tech Start Date]],2),""))))</f>
        <v/>
      </c>
      <c r="N330" s="77" t="str">
        <f>IF(Main[[#This Row],[Tech Start Date]]&lt;1/1/1990,"",IF(Main[[#This Row],[Class]]="C",WORKDAY(Main[[#This Row],[Tech Start Date]],19),IF(Main[[#This Row],[Class]]="B", WORKDAY(Main[[#This Row],[Tech Start Date]],12),IF(Main[[#This Row],[Class]]="A",WORKDAY(Main[[#This Row],[Tech Start Date]],4),""))))</f>
        <v/>
      </c>
      <c r="O330" s="77" t="str">
        <f>IF(Main[[#This Row],[Tech Start Date]]&lt;1/1/1990,"",IF(Main[[#This Row],[Class]]="C",WORKDAY(Main[[#This Row],[Tech Start Date]],23),IF(Main[[#This Row],[Class]]="B", WORKDAY(Main[[#This Row],[Tech Start Date]],15),IF(Main[[#This Row],[Class]]="A",WORKDAY(Main[[#This Row],[Tech Start Date]],5),""))))</f>
        <v/>
      </c>
      <c r="P330" s="77" t="str">
        <f>IF(Main[[#This Row],[Tech Start Date]]&lt;1/1/1990,"",IF(Main[[#This Row],[Class]]="C",WORKDAY(Main[[#This Row],[Tech Start Date]],28),IF(Main[[#This Row],[Class]]="B", WORKDAY(Main[[#This Row],[Tech Start Date]],19),IF(Main[[#This Row],[Class]]="A",WORKDAY(Main[[#This Row],[Tech Start Date]],9),""))))</f>
        <v/>
      </c>
      <c r="Q330" s="74">
        <v>40318</v>
      </c>
      <c r="R330" s="74"/>
      <c r="S330" s="72" t="s">
        <v>11</v>
      </c>
      <c r="T330" s="80" t="s">
        <v>4</v>
      </c>
      <c r="U330" s="72" t="s">
        <v>14</v>
      </c>
      <c r="V330" s="72" t="s">
        <v>1947</v>
      </c>
      <c r="W330" s="72" t="s">
        <v>1939</v>
      </c>
      <c r="X330" s="72" t="s">
        <v>2982</v>
      </c>
      <c r="Y330" s="72" t="s">
        <v>4</v>
      </c>
      <c r="Z330" s="72" t="s">
        <v>4</v>
      </c>
    </row>
    <row r="331" spans="1:26" ht="18.600000000000001" customHeight="1">
      <c r="A331" s="142" t="str">
        <f>IF(priority(Main[[#This Row],[Comments]])&lt;&gt;0, priority(Main[[#This Row],[Comments]]),"")</f>
        <v/>
      </c>
      <c r="B331" s="90" t="s">
        <v>2788</v>
      </c>
      <c r="C331" s="72" t="s">
        <v>47</v>
      </c>
      <c r="D331" s="73" t="s">
        <v>2789</v>
      </c>
      <c r="E331" s="74">
        <v>40893.759675925925</v>
      </c>
      <c r="F331" s="74"/>
      <c r="G331" s="75" t="str">
        <f>IF(stdProdLT(Main[[#This Row],[Comments]])=0.1,"N/A",IF(stdProdLT(Main[[#This Row],[Comments]])=0,"",stdProdLT(Main[[#This Row],[Comments]])))</f>
        <v/>
      </c>
      <c r="H331" s="76" t="str">
        <f>IF(AND(Main[[#This Row],[In Stock Date]]&lt;&gt;"",Main[[#This Row],[Revised Due Date]]&lt;&gt;""),Main[[#This Row],[In Stock Date]]-Main[[#This Row],[Revised Due Date]],"")</f>
        <v/>
      </c>
      <c r="I331" s="72" t="s">
        <v>4</v>
      </c>
      <c r="J331" s="72" t="s">
        <v>4</v>
      </c>
      <c r="K331" s="72" t="s">
        <v>4</v>
      </c>
      <c r="L331" s="74"/>
      <c r="M331" s="77" t="str">
        <f>IF(Main[[#This Row],[Tech Start Date]]&lt;1/1/1990,"",IF(Main[[#This Row],[Class]]="C",WORKDAY(Main[[#This Row],[Tech Start Date]],9),IF(Main[[#This Row],[Class]]="B", WORKDAY(Main[[#This Row],[Tech Start Date]],6),IF(Main[[#This Row],[Class]]="A",WORKDAY(Main[[#This Row],[Tech Start Date]],2),""))))</f>
        <v/>
      </c>
      <c r="N331" s="77" t="str">
        <f>IF(Main[[#This Row],[Tech Start Date]]&lt;1/1/1990,"",IF(Main[[#This Row],[Class]]="C",WORKDAY(Main[[#This Row],[Tech Start Date]],19),IF(Main[[#This Row],[Class]]="B", WORKDAY(Main[[#This Row],[Tech Start Date]],12),IF(Main[[#This Row],[Class]]="A",WORKDAY(Main[[#This Row],[Tech Start Date]],4),""))))</f>
        <v/>
      </c>
      <c r="O331" s="77" t="str">
        <f>IF(Main[[#This Row],[Tech Start Date]]&lt;1/1/1990,"",IF(Main[[#This Row],[Class]]="C",WORKDAY(Main[[#This Row],[Tech Start Date]],23),IF(Main[[#This Row],[Class]]="B", WORKDAY(Main[[#This Row],[Tech Start Date]],15),IF(Main[[#This Row],[Class]]="A",WORKDAY(Main[[#This Row],[Tech Start Date]],5),""))))</f>
        <v/>
      </c>
      <c r="P331" s="77" t="str">
        <f>IF(Main[[#This Row],[Tech Start Date]]&lt;1/1/1990,"",IF(Main[[#This Row],[Class]]="C",WORKDAY(Main[[#This Row],[Tech Start Date]],28),IF(Main[[#This Row],[Class]]="B", WORKDAY(Main[[#This Row],[Tech Start Date]],19),IF(Main[[#This Row],[Class]]="A",WORKDAY(Main[[#This Row],[Tech Start Date]],9),""))))</f>
        <v/>
      </c>
      <c r="Q331" s="74">
        <v>40924</v>
      </c>
      <c r="R331" s="74"/>
      <c r="S331" s="72" t="s">
        <v>6</v>
      </c>
      <c r="T331" s="80" t="s">
        <v>4</v>
      </c>
      <c r="U331" s="72" t="s">
        <v>29</v>
      </c>
      <c r="V331" s="72" t="s">
        <v>2317</v>
      </c>
      <c r="W331" s="72" t="s">
        <v>4</v>
      </c>
      <c r="X331" s="72" t="s">
        <v>3017</v>
      </c>
      <c r="Y331" s="72" t="s">
        <v>3168</v>
      </c>
      <c r="Z331" s="72" t="s">
        <v>4</v>
      </c>
    </row>
    <row r="332" spans="1:26" ht="18.600000000000001" customHeight="1">
      <c r="A332" s="142" t="str">
        <f>IF(priority(Main[[#This Row],[Comments]])&lt;&gt;0, priority(Main[[#This Row],[Comments]]),"")</f>
        <v/>
      </c>
      <c r="B332" s="90" t="s">
        <v>1845</v>
      </c>
      <c r="C332" s="72" t="s">
        <v>79</v>
      </c>
      <c r="D332" s="73" t="s">
        <v>888</v>
      </c>
      <c r="E332" s="74">
        <v>40072.658055555556</v>
      </c>
      <c r="F332" s="74">
        <v>40157</v>
      </c>
      <c r="G332" s="75" t="str">
        <f>IF(stdProdLT(Main[[#This Row],[Comments]])=0.1,"N/A",IF(stdProdLT(Main[[#This Row],[Comments]])=0,"",stdProdLT(Main[[#This Row],[Comments]])))</f>
        <v/>
      </c>
      <c r="H332" s="76">
        <f>IF(AND(Main[[#This Row],[In Stock Date]]&lt;&gt;"",Main[[#This Row],[Revised Due Date]]&lt;&gt;""),Main[[#This Row],[In Stock Date]]-Main[[#This Row],[Revised Due Date]],"")</f>
        <v>-171</v>
      </c>
      <c r="I332" s="72" t="s">
        <v>4</v>
      </c>
      <c r="J332" s="72" t="s">
        <v>4</v>
      </c>
      <c r="K332" s="72" t="s">
        <v>1949</v>
      </c>
      <c r="L332" s="74"/>
      <c r="M332" s="77" t="str">
        <f>IF(Main[[#This Row],[Tech Start Date]]&lt;1/1/1990,"",IF(Main[[#This Row],[Class]]="C",WORKDAY(Main[[#This Row],[Tech Start Date]],9),IF(Main[[#This Row],[Class]]="B", WORKDAY(Main[[#This Row],[Tech Start Date]],6),IF(Main[[#This Row],[Class]]="A",WORKDAY(Main[[#This Row],[Tech Start Date]],2),""))))</f>
        <v/>
      </c>
      <c r="N332" s="77" t="str">
        <f>IF(Main[[#This Row],[Tech Start Date]]&lt;1/1/1990,"",IF(Main[[#This Row],[Class]]="C",WORKDAY(Main[[#This Row],[Tech Start Date]],19),IF(Main[[#This Row],[Class]]="B", WORKDAY(Main[[#This Row],[Tech Start Date]],12),IF(Main[[#This Row],[Class]]="A",WORKDAY(Main[[#This Row],[Tech Start Date]],4),""))))</f>
        <v/>
      </c>
      <c r="O332" s="77" t="str">
        <f>IF(Main[[#This Row],[Tech Start Date]]&lt;1/1/1990,"",IF(Main[[#This Row],[Class]]="C",WORKDAY(Main[[#This Row],[Tech Start Date]],23),IF(Main[[#This Row],[Class]]="B", WORKDAY(Main[[#This Row],[Tech Start Date]],15),IF(Main[[#This Row],[Class]]="A",WORKDAY(Main[[#This Row],[Tech Start Date]],5),""))))</f>
        <v/>
      </c>
      <c r="P332" s="77" t="str">
        <f>IF(Main[[#This Row],[Tech Start Date]]&lt;1/1/1990,"",IF(Main[[#This Row],[Class]]="C",WORKDAY(Main[[#This Row],[Tech Start Date]],28),IF(Main[[#This Row],[Class]]="B", WORKDAY(Main[[#This Row],[Tech Start Date]],19),IF(Main[[#This Row],[Class]]="A",WORKDAY(Main[[#This Row],[Tech Start Date]],9),""))))</f>
        <v/>
      </c>
      <c r="Q332" s="74">
        <v>40117</v>
      </c>
      <c r="R332" s="74">
        <v>40328</v>
      </c>
      <c r="S332" s="72" t="s">
        <v>17</v>
      </c>
      <c r="T332" s="80" t="s">
        <v>4</v>
      </c>
      <c r="U332" s="72" t="s">
        <v>29</v>
      </c>
      <c r="V332" s="72" t="s">
        <v>1938</v>
      </c>
      <c r="W332" s="72" t="s">
        <v>1942</v>
      </c>
      <c r="X332" s="72" t="s">
        <v>3013</v>
      </c>
      <c r="Y332" s="72" t="s">
        <v>3114</v>
      </c>
      <c r="Z332" s="72" t="s">
        <v>4</v>
      </c>
    </row>
    <row r="333" spans="1:26" ht="18.600000000000001" customHeight="1">
      <c r="A333" s="142" t="str">
        <f>IF(priority(Main[[#This Row],[Comments]])&lt;&gt;0, priority(Main[[#This Row],[Comments]]),"")</f>
        <v/>
      </c>
      <c r="B333" s="90" t="s">
        <v>1241</v>
      </c>
      <c r="C333" s="72" t="s">
        <v>171</v>
      </c>
      <c r="D333" s="73" t="s">
        <v>235</v>
      </c>
      <c r="E333" s="74"/>
      <c r="F333" s="74">
        <v>40237</v>
      </c>
      <c r="G333" s="75" t="str">
        <f>IF(stdProdLT(Main[[#This Row],[Comments]])=0.1,"N/A",IF(stdProdLT(Main[[#This Row],[Comments]])=0,"",stdProdLT(Main[[#This Row],[Comments]])))</f>
        <v/>
      </c>
      <c r="H333" s="76" t="str">
        <f>IF(AND(Main[[#This Row],[In Stock Date]]&lt;&gt;"",Main[[#This Row],[Revised Due Date]]&lt;&gt;""),Main[[#This Row],[In Stock Date]]-Main[[#This Row],[Revised Due Date]],"")</f>
        <v/>
      </c>
      <c r="I333" s="72" t="s">
        <v>4</v>
      </c>
      <c r="J333" s="72" t="s">
        <v>4</v>
      </c>
      <c r="K333" s="72" t="s">
        <v>4</v>
      </c>
      <c r="L333" s="74"/>
      <c r="M333" s="77" t="str">
        <f>IF(Main[[#This Row],[Tech Start Date]]&lt;1/1/1990,"",IF(Main[[#This Row],[Class]]="C",WORKDAY(Main[[#This Row],[Tech Start Date]],9),IF(Main[[#This Row],[Class]]="B", WORKDAY(Main[[#This Row],[Tech Start Date]],6),IF(Main[[#This Row],[Class]]="A",WORKDAY(Main[[#This Row],[Tech Start Date]],2),""))))</f>
        <v/>
      </c>
      <c r="N333" s="77" t="str">
        <f>IF(Main[[#This Row],[Tech Start Date]]&lt;1/1/1990,"",IF(Main[[#This Row],[Class]]="C",WORKDAY(Main[[#This Row],[Tech Start Date]],19),IF(Main[[#This Row],[Class]]="B", WORKDAY(Main[[#This Row],[Tech Start Date]],12),IF(Main[[#This Row],[Class]]="A",WORKDAY(Main[[#This Row],[Tech Start Date]],4),""))))</f>
        <v/>
      </c>
      <c r="O333" s="77" t="str">
        <f>IF(Main[[#This Row],[Tech Start Date]]&lt;1/1/1990,"",IF(Main[[#This Row],[Class]]="C",WORKDAY(Main[[#This Row],[Tech Start Date]],23),IF(Main[[#This Row],[Class]]="B", WORKDAY(Main[[#This Row],[Tech Start Date]],15),IF(Main[[#This Row],[Class]]="A",WORKDAY(Main[[#This Row],[Tech Start Date]],5),""))))</f>
        <v/>
      </c>
      <c r="P333" s="77" t="str">
        <f>IF(Main[[#This Row],[Tech Start Date]]&lt;1/1/1990,"",IF(Main[[#This Row],[Class]]="C",WORKDAY(Main[[#This Row],[Tech Start Date]],28),IF(Main[[#This Row],[Class]]="B", WORKDAY(Main[[#This Row],[Tech Start Date]],19),IF(Main[[#This Row],[Class]]="A",WORKDAY(Main[[#This Row],[Tech Start Date]],9),""))))</f>
        <v/>
      </c>
      <c r="Q333" s="74">
        <v>40132</v>
      </c>
      <c r="R333" s="74"/>
      <c r="S333" s="72" t="s">
        <v>11</v>
      </c>
      <c r="T333" s="80" t="s">
        <v>4</v>
      </c>
      <c r="U333" s="72" t="s">
        <v>14</v>
      </c>
      <c r="V333" s="72" t="s">
        <v>1937</v>
      </c>
      <c r="W333" s="72" t="s">
        <v>1942</v>
      </c>
      <c r="X333" s="72" t="s">
        <v>3010</v>
      </c>
      <c r="Y333" s="72" t="s">
        <v>4</v>
      </c>
      <c r="Z333" s="72" t="s">
        <v>4</v>
      </c>
    </row>
    <row r="334" spans="1:26" ht="18.600000000000001" customHeight="1">
      <c r="A334" s="142" t="str">
        <f>IF(priority(Main[[#This Row],[Comments]])&lt;&gt;0, priority(Main[[#This Row],[Comments]]),"")</f>
        <v/>
      </c>
      <c r="B334" s="90" t="s">
        <v>1242</v>
      </c>
      <c r="C334" s="72" t="s">
        <v>4</v>
      </c>
      <c r="D334" s="73" t="s">
        <v>236</v>
      </c>
      <c r="E334" s="74">
        <v>40403.488668981481</v>
      </c>
      <c r="F334" s="74"/>
      <c r="G334" s="75" t="str">
        <f>IF(stdProdLT(Main[[#This Row],[Comments]])=0.1,"N/A",IF(stdProdLT(Main[[#This Row],[Comments]])=0,"",stdProdLT(Main[[#This Row],[Comments]])))</f>
        <v/>
      </c>
      <c r="H334" s="76" t="str">
        <f>IF(AND(Main[[#This Row],[In Stock Date]]&lt;&gt;"",Main[[#This Row],[Revised Due Date]]&lt;&gt;""),Main[[#This Row],[In Stock Date]]-Main[[#This Row],[Revised Due Date]],"")</f>
        <v/>
      </c>
      <c r="I334" s="72" t="s">
        <v>129</v>
      </c>
      <c r="J334" s="72" t="s">
        <v>28</v>
      </c>
      <c r="K334" s="72" t="s">
        <v>4</v>
      </c>
      <c r="L334" s="74"/>
      <c r="M334" s="77" t="str">
        <f>IF(Main[[#This Row],[Tech Start Date]]&lt;1/1/1990,"",IF(Main[[#This Row],[Class]]="C",WORKDAY(Main[[#This Row],[Tech Start Date]],9),IF(Main[[#This Row],[Class]]="B", WORKDAY(Main[[#This Row],[Tech Start Date]],6),IF(Main[[#This Row],[Class]]="A",WORKDAY(Main[[#This Row],[Tech Start Date]],2),""))))</f>
        <v/>
      </c>
      <c r="N334" s="77" t="str">
        <f>IF(Main[[#This Row],[Tech Start Date]]&lt;1/1/1990,"",IF(Main[[#This Row],[Class]]="C",WORKDAY(Main[[#This Row],[Tech Start Date]],19),IF(Main[[#This Row],[Class]]="B", WORKDAY(Main[[#This Row],[Tech Start Date]],12),IF(Main[[#This Row],[Class]]="A",WORKDAY(Main[[#This Row],[Tech Start Date]],4),""))))</f>
        <v/>
      </c>
      <c r="O334" s="77" t="str">
        <f>IF(Main[[#This Row],[Tech Start Date]]&lt;1/1/1990,"",IF(Main[[#This Row],[Class]]="C",WORKDAY(Main[[#This Row],[Tech Start Date]],23),IF(Main[[#This Row],[Class]]="B", WORKDAY(Main[[#This Row],[Tech Start Date]],15),IF(Main[[#This Row],[Class]]="A",WORKDAY(Main[[#This Row],[Tech Start Date]],5),""))))</f>
        <v/>
      </c>
      <c r="P334" s="77" t="str">
        <f>IF(Main[[#This Row],[Tech Start Date]]&lt;1/1/1990,"",IF(Main[[#This Row],[Class]]="C",WORKDAY(Main[[#This Row],[Tech Start Date]],28),IF(Main[[#This Row],[Class]]="B", WORKDAY(Main[[#This Row],[Tech Start Date]],19),IF(Main[[#This Row],[Class]]="A",WORKDAY(Main[[#This Row],[Tech Start Date]],9),""))))</f>
        <v/>
      </c>
      <c r="Q334" s="74">
        <v>40438</v>
      </c>
      <c r="R334" s="74"/>
      <c r="S334" s="72" t="s">
        <v>6</v>
      </c>
      <c r="T334" s="80" t="s">
        <v>4</v>
      </c>
      <c r="U334" s="72" t="s">
        <v>7</v>
      </c>
      <c r="V334" s="72" t="s">
        <v>1937</v>
      </c>
      <c r="W334" s="72" t="s">
        <v>1941</v>
      </c>
      <c r="X334" s="72" t="s">
        <v>2970</v>
      </c>
      <c r="Y334" s="72" t="s">
        <v>3087</v>
      </c>
      <c r="Z334" s="72" t="s">
        <v>129</v>
      </c>
    </row>
    <row r="335" spans="1:26" ht="18.600000000000001" customHeight="1">
      <c r="A335" s="142" t="str">
        <f>IF(priority(Main[[#This Row],[Comments]])&lt;&gt;0, priority(Main[[#This Row],[Comments]]),"")</f>
        <v/>
      </c>
      <c r="B335" s="90" t="s">
        <v>1196</v>
      </c>
      <c r="C335" s="72" t="s">
        <v>237</v>
      </c>
      <c r="D335" s="73" t="s">
        <v>238</v>
      </c>
      <c r="E335" s="74"/>
      <c r="F335" s="74"/>
      <c r="G335" s="75" t="str">
        <f>IF(stdProdLT(Main[[#This Row],[Comments]])=0.1,"N/A",IF(stdProdLT(Main[[#This Row],[Comments]])=0,"",stdProdLT(Main[[#This Row],[Comments]])))</f>
        <v/>
      </c>
      <c r="H335" s="76" t="str">
        <f>IF(AND(Main[[#This Row],[In Stock Date]]&lt;&gt;"",Main[[#This Row],[Revised Due Date]]&lt;&gt;""),Main[[#This Row],[In Stock Date]]-Main[[#This Row],[Revised Due Date]],"")</f>
        <v/>
      </c>
      <c r="I335" s="72" t="s">
        <v>4</v>
      </c>
      <c r="J335" s="72" t="s">
        <v>4</v>
      </c>
      <c r="K335" s="72" t="s">
        <v>4</v>
      </c>
      <c r="L335" s="74"/>
      <c r="M335" s="77" t="str">
        <f>IF(Main[[#This Row],[Tech Start Date]]&lt;1/1/1990,"",IF(Main[[#This Row],[Class]]="C",WORKDAY(Main[[#This Row],[Tech Start Date]],9),IF(Main[[#This Row],[Class]]="B", WORKDAY(Main[[#This Row],[Tech Start Date]],6),IF(Main[[#This Row],[Class]]="A",WORKDAY(Main[[#This Row],[Tech Start Date]],2),""))))</f>
        <v/>
      </c>
      <c r="N335" s="77" t="str">
        <f>IF(Main[[#This Row],[Tech Start Date]]&lt;1/1/1990,"",IF(Main[[#This Row],[Class]]="C",WORKDAY(Main[[#This Row],[Tech Start Date]],19),IF(Main[[#This Row],[Class]]="B", WORKDAY(Main[[#This Row],[Tech Start Date]],12),IF(Main[[#This Row],[Class]]="A",WORKDAY(Main[[#This Row],[Tech Start Date]],4),""))))</f>
        <v/>
      </c>
      <c r="O335" s="77" t="str">
        <f>IF(Main[[#This Row],[Tech Start Date]]&lt;1/1/1990,"",IF(Main[[#This Row],[Class]]="C",WORKDAY(Main[[#This Row],[Tech Start Date]],23),IF(Main[[#This Row],[Class]]="B", WORKDAY(Main[[#This Row],[Tech Start Date]],15),IF(Main[[#This Row],[Class]]="A",WORKDAY(Main[[#This Row],[Tech Start Date]],5),""))))</f>
        <v/>
      </c>
      <c r="P335" s="77" t="str">
        <f>IF(Main[[#This Row],[Tech Start Date]]&lt;1/1/1990,"",IF(Main[[#This Row],[Class]]="C",WORKDAY(Main[[#This Row],[Tech Start Date]],28),IF(Main[[#This Row],[Class]]="B", WORKDAY(Main[[#This Row],[Tech Start Date]],19),IF(Main[[#This Row],[Class]]="A",WORKDAY(Main[[#This Row],[Tech Start Date]],9),""))))</f>
        <v/>
      </c>
      <c r="Q335" s="74">
        <v>40204</v>
      </c>
      <c r="R335" s="74"/>
      <c r="S335" s="72" t="s">
        <v>11</v>
      </c>
      <c r="T335" s="80" t="s">
        <v>4</v>
      </c>
      <c r="U335" s="72" t="s">
        <v>14</v>
      </c>
      <c r="V335" s="72" t="s">
        <v>1940</v>
      </c>
      <c r="W335" s="72" t="s">
        <v>1939</v>
      </c>
      <c r="X335" s="72" t="s">
        <v>65</v>
      </c>
      <c r="Y335" s="72" t="s">
        <v>4</v>
      </c>
      <c r="Z335" s="72" t="s">
        <v>4</v>
      </c>
    </row>
    <row r="336" spans="1:26" ht="18.600000000000001" customHeight="1">
      <c r="A336" s="142" t="str">
        <f>IF(priority(Main[[#This Row],[Comments]])&lt;&gt;0, priority(Main[[#This Row],[Comments]]),"")</f>
        <v/>
      </c>
      <c r="B336" s="90" t="s">
        <v>1197</v>
      </c>
      <c r="C336" s="72" t="s">
        <v>4</v>
      </c>
      <c r="D336" s="73" t="s">
        <v>239</v>
      </c>
      <c r="E336" s="74">
        <v>40317.337557870371</v>
      </c>
      <c r="F336" s="74"/>
      <c r="G336" s="75" t="str">
        <f>IF(stdProdLT(Main[[#This Row],[Comments]])=0.1,"N/A",IF(stdProdLT(Main[[#This Row],[Comments]])=0,"",stdProdLT(Main[[#This Row],[Comments]])))</f>
        <v/>
      </c>
      <c r="H336" s="76" t="str">
        <f>IF(AND(Main[[#This Row],[In Stock Date]]&lt;&gt;"",Main[[#This Row],[Revised Due Date]]&lt;&gt;""),Main[[#This Row],[In Stock Date]]-Main[[#This Row],[Revised Due Date]],"")</f>
        <v/>
      </c>
      <c r="I336" s="72" t="s">
        <v>4</v>
      </c>
      <c r="J336" s="72" t="s">
        <v>4</v>
      </c>
      <c r="K336" s="72" t="s">
        <v>4</v>
      </c>
      <c r="L336" s="74"/>
      <c r="M336" s="77" t="str">
        <f>IF(Main[[#This Row],[Tech Start Date]]&lt;1/1/1990,"",IF(Main[[#This Row],[Class]]="C",WORKDAY(Main[[#This Row],[Tech Start Date]],9),IF(Main[[#This Row],[Class]]="B", WORKDAY(Main[[#This Row],[Tech Start Date]],6),IF(Main[[#This Row],[Class]]="A",WORKDAY(Main[[#This Row],[Tech Start Date]],2),""))))</f>
        <v/>
      </c>
      <c r="N336" s="77" t="str">
        <f>IF(Main[[#This Row],[Tech Start Date]]&lt;1/1/1990,"",IF(Main[[#This Row],[Class]]="C",WORKDAY(Main[[#This Row],[Tech Start Date]],19),IF(Main[[#This Row],[Class]]="B", WORKDAY(Main[[#This Row],[Tech Start Date]],12),IF(Main[[#This Row],[Class]]="A",WORKDAY(Main[[#This Row],[Tech Start Date]],4),""))))</f>
        <v/>
      </c>
      <c r="O336" s="77" t="str">
        <f>IF(Main[[#This Row],[Tech Start Date]]&lt;1/1/1990,"",IF(Main[[#This Row],[Class]]="C",WORKDAY(Main[[#This Row],[Tech Start Date]],23),IF(Main[[#This Row],[Class]]="B", WORKDAY(Main[[#This Row],[Tech Start Date]],15),IF(Main[[#This Row],[Class]]="A",WORKDAY(Main[[#This Row],[Tech Start Date]],5),""))))</f>
        <v/>
      </c>
      <c r="P336" s="77" t="str">
        <f>IF(Main[[#This Row],[Tech Start Date]]&lt;1/1/1990,"",IF(Main[[#This Row],[Class]]="C",WORKDAY(Main[[#This Row],[Tech Start Date]],28),IF(Main[[#This Row],[Class]]="B", WORKDAY(Main[[#This Row],[Tech Start Date]],19),IF(Main[[#This Row],[Class]]="A",WORKDAY(Main[[#This Row],[Tech Start Date]],9),""))))</f>
        <v/>
      </c>
      <c r="Q336" s="74">
        <v>40330</v>
      </c>
      <c r="R336" s="74"/>
      <c r="S336" s="72" t="s">
        <v>6</v>
      </c>
      <c r="T336" s="80" t="s">
        <v>4</v>
      </c>
      <c r="U336" s="72" t="s">
        <v>7</v>
      </c>
      <c r="V336" s="72" t="s">
        <v>1937</v>
      </c>
      <c r="W336" s="72" t="s">
        <v>1939</v>
      </c>
      <c r="X336" s="72" t="s">
        <v>102</v>
      </c>
      <c r="Y336" s="72" t="s">
        <v>3169</v>
      </c>
      <c r="Z336" s="72" t="s">
        <v>129</v>
      </c>
    </row>
    <row r="337" spans="1:26" ht="18.600000000000001" customHeight="1">
      <c r="A337" s="142" t="str">
        <f>IF(priority(Main[[#This Row],[Comments]])&lt;&gt;0, priority(Main[[#This Row],[Comments]]),"")</f>
        <v/>
      </c>
      <c r="B337" s="90" t="s">
        <v>1198</v>
      </c>
      <c r="C337" s="72" t="s">
        <v>4</v>
      </c>
      <c r="D337" s="73" t="s">
        <v>240</v>
      </c>
      <c r="E337" s="74"/>
      <c r="F337" s="74"/>
      <c r="G337" s="75" t="str">
        <f>IF(stdProdLT(Main[[#This Row],[Comments]])=0.1,"N/A",IF(stdProdLT(Main[[#This Row],[Comments]])=0,"",stdProdLT(Main[[#This Row],[Comments]])))</f>
        <v/>
      </c>
      <c r="H337" s="76" t="str">
        <f>IF(AND(Main[[#This Row],[In Stock Date]]&lt;&gt;"",Main[[#This Row],[Revised Due Date]]&lt;&gt;""),Main[[#This Row],[In Stock Date]]-Main[[#This Row],[Revised Due Date]],"")</f>
        <v/>
      </c>
      <c r="I337" s="72" t="s">
        <v>4</v>
      </c>
      <c r="J337" s="72" t="s">
        <v>4</v>
      </c>
      <c r="K337" s="81" t="s">
        <v>4</v>
      </c>
      <c r="L337" s="74"/>
      <c r="M337" s="77" t="str">
        <f>IF(Main[[#This Row],[Tech Start Date]]&lt;1/1/1990,"",IF(Main[[#This Row],[Class]]="C",WORKDAY(Main[[#This Row],[Tech Start Date]],9),IF(Main[[#This Row],[Class]]="B", WORKDAY(Main[[#This Row],[Tech Start Date]],6),IF(Main[[#This Row],[Class]]="A",WORKDAY(Main[[#This Row],[Tech Start Date]],2),""))))</f>
        <v/>
      </c>
      <c r="N337" s="77" t="str">
        <f>IF(Main[[#This Row],[Tech Start Date]]&lt;1/1/1990,"",IF(Main[[#This Row],[Class]]="C",WORKDAY(Main[[#This Row],[Tech Start Date]],19),IF(Main[[#This Row],[Class]]="B", WORKDAY(Main[[#This Row],[Tech Start Date]],12),IF(Main[[#This Row],[Class]]="A",WORKDAY(Main[[#This Row],[Tech Start Date]],4),""))))</f>
        <v/>
      </c>
      <c r="O337" s="77" t="str">
        <f>IF(Main[[#This Row],[Tech Start Date]]&lt;1/1/1990,"",IF(Main[[#This Row],[Class]]="C",WORKDAY(Main[[#This Row],[Tech Start Date]],23),IF(Main[[#This Row],[Class]]="B", WORKDAY(Main[[#This Row],[Tech Start Date]],15),IF(Main[[#This Row],[Class]]="A",WORKDAY(Main[[#This Row],[Tech Start Date]],5),""))))</f>
        <v/>
      </c>
      <c r="P337" s="77" t="str">
        <f>IF(Main[[#This Row],[Tech Start Date]]&lt;1/1/1990,"",IF(Main[[#This Row],[Class]]="C",WORKDAY(Main[[#This Row],[Tech Start Date]],28),IF(Main[[#This Row],[Class]]="B", WORKDAY(Main[[#This Row],[Tech Start Date]],19),IF(Main[[#This Row],[Class]]="A",WORKDAY(Main[[#This Row],[Tech Start Date]],9),""))))</f>
        <v/>
      </c>
      <c r="Q337" s="74"/>
      <c r="R337" s="74"/>
      <c r="S337" s="72" t="s">
        <v>11</v>
      </c>
      <c r="T337" s="80" t="s">
        <v>4</v>
      </c>
      <c r="U337" s="72" t="s">
        <v>14</v>
      </c>
      <c r="V337" s="72" t="s">
        <v>1937</v>
      </c>
      <c r="W337" s="72" t="s">
        <v>1941</v>
      </c>
      <c r="X337" s="72" t="s">
        <v>937</v>
      </c>
      <c r="Y337" s="72" t="s">
        <v>3140</v>
      </c>
      <c r="Z337" s="72" t="s">
        <v>4</v>
      </c>
    </row>
    <row r="338" spans="1:26" ht="18.600000000000001" customHeight="1">
      <c r="A338" s="142" t="str">
        <f>IF(priority(Main[[#This Row],[Comments]])&lt;&gt;0, priority(Main[[#This Row],[Comments]]),"")</f>
        <v/>
      </c>
      <c r="B338" s="90" t="s">
        <v>1142</v>
      </c>
      <c r="C338" s="72" t="s">
        <v>4</v>
      </c>
      <c r="D338" s="73" t="s">
        <v>178</v>
      </c>
      <c r="E338" s="74">
        <v>40655.521435185183</v>
      </c>
      <c r="F338" s="74"/>
      <c r="G338" s="75" t="str">
        <f>IF(stdProdLT(Main[[#This Row],[Comments]])=0.1,"N/A",IF(stdProdLT(Main[[#This Row],[Comments]])=0,"",stdProdLT(Main[[#This Row],[Comments]])))</f>
        <v/>
      </c>
      <c r="H338" s="76" t="str">
        <f>IF(AND(Main[[#This Row],[In Stock Date]]&lt;&gt;"",Main[[#This Row],[Revised Due Date]]&lt;&gt;""),Main[[#This Row],[In Stock Date]]-Main[[#This Row],[Revised Due Date]],"")</f>
        <v/>
      </c>
      <c r="I338" s="72" t="s">
        <v>4</v>
      </c>
      <c r="J338" s="72" t="s">
        <v>4</v>
      </c>
      <c r="K338" s="72" t="s">
        <v>4</v>
      </c>
      <c r="L338" s="74"/>
      <c r="M338" s="77" t="str">
        <f>IF(Main[[#This Row],[Tech Start Date]]&lt;1/1/1990,"",IF(Main[[#This Row],[Class]]="C",WORKDAY(Main[[#This Row],[Tech Start Date]],9),IF(Main[[#This Row],[Class]]="B", WORKDAY(Main[[#This Row],[Tech Start Date]],6),IF(Main[[#This Row],[Class]]="A",WORKDAY(Main[[#This Row],[Tech Start Date]],2),""))))</f>
        <v/>
      </c>
      <c r="N338" s="77" t="str">
        <f>IF(Main[[#This Row],[Tech Start Date]]&lt;1/1/1990,"",IF(Main[[#This Row],[Class]]="C",WORKDAY(Main[[#This Row],[Tech Start Date]],19),IF(Main[[#This Row],[Class]]="B", WORKDAY(Main[[#This Row],[Tech Start Date]],12),IF(Main[[#This Row],[Class]]="A",WORKDAY(Main[[#This Row],[Tech Start Date]],4),""))))</f>
        <v/>
      </c>
      <c r="O338" s="77" t="str">
        <f>IF(Main[[#This Row],[Tech Start Date]]&lt;1/1/1990,"",IF(Main[[#This Row],[Class]]="C",WORKDAY(Main[[#This Row],[Tech Start Date]],23),IF(Main[[#This Row],[Class]]="B", WORKDAY(Main[[#This Row],[Tech Start Date]],15),IF(Main[[#This Row],[Class]]="A",WORKDAY(Main[[#This Row],[Tech Start Date]],5),""))))</f>
        <v/>
      </c>
      <c r="P338" s="77" t="str">
        <f>IF(Main[[#This Row],[Tech Start Date]]&lt;1/1/1990,"",IF(Main[[#This Row],[Class]]="C",WORKDAY(Main[[#This Row],[Tech Start Date]],28),IF(Main[[#This Row],[Class]]="B", WORKDAY(Main[[#This Row],[Tech Start Date]],19),IF(Main[[#This Row],[Class]]="A",WORKDAY(Main[[#This Row],[Tech Start Date]],9),""))))</f>
        <v/>
      </c>
      <c r="Q338" s="74">
        <v>40655</v>
      </c>
      <c r="R338" s="74"/>
      <c r="S338" s="72" t="s">
        <v>6</v>
      </c>
      <c r="T338" s="80" t="s">
        <v>4</v>
      </c>
      <c r="U338" s="72" t="s">
        <v>7</v>
      </c>
      <c r="V338" s="72" t="s">
        <v>1937</v>
      </c>
      <c r="W338" s="72" t="s">
        <v>1939</v>
      </c>
      <c r="X338" s="72" t="s">
        <v>126</v>
      </c>
      <c r="Y338" s="72" t="s">
        <v>3191</v>
      </c>
      <c r="Z338" s="72" t="s">
        <v>4</v>
      </c>
    </row>
    <row r="339" spans="1:26" ht="18.600000000000001" customHeight="1">
      <c r="A339" s="142" t="str">
        <f>IF(priority(Main[[#This Row],[Comments]])&lt;&gt;0, priority(Main[[#This Row],[Comments]]),"")</f>
        <v/>
      </c>
      <c r="B339" s="90" t="s">
        <v>1143</v>
      </c>
      <c r="C339" s="72" t="s">
        <v>4</v>
      </c>
      <c r="D339" s="73" t="s">
        <v>179</v>
      </c>
      <c r="E339" s="74"/>
      <c r="F339" s="74">
        <v>40598</v>
      </c>
      <c r="G339" s="75" t="str">
        <f>IF(stdProdLT(Main[[#This Row],[Comments]])=0.1,"N/A",IF(stdProdLT(Main[[#This Row],[Comments]])=0,"",stdProdLT(Main[[#This Row],[Comments]])))</f>
        <v/>
      </c>
      <c r="H339" s="76" t="str">
        <f>IF(AND(Main[[#This Row],[In Stock Date]]&lt;&gt;"",Main[[#This Row],[Revised Due Date]]&lt;&gt;""),Main[[#This Row],[In Stock Date]]-Main[[#This Row],[Revised Due Date]],"")</f>
        <v/>
      </c>
      <c r="I339" s="72" t="s">
        <v>4</v>
      </c>
      <c r="J339" s="72" t="s">
        <v>4</v>
      </c>
      <c r="K339" s="72" t="s">
        <v>4</v>
      </c>
      <c r="L339" s="74"/>
      <c r="M339" s="77" t="str">
        <f>IF(Main[[#This Row],[Tech Start Date]]&lt;1/1/1990,"",IF(Main[[#This Row],[Class]]="C",WORKDAY(Main[[#This Row],[Tech Start Date]],9),IF(Main[[#This Row],[Class]]="B", WORKDAY(Main[[#This Row],[Tech Start Date]],6),IF(Main[[#This Row],[Class]]="A",WORKDAY(Main[[#This Row],[Tech Start Date]],2),""))))</f>
        <v/>
      </c>
      <c r="N339" s="77" t="str">
        <f>IF(Main[[#This Row],[Tech Start Date]]&lt;1/1/1990,"",IF(Main[[#This Row],[Class]]="C",WORKDAY(Main[[#This Row],[Tech Start Date]],19),IF(Main[[#This Row],[Class]]="B", WORKDAY(Main[[#This Row],[Tech Start Date]],12),IF(Main[[#This Row],[Class]]="A",WORKDAY(Main[[#This Row],[Tech Start Date]],4),""))))</f>
        <v/>
      </c>
      <c r="O339" s="77" t="str">
        <f>IF(Main[[#This Row],[Tech Start Date]]&lt;1/1/1990,"",IF(Main[[#This Row],[Class]]="C",WORKDAY(Main[[#This Row],[Tech Start Date]],23),IF(Main[[#This Row],[Class]]="B", WORKDAY(Main[[#This Row],[Tech Start Date]],15),IF(Main[[#This Row],[Class]]="A",WORKDAY(Main[[#This Row],[Tech Start Date]],5),""))))</f>
        <v/>
      </c>
      <c r="P339" s="77" t="str">
        <f>IF(Main[[#This Row],[Tech Start Date]]&lt;1/1/1990,"",IF(Main[[#This Row],[Class]]="C",WORKDAY(Main[[#This Row],[Tech Start Date]],28),IF(Main[[#This Row],[Class]]="B", WORKDAY(Main[[#This Row],[Tech Start Date]],19),IF(Main[[#This Row],[Class]]="A",WORKDAY(Main[[#This Row],[Tech Start Date]],9),""))))</f>
        <v/>
      </c>
      <c r="Q339" s="74">
        <v>40598</v>
      </c>
      <c r="R339" s="74"/>
      <c r="S339" s="72" t="s">
        <v>11</v>
      </c>
      <c r="T339" s="80" t="s">
        <v>4</v>
      </c>
      <c r="U339" s="72" t="s">
        <v>14</v>
      </c>
      <c r="V339" s="72" t="s">
        <v>1947</v>
      </c>
      <c r="W339" s="72" t="s">
        <v>1943</v>
      </c>
      <c r="X339" s="72" t="s">
        <v>3000</v>
      </c>
      <c r="Y339" s="72" t="s">
        <v>3137</v>
      </c>
      <c r="Z339" s="72" t="s">
        <v>4</v>
      </c>
    </row>
    <row r="340" spans="1:26" ht="18.600000000000001" customHeight="1">
      <c r="A340" s="142" t="str">
        <f>IF(priority(Main[[#This Row],[Comments]])&lt;&gt;0, priority(Main[[#This Row],[Comments]]),"")</f>
        <v/>
      </c>
      <c r="B340" s="90" t="s">
        <v>2786</v>
      </c>
      <c r="C340" s="72" t="s">
        <v>4</v>
      </c>
      <c r="D340" s="73" t="s">
        <v>2787</v>
      </c>
      <c r="E340" s="74">
        <v>40896.649571759262</v>
      </c>
      <c r="F340" s="74"/>
      <c r="G340" s="75" t="str">
        <f>IF(stdProdLT(Main[[#This Row],[Comments]])=0.1,"N/A",IF(stdProdLT(Main[[#This Row],[Comments]])=0,"",stdProdLT(Main[[#This Row],[Comments]])))</f>
        <v/>
      </c>
      <c r="H340" s="76" t="str">
        <f>IF(AND(Main[[#This Row],[In Stock Date]]&lt;&gt;"",Main[[#This Row],[Revised Due Date]]&lt;&gt;""),Main[[#This Row],[In Stock Date]]-Main[[#This Row],[Revised Due Date]],"")</f>
        <v/>
      </c>
      <c r="I340" s="72" t="s">
        <v>536</v>
      </c>
      <c r="J340" s="72" t="s">
        <v>28</v>
      </c>
      <c r="K340" s="72" t="s">
        <v>1946</v>
      </c>
      <c r="L340" s="74"/>
      <c r="M340" s="77" t="str">
        <f>IF(Main[[#This Row],[Tech Start Date]]&lt;1/1/1990,"",IF(Main[[#This Row],[Class]]="C",WORKDAY(Main[[#This Row],[Tech Start Date]],9),IF(Main[[#This Row],[Class]]="B", WORKDAY(Main[[#This Row],[Tech Start Date]],6),IF(Main[[#This Row],[Class]]="A",WORKDAY(Main[[#This Row],[Tech Start Date]],2),""))))</f>
        <v/>
      </c>
      <c r="N340" s="77" t="str">
        <f>IF(Main[[#This Row],[Tech Start Date]]&lt;1/1/1990,"",IF(Main[[#This Row],[Class]]="C",WORKDAY(Main[[#This Row],[Tech Start Date]],19),IF(Main[[#This Row],[Class]]="B", WORKDAY(Main[[#This Row],[Tech Start Date]],12),IF(Main[[#This Row],[Class]]="A",WORKDAY(Main[[#This Row],[Tech Start Date]],4),""))))</f>
        <v/>
      </c>
      <c r="O340" s="77" t="str">
        <f>IF(Main[[#This Row],[Tech Start Date]]&lt;1/1/1990,"",IF(Main[[#This Row],[Class]]="C",WORKDAY(Main[[#This Row],[Tech Start Date]],23),IF(Main[[#This Row],[Class]]="B", WORKDAY(Main[[#This Row],[Tech Start Date]],15),IF(Main[[#This Row],[Class]]="A",WORKDAY(Main[[#This Row],[Tech Start Date]],5),""))))</f>
        <v/>
      </c>
      <c r="P340" s="77" t="str">
        <f>IF(Main[[#This Row],[Tech Start Date]]&lt;1/1/1990,"",IF(Main[[#This Row],[Class]]="C",WORKDAY(Main[[#This Row],[Tech Start Date]],28),IF(Main[[#This Row],[Class]]="B", WORKDAY(Main[[#This Row],[Tech Start Date]],19),IF(Main[[#This Row],[Class]]="A",WORKDAY(Main[[#This Row],[Tech Start Date]],9),""))))</f>
        <v/>
      </c>
      <c r="Q340" s="74">
        <v>40939</v>
      </c>
      <c r="R340" s="74"/>
      <c r="S340" s="72" t="s">
        <v>6</v>
      </c>
      <c r="T340" s="80" t="s">
        <v>4</v>
      </c>
      <c r="U340" s="72" t="s">
        <v>29</v>
      </c>
      <c r="V340" s="72" t="s">
        <v>1940</v>
      </c>
      <c r="W340" s="72" t="s">
        <v>1945</v>
      </c>
      <c r="X340" s="72" t="s">
        <v>897</v>
      </c>
      <c r="Y340" s="72" t="s">
        <v>3121</v>
      </c>
      <c r="Z340" s="72" t="s">
        <v>30</v>
      </c>
    </row>
    <row r="341" spans="1:26" ht="18.600000000000001" customHeight="1">
      <c r="A341" s="142" t="str">
        <f>IF(priority(Main[[#This Row],[Comments]])&lt;&gt;0, priority(Main[[#This Row],[Comments]]),"")</f>
        <v/>
      </c>
      <c r="B341" s="90" t="s">
        <v>2381</v>
      </c>
      <c r="C341" s="72" t="s">
        <v>2382</v>
      </c>
      <c r="D341" s="73" t="s">
        <v>2383</v>
      </c>
      <c r="E341" s="74"/>
      <c r="F341" s="74"/>
      <c r="G341" s="75" t="str">
        <f>IF(stdProdLT(Main[[#This Row],[Comments]])=0.1,"N/A",IF(stdProdLT(Main[[#This Row],[Comments]])=0,"",stdProdLT(Main[[#This Row],[Comments]])))</f>
        <v/>
      </c>
      <c r="H341" s="76" t="str">
        <f>IF(AND(Main[[#This Row],[In Stock Date]]&lt;&gt;"",Main[[#This Row],[Revised Due Date]]&lt;&gt;""),Main[[#This Row],[In Stock Date]]-Main[[#This Row],[Revised Due Date]],"")</f>
        <v/>
      </c>
      <c r="I341" s="72" t="s">
        <v>4</v>
      </c>
      <c r="J341" s="72" t="s">
        <v>4</v>
      </c>
      <c r="K341" s="72" t="s">
        <v>4</v>
      </c>
      <c r="L341" s="74"/>
      <c r="M341" s="77" t="str">
        <f>IF(Main[[#This Row],[Tech Start Date]]&lt;1/1/1990,"",IF(Main[[#This Row],[Class]]="C",WORKDAY(Main[[#This Row],[Tech Start Date]],9),IF(Main[[#This Row],[Class]]="B", WORKDAY(Main[[#This Row],[Tech Start Date]],6),IF(Main[[#This Row],[Class]]="A",WORKDAY(Main[[#This Row],[Tech Start Date]],2),""))))</f>
        <v/>
      </c>
      <c r="N341" s="77" t="str">
        <f>IF(Main[[#This Row],[Tech Start Date]]&lt;1/1/1990,"",IF(Main[[#This Row],[Class]]="C",WORKDAY(Main[[#This Row],[Tech Start Date]],19),IF(Main[[#This Row],[Class]]="B", WORKDAY(Main[[#This Row],[Tech Start Date]],12),IF(Main[[#This Row],[Class]]="A",WORKDAY(Main[[#This Row],[Tech Start Date]],4),""))))</f>
        <v/>
      </c>
      <c r="O341" s="77" t="str">
        <f>IF(Main[[#This Row],[Tech Start Date]]&lt;1/1/1990,"",IF(Main[[#This Row],[Class]]="C",WORKDAY(Main[[#This Row],[Tech Start Date]],23),IF(Main[[#This Row],[Class]]="B", WORKDAY(Main[[#This Row],[Tech Start Date]],15),IF(Main[[#This Row],[Class]]="A",WORKDAY(Main[[#This Row],[Tech Start Date]],5),""))))</f>
        <v/>
      </c>
      <c r="P341" s="77" t="str">
        <f>IF(Main[[#This Row],[Tech Start Date]]&lt;1/1/1990,"",IF(Main[[#This Row],[Class]]="C",WORKDAY(Main[[#This Row],[Tech Start Date]],28),IF(Main[[#This Row],[Class]]="B", WORKDAY(Main[[#This Row],[Tech Start Date]],19),IF(Main[[#This Row],[Class]]="A",WORKDAY(Main[[#This Row],[Tech Start Date]],9),""))))</f>
        <v/>
      </c>
      <c r="Q341" s="74">
        <v>40840</v>
      </c>
      <c r="R341" s="74"/>
      <c r="S341" s="72" t="s">
        <v>11</v>
      </c>
      <c r="T341" s="80" t="s">
        <v>4</v>
      </c>
      <c r="U341" s="72" t="s">
        <v>12</v>
      </c>
      <c r="V341" s="72" t="s">
        <v>1937</v>
      </c>
      <c r="W341" s="72" t="s">
        <v>1939</v>
      </c>
      <c r="X341" s="72" t="s">
        <v>3007</v>
      </c>
      <c r="Y341" s="72" t="s">
        <v>4</v>
      </c>
      <c r="Z341" s="72" t="s">
        <v>4</v>
      </c>
    </row>
    <row r="342" spans="1:26" ht="18.600000000000001" customHeight="1">
      <c r="A342" s="142" t="str">
        <f>IF(priority(Main[[#This Row],[Comments]])&lt;&gt;0, priority(Main[[#This Row],[Comments]]),"")</f>
        <v/>
      </c>
      <c r="B342" s="90" t="s">
        <v>1145</v>
      </c>
      <c r="C342" s="72" t="s">
        <v>4</v>
      </c>
      <c r="D342" s="73" t="s">
        <v>181</v>
      </c>
      <c r="E342" s="74">
        <v>40688.403611111113</v>
      </c>
      <c r="F342" s="74"/>
      <c r="G342" s="75" t="str">
        <f>IF(stdProdLT(Main[[#This Row],[Comments]])=0.1,"N/A",IF(stdProdLT(Main[[#This Row],[Comments]])=0,"",stdProdLT(Main[[#This Row],[Comments]])))</f>
        <v/>
      </c>
      <c r="H342" s="76" t="str">
        <f>IF(AND(Main[[#This Row],[In Stock Date]]&lt;&gt;"",Main[[#This Row],[Revised Due Date]]&lt;&gt;""),Main[[#This Row],[In Stock Date]]-Main[[#This Row],[Revised Due Date]],"")</f>
        <v/>
      </c>
      <c r="I342" s="72" t="s">
        <v>4</v>
      </c>
      <c r="J342" s="72" t="s">
        <v>4</v>
      </c>
      <c r="K342" s="72" t="s">
        <v>4</v>
      </c>
      <c r="L342" s="74"/>
      <c r="M342" s="77" t="str">
        <f>IF(Main[[#This Row],[Tech Start Date]]&lt;1/1/1990,"",IF(Main[[#This Row],[Class]]="C",WORKDAY(Main[[#This Row],[Tech Start Date]],9),IF(Main[[#This Row],[Class]]="B", WORKDAY(Main[[#This Row],[Tech Start Date]],6),IF(Main[[#This Row],[Class]]="A",WORKDAY(Main[[#This Row],[Tech Start Date]],2),""))))</f>
        <v/>
      </c>
      <c r="N342" s="77" t="str">
        <f>IF(Main[[#This Row],[Tech Start Date]]&lt;1/1/1990,"",IF(Main[[#This Row],[Class]]="C",WORKDAY(Main[[#This Row],[Tech Start Date]],19),IF(Main[[#This Row],[Class]]="B", WORKDAY(Main[[#This Row],[Tech Start Date]],12),IF(Main[[#This Row],[Class]]="A",WORKDAY(Main[[#This Row],[Tech Start Date]],4),""))))</f>
        <v/>
      </c>
      <c r="O342" s="77" t="str">
        <f>IF(Main[[#This Row],[Tech Start Date]]&lt;1/1/1990,"",IF(Main[[#This Row],[Class]]="C",WORKDAY(Main[[#This Row],[Tech Start Date]],23),IF(Main[[#This Row],[Class]]="B", WORKDAY(Main[[#This Row],[Tech Start Date]],15),IF(Main[[#This Row],[Class]]="A",WORKDAY(Main[[#This Row],[Tech Start Date]],5),""))))</f>
        <v/>
      </c>
      <c r="P342" s="77" t="str">
        <f>IF(Main[[#This Row],[Tech Start Date]]&lt;1/1/1990,"",IF(Main[[#This Row],[Class]]="C",WORKDAY(Main[[#This Row],[Tech Start Date]],28),IF(Main[[#This Row],[Class]]="B", WORKDAY(Main[[#This Row],[Tech Start Date]],19),IF(Main[[#This Row],[Class]]="A",WORKDAY(Main[[#This Row],[Tech Start Date]],9),""))))</f>
        <v/>
      </c>
      <c r="Q342" s="74">
        <v>40725</v>
      </c>
      <c r="R342" s="74"/>
      <c r="S342" s="72" t="s">
        <v>6</v>
      </c>
      <c r="T342" s="80" t="s">
        <v>4</v>
      </c>
      <c r="U342" s="72" t="s">
        <v>7</v>
      </c>
      <c r="V342" s="72" t="s">
        <v>1937</v>
      </c>
      <c r="W342" s="72" t="s">
        <v>4</v>
      </c>
      <c r="X342" s="72" t="s">
        <v>2970</v>
      </c>
      <c r="Y342" s="72" t="s">
        <v>3087</v>
      </c>
      <c r="Z342" s="72" t="s">
        <v>4</v>
      </c>
    </row>
    <row r="343" spans="1:26" ht="18.600000000000001" customHeight="1">
      <c r="A343" s="142" t="str">
        <f>IF(priority(Main[[#This Row],[Comments]])&lt;&gt;0, priority(Main[[#This Row],[Comments]]),"")</f>
        <v/>
      </c>
      <c r="B343" s="90" t="s">
        <v>1146</v>
      </c>
      <c r="C343" s="72" t="s">
        <v>4</v>
      </c>
      <c r="D343" s="73" t="s">
        <v>182</v>
      </c>
      <c r="E343" s="74">
        <v>40644.277719907404</v>
      </c>
      <c r="F343" s="74"/>
      <c r="G343" s="75" t="str">
        <f>IF(stdProdLT(Main[[#This Row],[Comments]])=0.1,"N/A",IF(stdProdLT(Main[[#This Row],[Comments]])=0,"",stdProdLT(Main[[#This Row],[Comments]])))</f>
        <v/>
      </c>
      <c r="H343" s="76" t="str">
        <f>IF(AND(Main[[#This Row],[In Stock Date]]&lt;&gt;"",Main[[#This Row],[Revised Due Date]]&lt;&gt;""),Main[[#This Row],[In Stock Date]]-Main[[#This Row],[Revised Due Date]],"")</f>
        <v/>
      </c>
      <c r="I343" s="72" t="s">
        <v>4</v>
      </c>
      <c r="J343" s="72" t="s">
        <v>4</v>
      </c>
      <c r="K343" s="72" t="s">
        <v>4</v>
      </c>
      <c r="L343" s="74"/>
      <c r="M343" s="77" t="str">
        <f>IF(Main[[#This Row],[Tech Start Date]]&lt;1/1/1990,"",IF(Main[[#This Row],[Class]]="C",WORKDAY(Main[[#This Row],[Tech Start Date]],9),IF(Main[[#This Row],[Class]]="B", WORKDAY(Main[[#This Row],[Tech Start Date]],6),IF(Main[[#This Row],[Class]]="A",WORKDAY(Main[[#This Row],[Tech Start Date]],2),""))))</f>
        <v/>
      </c>
      <c r="N343" s="77" t="str">
        <f>IF(Main[[#This Row],[Tech Start Date]]&lt;1/1/1990,"",IF(Main[[#This Row],[Class]]="C",WORKDAY(Main[[#This Row],[Tech Start Date]],19),IF(Main[[#This Row],[Class]]="B", WORKDAY(Main[[#This Row],[Tech Start Date]],12),IF(Main[[#This Row],[Class]]="A",WORKDAY(Main[[#This Row],[Tech Start Date]],4),""))))</f>
        <v/>
      </c>
      <c r="O343" s="77" t="str">
        <f>IF(Main[[#This Row],[Tech Start Date]]&lt;1/1/1990,"",IF(Main[[#This Row],[Class]]="C",WORKDAY(Main[[#This Row],[Tech Start Date]],23),IF(Main[[#This Row],[Class]]="B", WORKDAY(Main[[#This Row],[Tech Start Date]],15),IF(Main[[#This Row],[Class]]="A",WORKDAY(Main[[#This Row],[Tech Start Date]],5),""))))</f>
        <v/>
      </c>
      <c r="P343" s="77" t="str">
        <f>IF(Main[[#This Row],[Tech Start Date]]&lt;1/1/1990,"",IF(Main[[#This Row],[Class]]="C",WORKDAY(Main[[#This Row],[Tech Start Date]],28),IF(Main[[#This Row],[Class]]="B", WORKDAY(Main[[#This Row],[Tech Start Date]],19),IF(Main[[#This Row],[Class]]="A",WORKDAY(Main[[#This Row],[Tech Start Date]],9),""))))</f>
        <v/>
      </c>
      <c r="Q343" s="74">
        <v>40673</v>
      </c>
      <c r="R343" s="74"/>
      <c r="S343" s="72" t="s">
        <v>6</v>
      </c>
      <c r="T343" s="80" t="s">
        <v>4</v>
      </c>
      <c r="U343" s="72" t="s">
        <v>7</v>
      </c>
      <c r="V343" s="72" t="s">
        <v>1937</v>
      </c>
      <c r="W343" s="72" t="s">
        <v>1945</v>
      </c>
      <c r="X343" s="72" t="s">
        <v>2973</v>
      </c>
      <c r="Y343" s="72" t="s">
        <v>3094</v>
      </c>
      <c r="Z343" s="72" t="s">
        <v>4</v>
      </c>
    </row>
    <row r="344" spans="1:26" ht="18.600000000000001" customHeight="1">
      <c r="A344" s="142" t="str">
        <f>IF(priority(Main[[#This Row],[Comments]])&lt;&gt;0, priority(Main[[#This Row],[Comments]]),"")</f>
        <v/>
      </c>
      <c r="B344" s="90" t="s">
        <v>1148</v>
      </c>
      <c r="C344" s="72" t="s">
        <v>183</v>
      </c>
      <c r="D344" s="73" t="s">
        <v>184</v>
      </c>
      <c r="E344" s="74"/>
      <c r="F344" s="74">
        <v>40536</v>
      </c>
      <c r="G344" s="75" t="str">
        <f>IF(stdProdLT(Main[[#This Row],[Comments]])=0.1,"N/A",IF(stdProdLT(Main[[#This Row],[Comments]])=0,"",stdProdLT(Main[[#This Row],[Comments]])))</f>
        <v/>
      </c>
      <c r="H344" s="76" t="str">
        <f>IF(AND(Main[[#This Row],[In Stock Date]]&lt;&gt;"",Main[[#This Row],[Revised Due Date]]&lt;&gt;""),Main[[#This Row],[In Stock Date]]-Main[[#This Row],[Revised Due Date]],"")</f>
        <v/>
      </c>
      <c r="I344" s="72" t="s">
        <v>4</v>
      </c>
      <c r="J344" s="72" t="s">
        <v>28</v>
      </c>
      <c r="K344" s="72" t="s">
        <v>1946</v>
      </c>
      <c r="L344" s="74"/>
      <c r="M344" s="77" t="str">
        <f>IF(Main[[#This Row],[Tech Start Date]]&lt;1/1/1990,"",IF(Main[[#This Row],[Class]]="C",WORKDAY(Main[[#This Row],[Tech Start Date]],9),IF(Main[[#This Row],[Class]]="B", WORKDAY(Main[[#This Row],[Tech Start Date]],6),IF(Main[[#This Row],[Class]]="A",WORKDAY(Main[[#This Row],[Tech Start Date]],2),""))))</f>
        <v/>
      </c>
      <c r="N344" s="77" t="str">
        <f>IF(Main[[#This Row],[Tech Start Date]]&lt;1/1/1990,"",IF(Main[[#This Row],[Class]]="C",WORKDAY(Main[[#This Row],[Tech Start Date]],19),IF(Main[[#This Row],[Class]]="B", WORKDAY(Main[[#This Row],[Tech Start Date]],12),IF(Main[[#This Row],[Class]]="A",WORKDAY(Main[[#This Row],[Tech Start Date]],4),""))))</f>
        <v/>
      </c>
      <c r="O344" s="77" t="str">
        <f>IF(Main[[#This Row],[Tech Start Date]]&lt;1/1/1990,"",IF(Main[[#This Row],[Class]]="C",WORKDAY(Main[[#This Row],[Tech Start Date]],23),IF(Main[[#This Row],[Class]]="B", WORKDAY(Main[[#This Row],[Tech Start Date]],15),IF(Main[[#This Row],[Class]]="A",WORKDAY(Main[[#This Row],[Tech Start Date]],5),""))))</f>
        <v/>
      </c>
      <c r="P344" s="77" t="str">
        <f>IF(Main[[#This Row],[Tech Start Date]]&lt;1/1/1990,"",IF(Main[[#This Row],[Class]]="C",WORKDAY(Main[[#This Row],[Tech Start Date]],28),IF(Main[[#This Row],[Class]]="B", WORKDAY(Main[[#This Row],[Tech Start Date]],19),IF(Main[[#This Row],[Class]]="A",WORKDAY(Main[[#This Row],[Tech Start Date]],9),""))))</f>
        <v/>
      </c>
      <c r="Q344" s="74">
        <v>40466</v>
      </c>
      <c r="R344" s="74"/>
      <c r="S344" s="72" t="s">
        <v>11</v>
      </c>
      <c r="T344" s="80" t="s">
        <v>4</v>
      </c>
      <c r="U344" s="72" t="s">
        <v>14</v>
      </c>
      <c r="V344" s="72" t="s">
        <v>1940</v>
      </c>
      <c r="W344" s="72" t="s">
        <v>1943</v>
      </c>
      <c r="X344" s="72" t="s">
        <v>2976</v>
      </c>
      <c r="Y344" s="72" t="s">
        <v>3101</v>
      </c>
      <c r="Z344" s="72" t="s">
        <v>536</v>
      </c>
    </row>
    <row r="345" spans="1:26" ht="18.600000000000001" customHeight="1">
      <c r="A345" s="142" t="str">
        <f>IF(priority(Main[[#This Row],[Comments]])&lt;&gt;0, priority(Main[[#This Row],[Comments]]),"")</f>
        <v/>
      </c>
      <c r="B345" s="90" t="s">
        <v>1149</v>
      </c>
      <c r="C345" s="72" t="s">
        <v>185</v>
      </c>
      <c r="D345" s="73" t="s">
        <v>186</v>
      </c>
      <c r="E345" s="74"/>
      <c r="F345" s="74">
        <v>40571</v>
      </c>
      <c r="G345" s="75" t="str">
        <f>IF(stdProdLT(Main[[#This Row],[Comments]])=0.1,"N/A",IF(stdProdLT(Main[[#This Row],[Comments]])=0,"",stdProdLT(Main[[#This Row],[Comments]])))</f>
        <v/>
      </c>
      <c r="H345" s="76" t="str">
        <f>IF(AND(Main[[#This Row],[In Stock Date]]&lt;&gt;"",Main[[#This Row],[Revised Due Date]]&lt;&gt;""),Main[[#This Row],[In Stock Date]]-Main[[#This Row],[Revised Due Date]],"")</f>
        <v/>
      </c>
      <c r="I345" s="72" t="s">
        <v>4</v>
      </c>
      <c r="J345" s="72" t="s">
        <v>28</v>
      </c>
      <c r="K345" s="81" t="s">
        <v>4</v>
      </c>
      <c r="L345" s="74"/>
      <c r="M345" s="77" t="str">
        <f>IF(Main[[#This Row],[Tech Start Date]]&lt;1/1/1990,"",IF(Main[[#This Row],[Class]]="C",WORKDAY(Main[[#This Row],[Tech Start Date]],9),IF(Main[[#This Row],[Class]]="B", WORKDAY(Main[[#This Row],[Tech Start Date]],6),IF(Main[[#This Row],[Class]]="A",WORKDAY(Main[[#This Row],[Tech Start Date]],2),""))))</f>
        <v/>
      </c>
      <c r="N345" s="77" t="str">
        <f>IF(Main[[#This Row],[Tech Start Date]]&lt;1/1/1990,"",IF(Main[[#This Row],[Class]]="C",WORKDAY(Main[[#This Row],[Tech Start Date]],19),IF(Main[[#This Row],[Class]]="B", WORKDAY(Main[[#This Row],[Tech Start Date]],12),IF(Main[[#This Row],[Class]]="A",WORKDAY(Main[[#This Row],[Tech Start Date]],4),""))))</f>
        <v/>
      </c>
      <c r="O345" s="77" t="str">
        <f>IF(Main[[#This Row],[Tech Start Date]]&lt;1/1/1990,"",IF(Main[[#This Row],[Class]]="C",WORKDAY(Main[[#This Row],[Tech Start Date]],23),IF(Main[[#This Row],[Class]]="B", WORKDAY(Main[[#This Row],[Tech Start Date]],15),IF(Main[[#This Row],[Class]]="A",WORKDAY(Main[[#This Row],[Tech Start Date]],5),""))))</f>
        <v/>
      </c>
      <c r="P345" s="77" t="str">
        <f>IF(Main[[#This Row],[Tech Start Date]]&lt;1/1/1990,"",IF(Main[[#This Row],[Class]]="C",WORKDAY(Main[[#This Row],[Tech Start Date]],28),IF(Main[[#This Row],[Class]]="B", WORKDAY(Main[[#This Row],[Tech Start Date]],19),IF(Main[[#This Row],[Class]]="A",WORKDAY(Main[[#This Row],[Tech Start Date]],9),""))))</f>
        <v/>
      </c>
      <c r="Q345" s="74"/>
      <c r="R345" s="74"/>
      <c r="S345" s="72" t="s">
        <v>11</v>
      </c>
      <c r="T345" s="80" t="s">
        <v>4</v>
      </c>
      <c r="U345" s="72" t="s">
        <v>14</v>
      </c>
      <c r="V345" s="72" t="s">
        <v>1937</v>
      </c>
      <c r="W345" s="72" t="s">
        <v>1943</v>
      </c>
      <c r="X345" s="72" t="s">
        <v>50</v>
      </c>
      <c r="Y345" s="72" t="s">
        <v>3157</v>
      </c>
      <c r="Z345" s="72" t="s">
        <v>129</v>
      </c>
    </row>
    <row r="346" spans="1:26" ht="18.600000000000001" customHeight="1">
      <c r="A346" s="142" t="str">
        <f>IF(priority(Main[[#This Row],[Comments]])&lt;&gt;0, priority(Main[[#This Row],[Comments]]),"")</f>
        <v/>
      </c>
      <c r="B346" s="90" t="s">
        <v>1150</v>
      </c>
      <c r="C346" s="72" t="s">
        <v>187</v>
      </c>
      <c r="D346" s="73" t="s">
        <v>188</v>
      </c>
      <c r="E346" s="74"/>
      <c r="F346" s="74"/>
      <c r="G346" s="75" t="str">
        <f>IF(stdProdLT(Main[[#This Row],[Comments]])=0.1,"N/A",IF(stdProdLT(Main[[#This Row],[Comments]])=0,"",stdProdLT(Main[[#This Row],[Comments]])))</f>
        <v/>
      </c>
      <c r="H346" s="76" t="str">
        <f>IF(AND(Main[[#This Row],[In Stock Date]]&lt;&gt;"",Main[[#This Row],[Revised Due Date]]&lt;&gt;""),Main[[#This Row],[In Stock Date]]-Main[[#This Row],[Revised Due Date]],"")</f>
        <v/>
      </c>
      <c r="I346" s="72" t="s">
        <v>4</v>
      </c>
      <c r="J346" s="72" t="s">
        <v>4</v>
      </c>
      <c r="K346" s="72" t="s">
        <v>4</v>
      </c>
      <c r="L346" s="74"/>
      <c r="M346" s="77" t="str">
        <f>IF(Main[[#This Row],[Tech Start Date]]&lt;1/1/1990,"",IF(Main[[#This Row],[Class]]="C",WORKDAY(Main[[#This Row],[Tech Start Date]],9),IF(Main[[#This Row],[Class]]="B", WORKDAY(Main[[#This Row],[Tech Start Date]],6),IF(Main[[#This Row],[Class]]="A",WORKDAY(Main[[#This Row],[Tech Start Date]],2),""))))</f>
        <v/>
      </c>
      <c r="N346" s="77" t="str">
        <f>IF(Main[[#This Row],[Tech Start Date]]&lt;1/1/1990,"",IF(Main[[#This Row],[Class]]="C",WORKDAY(Main[[#This Row],[Tech Start Date]],19),IF(Main[[#This Row],[Class]]="B", WORKDAY(Main[[#This Row],[Tech Start Date]],12),IF(Main[[#This Row],[Class]]="A",WORKDAY(Main[[#This Row],[Tech Start Date]],4),""))))</f>
        <v/>
      </c>
      <c r="O346" s="77" t="str">
        <f>IF(Main[[#This Row],[Tech Start Date]]&lt;1/1/1990,"",IF(Main[[#This Row],[Class]]="C",WORKDAY(Main[[#This Row],[Tech Start Date]],23),IF(Main[[#This Row],[Class]]="B", WORKDAY(Main[[#This Row],[Tech Start Date]],15),IF(Main[[#This Row],[Class]]="A",WORKDAY(Main[[#This Row],[Tech Start Date]],5),""))))</f>
        <v/>
      </c>
      <c r="P346" s="77" t="str">
        <f>IF(Main[[#This Row],[Tech Start Date]]&lt;1/1/1990,"",IF(Main[[#This Row],[Class]]="C",WORKDAY(Main[[#This Row],[Tech Start Date]],28),IF(Main[[#This Row],[Class]]="B", WORKDAY(Main[[#This Row],[Tech Start Date]],19),IF(Main[[#This Row],[Class]]="A",WORKDAY(Main[[#This Row],[Tech Start Date]],9),""))))</f>
        <v/>
      </c>
      <c r="Q346" s="74">
        <v>40116</v>
      </c>
      <c r="R346" s="74"/>
      <c r="S346" s="72" t="s">
        <v>11</v>
      </c>
      <c r="T346" s="80" t="s">
        <v>4</v>
      </c>
      <c r="U346" s="72" t="s">
        <v>14</v>
      </c>
      <c r="V346" s="72" t="s">
        <v>1940</v>
      </c>
      <c r="W346" s="72" t="s">
        <v>1939</v>
      </c>
      <c r="X346" s="72" t="s">
        <v>3015</v>
      </c>
      <c r="Y346" s="72" t="s">
        <v>4</v>
      </c>
      <c r="Z346" s="72" t="s">
        <v>4</v>
      </c>
    </row>
    <row r="347" spans="1:26" ht="18.600000000000001" customHeight="1">
      <c r="A347" s="142" t="str">
        <f>IF(priority(Main[[#This Row],[Comments]])&lt;&gt;0, priority(Main[[#This Row],[Comments]]),"")</f>
        <v/>
      </c>
      <c r="B347" s="90" t="s">
        <v>1152</v>
      </c>
      <c r="C347" s="72" t="s">
        <v>190</v>
      </c>
      <c r="D347" s="73" t="s">
        <v>191</v>
      </c>
      <c r="E347" s="74"/>
      <c r="F347" s="74">
        <v>40263</v>
      </c>
      <c r="G347" s="75" t="str">
        <f>IF(stdProdLT(Main[[#This Row],[Comments]])=0.1,"N/A",IF(stdProdLT(Main[[#This Row],[Comments]])=0,"",stdProdLT(Main[[#This Row],[Comments]])))</f>
        <v/>
      </c>
      <c r="H347" s="76" t="str">
        <f>IF(AND(Main[[#This Row],[In Stock Date]]&lt;&gt;"",Main[[#This Row],[Revised Due Date]]&lt;&gt;""),Main[[#This Row],[In Stock Date]]-Main[[#This Row],[Revised Due Date]],"")</f>
        <v/>
      </c>
      <c r="I347" s="72" t="s">
        <v>4</v>
      </c>
      <c r="J347" s="72" t="s">
        <v>4</v>
      </c>
      <c r="K347" s="72" t="s">
        <v>4</v>
      </c>
      <c r="L347" s="74"/>
      <c r="M347" s="77" t="str">
        <f>IF(Main[[#This Row],[Tech Start Date]]&lt;1/1/1990,"",IF(Main[[#This Row],[Class]]="C",WORKDAY(Main[[#This Row],[Tech Start Date]],9),IF(Main[[#This Row],[Class]]="B", WORKDAY(Main[[#This Row],[Tech Start Date]],6),IF(Main[[#This Row],[Class]]="A",WORKDAY(Main[[#This Row],[Tech Start Date]],2),""))))</f>
        <v/>
      </c>
      <c r="N347" s="77" t="str">
        <f>IF(Main[[#This Row],[Tech Start Date]]&lt;1/1/1990,"",IF(Main[[#This Row],[Class]]="C",WORKDAY(Main[[#This Row],[Tech Start Date]],19),IF(Main[[#This Row],[Class]]="B", WORKDAY(Main[[#This Row],[Tech Start Date]],12),IF(Main[[#This Row],[Class]]="A",WORKDAY(Main[[#This Row],[Tech Start Date]],4),""))))</f>
        <v/>
      </c>
      <c r="O347" s="77" t="str">
        <f>IF(Main[[#This Row],[Tech Start Date]]&lt;1/1/1990,"",IF(Main[[#This Row],[Class]]="C",WORKDAY(Main[[#This Row],[Tech Start Date]],23),IF(Main[[#This Row],[Class]]="B", WORKDAY(Main[[#This Row],[Tech Start Date]],15),IF(Main[[#This Row],[Class]]="A",WORKDAY(Main[[#This Row],[Tech Start Date]],5),""))))</f>
        <v/>
      </c>
      <c r="P347" s="77" t="str">
        <f>IF(Main[[#This Row],[Tech Start Date]]&lt;1/1/1990,"",IF(Main[[#This Row],[Class]]="C",WORKDAY(Main[[#This Row],[Tech Start Date]],28),IF(Main[[#This Row],[Class]]="B", WORKDAY(Main[[#This Row],[Tech Start Date]],19),IF(Main[[#This Row],[Class]]="A",WORKDAY(Main[[#This Row],[Tech Start Date]],9),""))))</f>
        <v/>
      </c>
      <c r="Q347" s="74">
        <v>40295</v>
      </c>
      <c r="R347" s="74"/>
      <c r="S347" s="72" t="s">
        <v>11</v>
      </c>
      <c r="T347" s="80" t="s">
        <v>4</v>
      </c>
      <c r="U347" s="72" t="s">
        <v>14</v>
      </c>
      <c r="V347" s="72" t="s">
        <v>1940</v>
      </c>
      <c r="W347" s="72" t="s">
        <v>1943</v>
      </c>
      <c r="X347" s="72" t="s">
        <v>311</v>
      </c>
      <c r="Y347" s="72" t="s">
        <v>4</v>
      </c>
      <c r="Z347" s="72" t="s">
        <v>4</v>
      </c>
    </row>
    <row r="348" spans="1:26" ht="18.600000000000001" customHeight="1">
      <c r="A348" s="142" t="str">
        <f>IF(priority(Main[[#This Row],[Comments]])&lt;&gt;0, priority(Main[[#This Row],[Comments]]),"")</f>
        <v/>
      </c>
      <c r="B348" s="90" t="s">
        <v>1153</v>
      </c>
      <c r="C348" s="72" t="s">
        <v>4</v>
      </c>
      <c r="D348" s="73" t="s">
        <v>192</v>
      </c>
      <c r="E348" s="74"/>
      <c r="F348" s="74"/>
      <c r="G348" s="75" t="str">
        <f>IF(stdProdLT(Main[[#This Row],[Comments]])=0.1,"N/A",IF(stdProdLT(Main[[#This Row],[Comments]])=0,"",stdProdLT(Main[[#This Row],[Comments]])))</f>
        <v/>
      </c>
      <c r="H348" s="76" t="str">
        <f>IF(AND(Main[[#This Row],[In Stock Date]]&lt;&gt;"",Main[[#This Row],[Revised Due Date]]&lt;&gt;""),Main[[#This Row],[In Stock Date]]-Main[[#This Row],[Revised Due Date]],"")</f>
        <v/>
      </c>
      <c r="I348" s="72" t="s">
        <v>4</v>
      </c>
      <c r="J348" s="72" t="s">
        <v>4</v>
      </c>
      <c r="K348" s="72" t="s">
        <v>4</v>
      </c>
      <c r="L348" s="74"/>
      <c r="M348" s="77" t="str">
        <f>IF(Main[[#This Row],[Tech Start Date]]&lt;1/1/1990,"",IF(Main[[#This Row],[Class]]="C",WORKDAY(Main[[#This Row],[Tech Start Date]],9),IF(Main[[#This Row],[Class]]="B", WORKDAY(Main[[#This Row],[Tech Start Date]],6),IF(Main[[#This Row],[Class]]="A",WORKDAY(Main[[#This Row],[Tech Start Date]],2),""))))</f>
        <v/>
      </c>
      <c r="N348" s="77" t="str">
        <f>IF(Main[[#This Row],[Tech Start Date]]&lt;1/1/1990,"",IF(Main[[#This Row],[Class]]="C",WORKDAY(Main[[#This Row],[Tech Start Date]],19),IF(Main[[#This Row],[Class]]="B", WORKDAY(Main[[#This Row],[Tech Start Date]],12),IF(Main[[#This Row],[Class]]="A",WORKDAY(Main[[#This Row],[Tech Start Date]],4),""))))</f>
        <v/>
      </c>
      <c r="O348" s="77" t="str">
        <f>IF(Main[[#This Row],[Tech Start Date]]&lt;1/1/1990,"",IF(Main[[#This Row],[Class]]="C",WORKDAY(Main[[#This Row],[Tech Start Date]],23),IF(Main[[#This Row],[Class]]="B", WORKDAY(Main[[#This Row],[Tech Start Date]],15),IF(Main[[#This Row],[Class]]="A",WORKDAY(Main[[#This Row],[Tech Start Date]],5),""))))</f>
        <v/>
      </c>
      <c r="P348" s="77" t="str">
        <f>IF(Main[[#This Row],[Tech Start Date]]&lt;1/1/1990,"",IF(Main[[#This Row],[Class]]="C",WORKDAY(Main[[#This Row],[Tech Start Date]],28),IF(Main[[#This Row],[Class]]="B", WORKDAY(Main[[#This Row],[Tech Start Date]],19),IF(Main[[#This Row],[Class]]="A",WORKDAY(Main[[#This Row],[Tech Start Date]],9),""))))</f>
        <v/>
      </c>
      <c r="Q348" s="74"/>
      <c r="R348" s="74"/>
      <c r="S348" s="72" t="s">
        <v>4</v>
      </c>
      <c r="T348" s="80" t="s">
        <v>4</v>
      </c>
      <c r="U348" s="72" t="s">
        <v>14</v>
      </c>
      <c r="V348" s="72" t="s">
        <v>1940</v>
      </c>
      <c r="W348" s="72" t="s">
        <v>4</v>
      </c>
      <c r="X348" s="72" t="s">
        <v>984</v>
      </c>
      <c r="Y348" s="72" t="s">
        <v>4</v>
      </c>
      <c r="Z348" s="72" t="s">
        <v>4</v>
      </c>
    </row>
    <row r="349" spans="1:26" ht="18.600000000000001" customHeight="1">
      <c r="A349" s="142" t="str">
        <f>IF(priority(Main[[#This Row],[Comments]])&lt;&gt;0, priority(Main[[#This Row],[Comments]]),"")</f>
        <v/>
      </c>
      <c r="B349" s="90" t="s">
        <v>1154</v>
      </c>
      <c r="C349" s="72" t="s">
        <v>93</v>
      </c>
      <c r="D349" s="73" t="s">
        <v>193</v>
      </c>
      <c r="E349" s="74"/>
      <c r="F349" s="74">
        <v>40132</v>
      </c>
      <c r="G349" s="75" t="str">
        <f>IF(stdProdLT(Main[[#This Row],[Comments]])=0.1,"N/A",IF(stdProdLT(Main[[#This Row],[Comments]])=0,"",stdProdLT(Main[[#This Row],[Comments]])))</f>
        <v/>
      </c>
      <c r="H349" s="76" t="str">
        <f>IF(AND(Main[[#This Row],[In Stock Date]]&lt;&gt;"",Main[[#This Row],[Revised Due Date]]&lt;&gt;""),Main[[#This Row],[In Stock Date]]-Main[[#This Row],[Revised Due Date]],"")</f>
        <v/>
      </c>
      <c r="I349" s="72" t="s">
        <v>4</v>
      </c>
      <c r="J349" s="72" t="s">
        <v>4</v>
      </c>
      <c r="K349" s="72" t="s">
        <v>4</v>
      </c>
      <c r="L349" s="74"/>
      <c r="M349" s="77" t="str">
        <f>IF(Main[[#This Row],[Tech Start Date]]&lt;1/1/1990,"",IF(Main[[#This Row],[Class]]="C",WORKDAY(Main[[#This Row],[Tech Start Date]],9),IF(Main[[#This Row],[Class]]="B", WORKDAY(Main[[#This Row],[Tech Start Date]],6),IF(Main[[#This Row],[Class]]="A",WORKDAY(Main[[#This Row],[Tech Start Date]],2),""))))</f>
        <v/>
      </c>
      <c r="N349" s="77" t="str">
        <f>IF(Main[[#This Row],[Tech Start Date]]&lt;1/1/1990,"",IF(Main[[#This Row],[Class]]="C",WORKDAY(Main[[#This Row],[Tech Start Date]],19),IF(Main[[#This Row],[Class]]="B", WORKDAY(Main[[#This Row],[Tech Start Date]],12),IF(Main[[#This Row],[Class]]="A",WORKDAY(Main[[#This Row],[Tech Start Date]],4),""))))</f>
        <v/>
      </c>
      <c r="O349" s="77" t="str">
        <f>IF(Main[[#This Row],[Tech Start Date]]&lt;1/1/1990,"",IF(Main[[#This Row],[Class]]="C",WORKDAY(Main[[#This Row],[Tech Start Date]],23),IF(Main[[#This Row],[Class]]="B", WORKDAY(Main[[#This Row],[Tech Start Date]],15),IF(Main[[#This Row],[Class]]="A",WORKDAY(Main[[#This Row],[Tech Start Date]],5),""))))</f>
        <v/>
      </c>
      <c r="P349" s="77" t="str">
        <f>IF(Main[[#This Row],[Tech Start Date]]&lt;1/1/1990,"",IF(Main[[#This Row],[Class]]="C",WORKDAY(Main[[#This Row],[Tech Start Date]],28),IF(Main[[#This Row],[Class]]="B", WORKDAY(Main[[#This Row],[Tech Start Date]],19),IF(Main[[#This Row],[Class]]="A",WORKDAY(Main[[#This Row],[Tech Start Date]],9),""))))</f>
        <v/>
      </c>
      <c r="Q349" s="74">
        <v>40132</v>
      </c>
      <c r="R349" s="74"/>
      <c r="S349" s="72" t="s">
        <v>11</v>
      </c>
      <c r="T349" s="80" t="s">
        <v>4</v>
      </c>
      <c r="U349" s="72" t="s">
        <v>14</v>
      </c>
      <c r="V349" s="72" t="s">
        <v>1940</v>
      </c>
      <c r="W349" s="72" t="s">
        <v>1948</v>
      </c>
      <c r="X349" s="72" t="s">
        <v>3008</v>
      </c>
      <c r="Y349" s="72" t="s">
        <v>4</v>
      </c>
      <c r="Z349" s="72" t="s">
        <v>4</v>
      </c>
    </row>
    <row r="350" spans="1:26" ht="18.600000000000001" customHeight="1">
      <c r="A350" s="142" t="str">
        <f>IF(priority(Main[[#This Row],[Comments]])&lt;&gt;0, priority(Main[[#This Row],[Comments]]),"")</f>
        <v/>
      </c>
      <c r="B350" s="126" t="s">
        <v>1155</v>
      </c>
      <c r="C350" s="118" t="s">
        <v>93</v>
      </c>
      <c r="D350" s="119" t="s">
        <v>194</v>
      </c>
      <c r="E350" s="120"/>
      <c r="F350" s="120">
        <v>40132</v>
      </c>
      <c r="G350" s="121" t="str">
        <f>IF(stdProdLT(Main[[#This Row],[Comments]])=0.1,"N/A",IF(stdProdLT(Main[[#This Row],[Comments]])=0,"",stdProdLT(Main[[#This Row],[Comments]])))</f>
        <v/>
      </c>
      <c r="H350" s="122" t="str">
        <f>IF(AND(Main[[#This Row],[In Stock Date]]&lt;&gt;"",Main[[#This Row],[Revised Due Date]]&lt;&gt;""),Main[[#This Row],[In Stock Date]]-Main[[#This Row],[Revised Due Date]],"")</f>
        <v/>
      </c>
      <c r="I350" s="118" t="s">
        <v>4</v>
      </c>
      <c r="J350" s="118" t="s">
        <v>4</v>
      </c>
      <c r="K350" s="118" t="s">
        <v>4</v>
      </c>
      <c r="L350" s="120"/>
      <c r="M350" s="123" t="str">
        <f>IF(Main[[#This Row],[Tech Start Date]]&lt;1/1/1990,"",IF(Main[[#This Row],[Class]]="C",WORKDAY(Main[[#This Row],[Tech Start Date]],9),IF(Main[[#This Row],[Class]]="B", WORKDAY(Main[[#This Row],[Tech Start Date]],6),IF(Main[[#This Row],[Class]]="A",WORKDAY(Main[[#This Row],[Tech Start Date]],2),""))))</f>
        <v/>
      </c>
      <c r="N350" s="123" t="str">
        <f>IF(Main[[#This Row],[Tech Start Date]]&lt;1/1/1990,"",IF(Main[[#This Row],[Class]]="C",WORKDAY(Main[[#This Row],[Tech Start Date]],19),IF(Main[[#This Row],[Class]]="B", WORKDAY(Main[[#This Row],[Tech Start Date]],12),IF(Main[[#This Row],[Class]]="A",WORKDAY(Main[[#This Row],[Tech Start Date]],4),""))))</f>
        <v/>
      </c>
      <c r="O350" s="123" t="str">
        <f>IF(Main[[#This Row],[Tech Start Date]]&lt;1/1/1990,"",IF(Main[[#This Row],[Class]]="C",WORKDAY(Main[[#This Row],[Tech Start Date]],23),IF(Main[[#This Row],[Class]]="B", WORKDAY(Main[[#This Row],[Tech Start Date]],15),IF(Main[[#This Row],[Class]]="A",WORKDAY(Main[[#This Row],[Tech Start Date]],5),""))))</f>
        <v/>
      </c>
      <c r="P350" s="123" t="str">
        <f>IF(Main[[#This Row],[Tech Start Date]]&lt;1/1/1990,"",IF(Main[[#This Row],[Class]]="C",WORKDAY(Main[[#This Row],[Tech Start Date]],28),IF(Main[[#This Row],[Class]]="B", WORKDAY(Main[[#This Row],[Tech Start Date]],19),IF(Main[[#This Row],[Class]]="A",WORKDAY(Main[[#This Row],[Tech Start Date]],9),""))))</f>
        <v/>
      </c>
      <c r="Q350" s="120">
        <v>40132</v>
      </c>
      <c r="R350" s="120"/>
      <c r="S350" s="118" t="s">
        <v>11</v>
      </c>
      <c r="T350" s="124" t="s">
        <v>4</v>
      </c>
      <c r="U350" s="118" t="s">
        <v>14</v>
      </c>
      <c r="V350" s="118" t="s">
        <v>1940</v>
      </c>
      <c r="W350" s="118" t="s">
        <v>1948</v>
      </c>
      <c r="X350" s="118" t="s">
        <v>3008</v>
      </c>
      <c r="Y350" s="118" t="s">
        <v>4</v>
      </c>
      <c r="Z350" s="118" t="s">
        <v>4</v>
      </c>
    </row>
    <row r="351" spans="1:26" ht="18.600000000000001" customHeight="1">
      <c r="A351" s="142" t="str">
        <f>IF(priority(Main[[#This Row],[Comments]])&lt;&gt;0, priority(Main[[#This Row],[Comments]]),"")</f>
        <v/>
      </c>
      <c r="B351" s="90" t="s">
        <v>1156</v>
      </c>
      <c r="C351" s="72" t="s">
        <v>4</v>
      </c>
      <c r="D351" s="73" t="s">
        <v>195</v>
      </c>
      <c r="E351" s="74">
        <v>40371.395115740743</v>
      </c>
      <c r="F351" s="74"/>
      <c r="G351" s="75" t="str">
        <f>IF(stdProdLT(Main[[#This Row],[Comments]])=0.1,"N/A",IF(stdProdLT(Main[[#This Row],[Comments]])=0,"",stdProdLT(Main[[#This Row],[Comments]])))</f>
        <v/>
      </c>
      <c r="H351" s="76" t="str">
        <f>IF(AND(Main[[#This Row],[In Stock Date]]&lt;&gt;"",Main[[#This Row],[Revised Due Date]]&lt;&gt;""),Main[[#This Row],[In Stock Date]]-Main[[#This Row],[Revised Due Date]],"")</f>
        <v/>
      </c>
      <c r="I351" s="72" t="s">
        <v>4</v>
      </c>
      <c r="J351" s="72" t="s">
        <v>4</v>
      </c>
      <c r="K351" s="72" t="s">
        <v>4</v>
      </c>
      <c r="L351" s="74"/>
      <c r="M351" s="77" t="str">
        <f>IF(Main[[#This Row],[Tech Start Date]]&lt;1/1/1990,"",IF(Main[[#This Row],[Class]]="C",WORKDAY(Main[[#This Row],[Tech Start Date]],9),IF(Main[[#This Row],[Class]]="B", WORKDAY(Main[[#This Row],[Tech Start Date]],6),IF(Main[[#This Row],[Class]]="A",WORKDAY(Main[[#This Row],[Tech Start Date]],2),""))))</f>
        <v/>
      </c>
      <c r="N351" s="77" t="str">
        <f>IF(Main[[#This Row],[Tech Start Date]]&lt;1/1/1990,"",IF(Main[[#This Row],[Class]]="C",WORKDAY(Main[[#This Row],[Tech Start Date]],19),IF(Main[[#This Row],[Class]]="B", WORKDAY(Main[[#This Row],[Tech Start Date]],12),IF(Main[[#This Row],[Class]]="A",WORKDAY(Main[[#This Row],[Tech Start Date]],4),""))))</f>
        <v/>
      </c>
      <c r="O351" s="77" t="str">
        <f>IF(Main[[#This Row],[Tech Start Date]]&lt;1/1/1990,"",IF(Main[[#This Row],[Class]]="C",WORKDAY(Main[[#This Row],[Tech Start Date]],23),IF(Main[[#This Row],[Class]]="B", WORKDAY(Main[[#This Row],[Tech Start Date]],15),IF(Main[[#This Row],[Class]]="A",WORKDAY(Main[[#This Row],[Tech Start Date]],5),""))))</f>
        <v/>
      </c>
      <c r="P351" s="77" t="str">
        <f>IF(Main[[#This Row],[Tech Start Date]]&lt;1/1/1990,"",IF(Main[[#This Row],[Class]]="C",WORKDAY(Main[[#This Row],[Tech Start Date]],28),IF(Main[[#This Row],[Class]]="B", WORKDAY(Main[[#This Row],[Tech Start Date]],19),IF(Main[[#This Row],[Class]]="A",WORKDAY(Main[[#This Row],[Tech Start Date]],9),""))))</f>
        <v/>
      </c>
      <c r="Q351" s="74">
        <v>40385</v>
      </c>
      <c r="R351" s="74"/>
      <c r="S351" s="72" t="s">
        <v>6</v>
      </c>
      <c r="T351" s="80" t="s">
        <v>4</v>
      </c>
      <c r="U351" s="72" t="s">
        <v>7</v>
      </c>
      <c r="V351" s="72" t="s">
        <v>1937</v>
      </c>
      <c r="W351" s="72" t="s">
        <v>1939</v>
      </c>
      <c r="X351" s="72" t="s">
        <v>102</v>
      </c>
      <c r="Y351" s="72" t="s">
        <v>3159</v>
      </c>
      <c r="Z351" s="72" t="s">
        <v>4</v>
      </c>
    </row>
    <row r="352" spans="1:26" ht="18.600000000000001" customHeight="1">
      <c r="A352" s="142" t="str">
        <f>IF(priority(Main[[#This Row],[Comments]])&lt;&gt;0, priority(Main[[#This Row],[Comments]]),"")</f>
        <v/>
      </c>
      <c r="B352" s="90" t="s">
        <v>1157</v>
      </c>
      <c r="C352" s="72" t="s">
        <v>53</v>
      </c>
      <c r="D352" s="73" t="s">
        <v>196</v>
      </c>
      <c r="E352" s="74"/>
      <c r="F352" s="74"/>
      <c r="G352" s="75" t="str">
        <f>IF(stdProdLT(Main[[#This Row],[Comments]])=0.1,"N/A",IF(stdProdLT(Main[[#This Row],[Comments]])=0,"",stdProdLT(Main[[#This Row],[Comments]])))</f>
        <v/>
      </c>
      <c r="H352" s="76" t="str">
        <f>IF(AND(Main[[#This Row],[In Stock Date]]&lt;&gt;"",Main[[#This Row],[Revised Due Date]]&lt;&gt;""),Main[[#This Row],[In Stock Date]]-Main[[#This Row],[Revised Due Date]],"")</f>
        <v/>
      </c>
      <c r="I352" s="72" t="s">
        <v>4</v>
      </c>
      <c r="J352" s="72" t="s">
        <v>28</v>
      </c>
      <c r="K352" s="72" t="s">
        <v>1944</v>
      </c>
      <c r="L352" s="74"/>
      <c r="M352" s="77" t="str">
        <f>IF(Main[[#This Row],[Tech Start Date]]&lt;1/1/1990,"",IF(Main[[#This Row],[Class]]="C",WORKDAY(Main[[#This Row],[Tech Start Date]],9),IF(Main[[#This Row],[Class]]="B", WORKDAY(Main[[#This Row],[Tech Start Date]],6),IF(Main[[#This Row],[Class]]="A",WORKDAY(Main[[#This Row],[Tech Start Date]],2),""))))</f>
        <v/>
      </c>
      <c r="N352" s="77" t="str">
        <f>IF(Main[[#This Row],[Tech Start Date]]&lt;1/1/1990,"",IF(Main[[#This Row],[Class]]="C",WORKDAY(Main[[#This Row],[Tech Start Date]],19),IF(Main[[#This Row],[Class]]="B", WORKDAY(Main[[#This Row],[Tech Start Date]],12),IF(Main[[#This Row],[Class]]="A",WORKDAY(Main[[#This Row],[Tech Start Date]],4),""))))</f>
        <v/>
      </c>
      <c r="O352" s="77" t="str">
        <f>IF(Main[[#This Row],[Tech Start Date]]&lt;1/1/1990,"",IF(Main[[#This Row],[Class]]="C",WORKDAY(Main[[#This Row],[Tech Start Date]],23),IF(Main[[#This Row],[Class]]="B", WORKDAY(Main[[#This Row],[Tech Start Date]],15),IF(Main[[#This Row],[Class]]="A",WORKDAY(Main[[#This Row],[Tech Start Date]],5),""))))</f>
        <v/>
      </c>
      <c r="P352" s="77" t="str">
        <f>IF(Main[[#This Row],[Tech Start Date]]&lt;1/1/1990,"",IF(Main[[#This Row],[Class]]="C",WORKDAY(Main[[#This Row],[Tech Start Date]],28),IF(Main[[#This Row],[Class]]="B", WORKDAY(Main[[#This Row],[Tech Start Date]],19),IF(Main[[#This Row],[Class]]="A",WORKDAY(Main[[#This Row],[Tech Start Date]],9),""))))</f>
        <v/>
      </c>
      <c r="Q352" s="74">
        <v>40581</v>
      </c>
      <c r="R352" s="74"/>
      <c r="S352" s="72" t="s">
        <v>11</v>
      </c>
      <c r="T352" s="80" t="s">
        <v>4</v>
      </c>
      <c r="U352" s="72" t="s">
        <v>14</v>
      </c>
      <c r="V352" s="72" t="s">
        <v>1938</v>
      </c>
      <c r="W352" s="72" t="s">
        <v>1939</v>
      </c>
      <c r="X352" s="72" t="s">
        <v>2967</v>
      </c>
      <c r="Y352" s="72" t="s">
        <v>3085</v>
      </c>
      <c r="Z352" s="72" t="s">
        <v>3322</v>
      </c>
    </row>
    <row r="353" spans="1:26" ht="18.600000000000001" customHeight="1">
      <c r="A353" s="142" t="str">
        <f>IF(priority(Main[[#This Row],[Comments]])&lt;&gt;0, priority(Main[[#This Row],[Comments]]),"")</f>
        <v/>
      </c>
      <c r="B353" s="90" t="s">
        <v>1865</v>
      </c>
      <c r="C353" s="72" t="s">
        <v>4</v>
      </c>
      <c r="D353" s="73" t="s">
        <v>914</v>
      </c>
      <c r="E353" s="74"/>
      <c r="F353" s="74"/>
      <c r="G353" s="75" t="str">
        <f>IF(stdProdLT(Main[[#This Row],[Comments]])=0.1,"N/A",IF(stdProdLT(Main[[#This Row],[Comments]])=0,"",stdProdLT(Main[[#This Row],[Comments]])))</f>
        <v/>
      </c>
      <c r="H353" s="76" t="str">
        <f>IF(AND(Main[[#This Row],[In Stock Date]]&lt;&gt;"",Main[[#This Row],[Revised Due Date]]&lt;&gt;""),Main[[#This Row],[In Stock Date]]-Main[[#This Row],[Revised Due Date]],"")</f>
        <v/>
      </c>
      <c r="I353" s="72" t="s">
        <v>102</v>
      </c>
      <c r="J353" s="72" t="s">
        <v>52</v>
      </c>
      <c r="K353" s="72" t="s">
        <v>1946</v>
      </c>
      <c r="L353" s="74"/>
      <c r="M353" s="77" t="str">
        <f>IF(Main[[#This Row],[Tech Start Date]]&lt;1/1/1990,"",IF(Main[[#This Row],[Class]]="C",WORKDAY(Main[[#This Row],[Tech Start Date]],9),IF(Main[[#This Row],[Class]]="B", WORKDAY(Main[[#This Row],[Tech Start Date]],6),IF(Main[[#This Row],[Class]]="A",WORKDAY(Main[[#This Row],[Tech Start Date]],2),""))))</f>
        <v/>
      </c>
      <c r="N353" s="77" t="str">
        <f>IF(Main[[#This Row],[Tech Start Date]]&lt;1/1/1990,"",IF(Main[[#This Row],[Class]]="C",WORKDAY(Main[[#This Row],[Tech Start Date]],19),IF(Main[[#This Row],[Class]]="B", WORKDAY(Main[[#This Row],[Tech Start Date]],12),IF(Main[[#This Row],[Class]]="A",WORKDAY(Main[[#This Row],[Tech Start Date]],4),""))))</f>
        <v/>
      </c>
      <c r="O353" s="77" t="str">
        <f>IF(Main[[#This Row],[Tech Start Date]]&lt;1/1/1990,"",IF(Main[[#This Row],[Class]]="C",WORKDAY(Main[[#This Row],[Tech Start Date]],23),IF(Main[[#This Row],[Class]]="B", WORKDAY(Main[[#This Row],[Tech Start Date]],15),IF(Main[[#This Row],[Class]]="A",WORKDAY(Main[[#This Row],[Tech Start Date]],5),""))))</f>
        <v/>
      </c>
      <c r="P353" s="77" t="str">
        <f>IF(Main[[#This Row],[Tech Start Date]]&lt;1/1/1990,"",IF(Main[[#This Row],[Class]]="C",WORKDAY(Main[[#This Row],[Tech Start Date]],28),IF(Main[[#This Row],[Class]]="B", WORKDAY(Main[[#This Row],[Tech Start Date]],19),IF(Main[[#This Row],[Class]]="A",WORKDAY(Main[[#This Row],[Tech Start Date]],9),""))))</f>
        <v/>
      </c>
      <c r="Q353" s="74"/>
      <c r="R353" s="74">
        <v>40494</v>
      </c>
      <c r="S353" s="72" t="s">
        <v>6</v>
      </c>
      <c r="T353" s="80" t="s">
        <v>4</v>
      </c>
      <c r="U353" s="72" t="s">
        <v>14</v>
      </c>
      <c r="V353" s="72" t="s">
        <v>1937</v>
      </c>
      <c r="W353" s="72" t="s">
        <v>1951</v>
      </c>
      <c r="X353" s="72" t="s">
        <v>2079</v>
      </c>
      <c r="Y353" s="72" t="s">
        <v>3160</v>
      </c>
      <c r="Z353" s="72" t="s">
        <v>3323</v>
      </c>
    </row>
    <row r="354" spans="1:26" ht="18.600000000000001" customHeight="1">
      <c r="A354" s="142" t="str">
        <f>IF(priority(Main[[#This Row],[Comments]])&lt;&gt;0, priority(Main[[#This Row],[Comments]]),"")</f>
        <v/>
      </c>
      <c r="B354" s="90" t="s">
        <v>1176</v>
      </c>
      <c r="C354" s="72" t="s">
        <v>4</v>
      </c>
      <c r="D354" s="73" t="s">
        <v>2384</v>
      </c>
      <c r="E354" s="74">
        <v>40436.507916666669</v>
      </c>
      <c r="F354" s="74"/>
      <c r="G354" s="75" t="str">
        <f>IF(stdProdLT(Main[[#This Row],[Comments]])=0.1,"N/A",IF(stdProdLT(Main[[#This Row],[Comments]])=0,"",stdProdLT(Main[[#This Row],[Comments]])))</f>
        <v/>
      </c>
      <c r="H354" s="76" t="str">
        <f>IF(AND(Main[[#This Row],[In Stock Date]]&lt;&gt;"",Main[[#This Row],[Revised Due Date]]&lt;&gt;""),Main[[#This Row],[In Stock Date]]-Main[[#This Row],[Revised Due Date]],"")</f>
        <v/>
      </c>
      <c r="I354" s="72" t="s">
        <v>927</v>
      </c>
      <c r="J354" s="72" t="s">
        <v>52</v>
      </c>
      <c r="K354" s="72" t="s">
        <v>4</v>
      </c>
      <c r="L354" s="74"/>
      <c r="M354" s="77" t="str">
        <f>IF(Main[[#This Row],[Tech Start Date]]&lt;1/1/1990,"",IF(Main[[#This Row],[Class]]="C",WORKDAY(Main[[#This Row],[Tech Start Date]],9),IF(Main[[#This Row],[Class]]="B", WORKDAY(Main[[#This Row],[Tech Start Date]],6),IF(Main[[#This Row],[Class]]="A",WORKDAY(Main[[#This Row],[Tech Start Date]],2),""))))</f>
        <v/>
      </c>
      <c r="N354" s="77" t="str">
        <f>IF(Main[[#This Row],[Tech Start Date]]&lt;1/1/1990,"",IF(Main[[#This Row],[Class]]="C",WORKDAY(Main[[#This Row],[Tech Start Date]],19),IF(Main[[#This Row],[Class]]="B", WORKDAY(Main[[#This Row],[Tech Start Date]],12),IF(Main[[#This Row],[Class]]="A",WORKDAY(Main[[#This Row],[Tech Start Date]],4),""))))</f>
        <v/>
      </c>
      <c r="O354" s="77" t="str">
        <f>IF(Main[[#This Row],[Tech Start Date]]&lt;1/1/1990,"",IF(Main[[#This Row],[Class]]="C",WORKDAY(Main[[#This Row],[Tech Start Date]],23),IF(Main[[#This Row],[Class]]="B", WORKDAY(Main[[#This Row],[Tech Start Date]],15),IF(Main[[#This Row],[Class]]="A",WORKDAY(Main[[#This Row],[Tech Start Date]],5),""))))</f>
        <v/>
      </c>
      <c r="P354" s="77" t="str">
        <f>IF(Main[[#This Row],[Tech Start Date]]&lt;1/1/1990,"",IF(Main[[#This Row],[Class]]="C",WORKDAY(Main[[#This Row],[Tech Start Date]],28),IF(Main[[#This Row],[Class]]="B", WORKDAY(Main[[#This Row],[Tech Start Date]],19),IF(Main[[#This Row],[Class]]="A",WORKDAY(Main[[#This Row],[Tech Start Date]],9),""))))</f>
        <v/>
      </c>
      <c r="Q354" s="74">
        <v>40451</v>
      </c>
      <c r="R354" s="74"/>
      <c r="S354" s="72" t="s">
        <v>6</v>
      </c>
      <c r="T354" s="80" t="s">
        <v>4</v>
      </c>
      <c r="U354" s="72" t="s">
        <v>29</v>
      </c>
      <c r="V354" s="72" t="s">
        <v>1937</v>
      </c>
      <c r="W354" s="72" t="s">
        <v>1939</v>
      </c>
      <c r="X354" s="72" t="s">
        <v>3019</v>
      </c>
      <c r="Y354" s="72" t="s">
        <v>3161</v>
      </c>
      <c r="Z354" s="72" t="s">
        <v>536</v>
      </c>
    </row>
    <row r="355" spans="1:26" ht="18.600000000000001" customHeight="1">
      <c r="A355" s="142" t="str">
        <f>IF(priority(Main[[#This Row],[Comments]])&lt;&gt;0, priority(Main[[#This Row],[Comments]]),"")</f>
        <v/>
      </c>
      <c r="B355" s="90" t="s">
        <v>1201</v>
      </c>
      <c r="C355" s="72" t="s">
        <v>246</v>
      </c>
      <c r="D355" s="73" t="s">
        <v>247</v>
      </c>
      <c r="E355" s="74"/>
      <c r="F355" s="74">
        <v>40299</v>
      </c>
      <c r="G355" s="75" t="str">
        <f>IF(stdProdLT(Main[[#This Row],[Comments]])=0.1,"N/A",IF(stdProdLT(Main[[#This Row],[Comments]])=0,"",stdProdLT(Main[[#This Row],[Comments]])))</f>
        <v/>
      </c>
      <c r="H355" s="76" t="str">
        <f>IF(AND(Main[[#This Row],[In Stock Date]]&lt;&gt;"",Main[[#This Row],[Revised Due Date]]&lt;&gt;""),Main[[#This Row],[In Stock Date]]-Main[[#This Row],[Revised Due Date]],"")</f>
        <v/>
      </c>
      <c r="I355" s="72" t="s">
        <v>4</v>
      </c>
      <c r="J355" s="72" t="s">
        <v>4</v>
      </c>
      <c r="K355" s="72" t="s">
        <v>4</v>
      </c>
      <c r="L355" s="74"/>
      <c r="M355" s="77" t="str">
        <f>IF(Main[[#This Row],[Tech Start Date]]&lt;1/1/1990,"",IF(Main[[#This Row],[Class]]="C",WORKDAY(Main[[#This Row],[Tech Start Date]],9),IF(Main[[#This Row],[Class]]="B", WORKDAY(Main[[#This Row],[Tech Start Date]],6),IF(Main[[#This Row],[Class]]="A",WORKDAY(Main[[#This Row],[Tech Start Date]],2),""))))</f>
        <v/>
      </c>
      <c r="N355" s="77" t="str">
        <f>IF(Main[[#This Row],[Tech Start Date]]&lt;1/1/1990,"",IF(Main[[#This Row],[Class]]="C",WORKDAY(Main[[#This Row],[Tech Start Date]],19),IF(Main[[#This Row],[Class]]="B", WORKDAY(Main[[#This Row],[Tech Start Date]],12),IF(Main[[#This Row],[Class]]="A",WORKDAY(Main[[#This Row],[Tech Start Date]],4),""))))</f>
        <v/>
      </c>
      <c r="O355" s="77" t="str">
        <f>IF(Main[[#This Row],[Tech Start Date]]&lt;1/1/1990,"",IF(Main[[#This Row],[Class]]="C",WORKDAY(Main[[#This Row],[Tech Start Date]],23),IF(Main[[#This Row],[Class]]="B", WORKDAY(Main[[#This Row],[Tech Start Date]],15),IF(Main[[#This Row],[Class]]="A",WORKDAY(Main[[#This Row],[Tech Start Date]],5),""))))</f>
        <v/>
      </c>
      <c r="P355" s="77" t="str">
        <f>IF(Main[[#This Row],[Tech Start Date]]&lt;1/1/1990,"",IF(Main[[#This Row],[Class]]="C",WORKDAY(Main[[#This Row],[Tech Start Date]],28),IF(Main[[#This Row],[Class]]="B", WORKDAY(Main[[#This Row],[Tech Start Date]],19),IF(Main[[#This Row],[Class]]="A",WORKDAY(Main[[#This Row],[Tech Start Date]],9),""))))</f>
        <v/>
      </c>
      <c r="Q355" s="74">
        <v>40241</v>
      </c>
      <c r="R355" s="74"/>
      <c r="S355" s="72" t="s">
        <v>11</v>
      </c>
      <c r="T355" s="80" t="s">
        <v>4</v>
      </c>
      <c r="U355" s="72" t="s">
        <v>14</v>
      </c>
      <c r="V355" s="72" t="s">
        <v>1947</v>
      </c>
      <c r="W355" s="72" t="s">
        <v>1945</v>
      </c>
      <c r="X355" s="72" t="s">
        <v>3020</v>
      </c>
      <c r="Y355" s="72" t="s">
        <v>3170</v>
      </c>
      <c r="Z355" s="72" t="s">
        <v>4</v>
      </c>
    </row>
    <row r="356" spans="1:26" ht="18.600000000000001" customHeight="1">
      <c r="A356" s="142" t="str">
        <f>IF(priority(Main[[#This Row],[Comments]])&lt;&gt;0, priority(Main[[#This Row],[Comments]]),"")</f>
        <v/>
      </c>
      <c r="B356" s="90" t="s">
        <v>1202</v>
      </c>
      <c r="C356" s="72" t="s">
        <v>4</v>
      </c>
      <c r="D356" s="73" t="s">
        <v>39</v>
      </c>
      <c r="E356" s="74"/>
      <c r="F356" s="74"/>
      <c r="G356" s="75" t="str">
        <f>IF(stdProdLT(Main[[#This Row],[Comments]])=0.1,"N/A",IF(stdProdLT(Main[[#This Row],[Comments]])=0,"",stdProdLT(Main[[#This Row],[Comments]])))</f>
        <v/>
      </c>
      <c r="H356" s="76" t="str">
        <f>IF(AND(Main[[#This Row],[In Stock Date]]&lt;&gt;"",Main[[#This Row],[Revised Due Date]]&lt;&gt;""),Main[[#This Row],[In Stock Date]]-Main[[#This Row],[Revised Due Date]],"")</f>
        <v/>
      </c>
      <c r="I356" s="72" t="s">
        <v>4</v>
      </c>
      <c r="J356" s="72" t="s">
        <v>4</v>
      </c>
      <c r="K356" s="72" t="s">
        <v>4</v>
      </c>
      <c r="L356" s="74"/>
      <c r="M356" s="77" t="str">
        <f>IF(Main[[#This Row],[Tech Start Date]]&lt;1/1/1990,"",IF(Main[[#This Row],[Class]]="C",WORKDAY(Main[[#This Row],[Tech Start Date]],9),IF(Main[[#This Row],[Class]]="B", WORKDAY(Main[[#This Row],[Tech Start Date]],6),IF(Main[[#This Row],[Class]]="A",WORKDAY(Main[[#This Row],[Tech Start Date]],2),""))))</f>
        <v/>
      </c>
      <c r="N356" s="77" t="str">
        <f>IF(Main[[#This Row],[Tech Start Date]]&lt;1/1/1990,"",IF(Main[[#This Row],[Class]]="C",WORKDAY(Main[[#This Row],[Tech Start Date]],19),IF(Main[[#This Row],[Class]]="B", WORKDAY(Main[[#This Row],[Tech Start Date]],12),IF(Main[[#This Row],[Class]]="A",WORKDAY(Main[[#This Row],[Tech Start Date]],4),""))))</f>
        <v/>
      </c>
      <c r="O356" s="77" t="str">
        <f>IF(Main[[#This Row],[Tech Start Date]]&lt;1/1/1990,"",IF(Main[[#This Row],[Class]]="C",WORKDAY(Main[[#This Row],[Tech Start Date]],23),IF(Main[[#This Row],[Class]]="B", WORKDAY(Main[[#This Row],[Tech Start Date]],15),IF(Main[[#This Row],[Class]]="A",WORKDAY(Main[[#This Row],[Tech Start Date]],5),""))))</f>
        <v/>
      </c>
      <c r="P356" s="77" t="str">
        <f>IF(Main[[#This Row],[Tech Start Date]]&lt;1/1/1990,"",IF(Main[[#This Row],[Class]]="C",WORKDAY(Main[[#This Row],[Tech Start Date]],28),IF(Main[[#This Row],[Class]]="B", WORKDAY(Main[[#This Row],[Tech Start Date]],19),IF(Main[[#This Row],[Class]]="A",WORKDAY(Main[[#This Row],[Tech Start Date]],9),""))))</f>
        <v/>
      </c>
      <c r="Q356" s="74">
        <v>40669</v>
      </c>
      <c r="R356" s="74"/>
      <c r="S356" s="72" t="s">
        <v>6</v>
      </c>
      <c r="T356" s="80" t="s">
        <v>4</v>
      </c>
      <c r="U356" s="72" t="s">
        <v>14</v>
      </c>
      <c r="V356" s="72" t="s">
        <v>1940</v>
      </c>
      <c r="W356" s="72" t="s">
        <v>4</v>
      </c>
      <c r="X356" s="72" t="s">
        <v>2970</v>
      </c>
      <c r="Y356" s="72" t="s">
        <v>3087</v>
      </c>
      <c r="Z356" s="72" t="s">
        <v>4</v>
      </c>
    </row>
    <row r="357" spans="1:26" ht="18.600000000000001" customHeight="1">
      <c r="A357" s="142" t="str">
        <f>IF(priority(Main[[#This Row],[Comments]])&lt;&gt;0, priority(Main[[#This Row],[Comments]]),"")</f>
        <v/>
      </c>
      <c r="B357" s="90" t="s">
        <v>2099</v>
      </c>
      <c r="C357" s="72" t="s">
        <v>4</v>
      </c>
      <c r="D357" s="73" t="s">
        <v>2100</v>
      </c>
      <c r="E357" s="74">
        <v>40774.330196759256</v>
      </c>
      <c r="F357" s="74"/>
      <c r="G357" s="75" t="str">
        <f>IF(stdProdLT(Main[[#This Row],[Comments]])=0.1,"N/A",IF(stdProdLT(Main[[#This Row],[Comments]])=0,"",stdProdLT(Main[[#This Row],[Comments]])))</f>
        <v/>
      </c>
      <c r="H357" s="76" t="str">
        <f>IF(AND(Main[[#This Row],[In Stock Date]]&lt;&gt;"",Main[[#This Row],[Revised Due Date]]&lt;&gt;""),Main[[#This Row],[In Stock Date]]-Main[[#This Row],[Revised Due Date]],"")</f>
        <v/>
      </c>
      <c r="I357" s="72" t="s">
        <v>4</v>
      </c>
      <c r="J357" s="72" t="s">
        <v>4</v>
      </c>
      <c r="K357" s="81" t="s">
        <v>4</v>
      </c>
      <c r="L357" s="74"/>
      <c r="M357" s="77" t="str">
        <f>IF(Main[[#This Row],[Tech Start Date]]&lt;1/1/1990,"",IF(Main[[#This Row],[Class]]="C",WORKDAY(Main[[#This Row],[Tech Start Date]],9),IF(Main[[#This Row],[Class]]="B", WORKDAY(Main[[#This Row],[Tech Start Date]],6),IF(Main[[#This Row],[Class]]="A",WORKDAY(Main[[#This Row],[Tech Start Date]],2),""))))</f>
        <v/>
      </c>
      <c r="N357" s="77" t="str">
        <f>IF(Main[[#This Row],[Tech Start Date]]&lt;1/1/1990,"",IF(Main[[#This Row],[Class]]="C",WORKDAY(Main[[#This Row],[Tech Start Date]],19),IF(Main[[#This Row],[Class]]="B", WORKDAY(Main[[#This Row],[Tech Start Date]],12),IF(Main[[#This Row],[Class]]="A",WORKDAY(Main[[#This Row],[Tech Start Date]],4),""))))</f>
        <v/>
      </c>
      <c r="O357" s="77" t="str">
        <f>IF(Main[[#This Row],[Tech Start Date]]&lt;1/1/1990,"",IF(Main[[#This Row],[Class]]="C",WORKDAY(Main[[#This Row],[Tech Start Date]],23),IF(Main[[#This Row],[Class]]="B", WORKDAY(Main[[#This Row],[Tech Start Date]],15),IF(Main[[#This Row],[Class]]="A",WORKDAY(Main[[#This Row],[Tech Start Date]],5),""))))</f>
        <v/>
      </c>
      <c r="P357" s="77" t="str">
        <f>IF(Main[[#This Row],[Tech Start Date]]&lt;1/1/1990,"",IF(Main[[#This Row],[Class]]="C",WORKDAY(Main[[#This Row],[Tech Start Date]],28),IF(Main[[#This Row],[Class]]="B", WORKDAY(Main[[#This Row],[Tech Start Date]],19),IF(Main[[#This Row],[Class]]="A",WORKDAY(Main[[#This Row],[Tech Start Date]],9),""))))</f>
        <v/>
      </c>
      <c r="Q357" s="74">
        <v>40788</v>
      </c>
      <c r="R357" s="74"/>
      <c r="S357" s="72" t="s">
        <v>6</v>
      </c>
      <c r="T357" s="80" t="s">
        <v>4</v>
      </c>
      <c r="U357" s="72" t="s">
        <v>7</v>
      </c>
      <c r="V357" s="72" t="s">
        <v>1937</v>
      </c>
      <c r="W357" s="72" t="s">
        <v>4</v>
      </c>
      <c r="X357" s="72" t="s">
        <v>3003</v>
      </c>
      <c r="Y357" s="72" t="s">
        <v>3144</v>
      </c>
      <c r="Z357" s="72" t="s">
        <v>4</v>
      </c>
    </row>
    <row r="358" spans="1:26" ht="18.600000000000001" customHeight="1">
      <c r="A358" s="142" t="str">
        <f>IF(priority(Main[[#This Row],[Comments]])&lt;&gt;0, priority(Main[[#This Row],[Comments]]),"")</f>
        <v/>
      </c>
      <c r="B358" s="90" t="s">
        <v>1203</v>
      </c>
      <c r="C358" s="72" t="s">
        <v>248</v>
      </c>
      <c r="D358" s="73" t="s">
        <v>249</v>
      </c>
      <c r="E358" s="74"/>
      <c r="F358" s="74"/>
      <c r="G358" s="75" t="str">
        <f>IF(stdProdLT(Main[[#This Row],[Comments]])=0.1,"N/A",IF(stdProdLT(Main[[#This Row],[Comments]])=0,"",stdProdLT(Main[[#This Row],[Comments]])))</f>
        <v/>
      </c>
      <c r="H358" s="76" t="str">
        <f>IF(AND(Main[[#This Row],[In Stock Date]]&lt;&gt;"",Main[[#This Row],[Revised Due Date]]&lt;&gt;""),Main[[#This Row],[In Stock Date]]-Main[[#This Row],[Revised Due Date]],"")</f>
        <v/>
      </c>
      <c r="I358" s="72" t="s">
        <v>4</v>
      </c>
      <c r="J358" s="72" t="s">
        <v>4</v>
      </c>
      <c r="K358" s="72" t="s">
        <v>4</v>
      </c>
      <c r="L358" s="74"/>
      <c r="M358" s="77" t="str">
        <f>IF(Main[[#This Row],[Tech Start Date]]&lt;1/1/1990,"",IF(Main[[#This Row],[Class]]="C",WORKDAY(Main[[#This Row],[Tech Start Date]],9),IF(Main[[#This Row],[Class]]="B", WORKDAY(Main[[#This Row],[Tech Start Date]],6),IF(Main[[#This Row],[Class]]="A",WORKDAY(Main[[#This Row],[Tech Start Date]],2),""))))</f>
        <v/>
      </c>
      <c r="N358" s="77" t="str">
        <f>IF(Main[[#This Row],[Tech Start Date]]&lt;1/1/1990,"",IF(Main[[#This Row],[Class]]="C",WORKDAY(Main[[#This Row],[Tech Start Date]],19),IF(Main[[#This Row],[Class]]="B", WORKDAY(Main[[#This Row],[Tech Start Date]],12),IF(Main[[#This Row],[Class]]="A",WORKDAY(Main[[#This Row],[Tech Start Date]],4),""))))</f>
        <v/>
      </c>
      <c r="O358" s="77" t="str">
        <f>IF(Main[[#This Row],[Tech Start Date]]&lt;1/1/1990,"",IF(Main[[#This Row],[Class]]="C",WORKDAY(Main[[#This Row],[Tech Start Date]],23),IF(Main[[#This Row],[Class]]="B", WORKDAY(Main[[#This Row],[Tech Start Date]],15),IF(Main[[#This Row],[Class]]="A",WORKDAY(Main[[#This Row],[Tech Start Date]],5),""))))</f>
        <v/>
      </c>
      <c r="P358" s="77" t="str">
        <f>IF(Main[[#This Row],[Tech Start Date]]&lt;1/1/1990,"",IF(Main[[#This Row],[Class]]="C",WORKDAY(Main[[#This Row],[Tech Start Date]],28),IF(Main[[#This Row],[Class]]="B", WORKDAY(Main[[#This Row],[Tech Start Date]],19),IF(Main[[#This Row],[Class]]="A",WORKDAY(Main[[#This Row],[Tech Start Date]],9),""))))</f>
        <v/>
      </c>
      <c r="Q358" s="74">
        <v>40325</v>
      </c>
      <c r="R358" s="74"/>
      <c r="S358" s="72" t="s">
        <v>11</v>
      </c>
      <c r="T358" s="80" t="s">
        <v>4</v>
      </c>
      <c r="U358" s="72" t="s">
        <v>12</v>
      </c>
      <c r="V358" s="72" t="s">
        <v>1938</v>
      </c>
      <c r="W358" s="72" t="s">
        <v>1943</v>
      </c>
      <c r="X358" s="72" t="s">
        <v>50</v>
      </c>
      <c r="Y358" s="72" t="s">
        <v>3171</v>
      </c>
      <c r="Z358" s="72" t="s">
        <v>4</v>
      </c>
    </row>
    <row r="359" spans="1:26" ht="18.600000000000001" customHeight="1">
      <c r="A359" s="142" t="str">
        <f>IF(priority(Main[[#This Row],[Comments]])&lt;&gt;0, priority(Main[[#This Row],[Comments]]),"")</f>
        <v/>
      </c>
      <c r="B359" s="90" t="s">
        <v>1706</v>
      </c>
      <c r="C359" s="72" t="s">
        <v>79</v>
      </c>
      <c r="D359" s="73" t="s">
        <v>751</v>
      </c>
      <c r="E359" s="74">
        <v>40458.641226851854</v>
      </c>
      <c r="F359" s="74"/>
      <c r="G359" s="75" t="str">
        <f>IF(stdProdLT(Main[[#This Row],[Comments]])=0.1,"N/A",IF(stdProdLT(Main[[#This Row],[Comments]])=0,"",stdProdLT(Main[[#This Row],[Comments]])))</f>
        <v/>
      </c>
      <c r="H359" s="76" t="str">
        <f>IF(AND(Main[[#This Row],[In Stock Date]]&lt;&gt;"",Main[[#This Row],[Revised Due Date]]&lt;&gt;""),Main[[#This Row],[In Stock Date]]-Main[[#This Row],[Revised Due Date]],"")</f>
        <v/>
      </c>
      <c r="I359" s="72" t="s">
        <v>4</v>
      </c>
      <c r="J359" s="72" t="s">
        <v>28</v>
      </c>
      <c r="K359" s="72" t="s">
        <v>1949</v>
      </c>
      <c r="L359" s="74"/>
      <c r="M359" s="77" t="str">
        <f>IF(Main[[#This Row],[Tech Start Date]]&lt;1/1/1990,"",IF(Main[[#This Row],[Class]]="C",WORKDAY(Main[[#This Row],[Tech Start Date]],9),IF(Main[[#This Row],[Class]]="B", WORKDAY(Main[[#This Row],[Tech Start Date]],6),IF(Main[[#This Row],[Class]]="A",WORKDAY(Main[[#This Row],[Tech Start Date]],2),""))))</f>
        <v/>
      </c>
      <c r="N359" s="77" t="str">
        <f>IF(Main[[#This Row],[Tech Start Date]]&lt;1/1/1990,"",IF(Main[[#This Row],[Class]]="C",WORKDAY(Main[[#This Row],[Tech Start Date]],19),IF(Main[[#This Row],[Class]]="B", WORKDAY(Main[[#This Row],[Tech Start Date]],12),IF(Main[[#This Row],[Class]]="A",WORKDAY(Main[[#This Row],[Tech Start Date]],4),""))))</f>
        <v/>
      </c>
      <c r="O359" s="77" t="str">
        <f>IF(Main[[#This Row],[Tech Start Date]]&lt;1/1/1990,"",IF(Main[[#This Row],[Class]]="C",WORKDAY(Main[[#This Row],[Tech Start Date]],23),IF(Main[[#This Row],[Class]]="B", WORKDAY(Main[[#This Row],[Tech Start Date]],15),IF(Main[[#This Row],[Class]]="A",WORKDAY(Main[[#This Row],[Tech Start Date]],5),""))))</f>
        <v/>
      </c>
      <c r="P359" s="77" t="str">
        <f>IF(Main[[#This Row],[Tech Start Date]]&lt;1/1/1990,"",IF(Main[[#This Row],[Class]]="C",WORKDAY(Main[[#This Row],[Tech Start Date]],28),IF(Main[[#This Row],[Class]]="B", WORKDAY(Main[[#This Row],[Tech Start Date]],19),IF(Main[[#This Row],[Class]]="A",WORKDAY(Main[[#This Row],[Tech Start Date]],9),""))))</f>
        <v/>
      </c>
      <c r="Q359" s="74">
        <v>40486</v>
      </c>
      <c r="R359" s="74"/>
      <c r="S359" s="72" t="s">
        <v>17</v>
      </c>
      <c r="T359" s="80" t="s">
        <v>4</v>
      </c>
      <c r="U359" s="72" t="s">
        <v>7</v>
      </c>
      <c r="V359" s="72" t="s">
        <v>1937</v>
      </c>
      <c r="W359" s="72" t="s">
        <v>1942</v>
      </c>
      <c r="X359" s="72" t="s">
        <v>2973</v>
      </c>
      <c r="Y359" s="72" t="s">
        <v>3094</v>
      </c>
      <c r="Z359" s="72" t="s">
        <v>129</v>
      </c>
    </row>
    <row r="360" spans="1:26" ht="18.600000000000001" customHeight="1">
      <c r="A360" s="142" t="str">
        <f>IF(priority(Main[[#This Row],[Comments]])&lt;&gt;0, priority(Main[[#This Row],[Comments]]),"")</f>
        <v/>
      </c>
      <c r="B360" s="90" t="s">
        <v>2067</v>
      </c>
      <c r="C360" s="72" t="s">
        <v>4</v>
      </c>
      <c r="D360" s="73" t="s">
        <v>2068</v>
      </c>
      <c r="E360" s="74"/>
      <c r="F360" s="74"/>
      <c r="G360" s="75" t="str">
        <f>IF(stdProdLT(Main[[#This Row],[Comments]])=0.1,"N/A",IF(stdProdLT(Main[[#This Row],[Comments]])=0,"",stdProdLT(Main[[#This Row],[Comments]])))</f>
        <v/>
      </c>
      <c r="H360" s="76" t="str">
        <f>IF(AND(Main[[#This Row],[In Stock Date]]&lt;&gt;"",Main[[#This Row],[Revised Due Date]]&lt;&gt;""),Main[[#This Row],[In Stock Date]]-Main[[#This Row],[Revised Due Date]],"")</f>
        <v/>
      </c>
      <c r="I360" s="72" t="s">
        <v>4</v>
      </c>
      <c r="J360" s="72" t="s">
        <v>4</v>
      </c>
      <c r="K360" s="72" t="s">
        <v>4</v>
      </c>
      <c r="L360" s="74"/>
      <c r="M360" s="77" t="str">
        <f>IF(Main[[#This Row],[Tech Start Date]]&lt;1/1/1990,"",IF(Main[[#This Row],[Class]]="C",WORKDAY(Main[[#This Row],[Tech Start Date]],9),IF(Main[[#This Row],[Class]]="B", WORKDAY(Main[[#This Row],[Tech Start Date]],6),IF(Main[[#This Row],[Class]]="A",WORKDAY(Main[[#This Row],[Tech Start Date]],2),""))))</f>
        <v/>
      </c>
      <c r="N360" s="77" t="str">
        <f>IF(Main[[#This Row],[Tech Start Date]]&lt;1/1/1990,"",IF(Main[[#This Row],[Class]]="C",WORKDAY(Main[[#This Row],[Tech Start Date]],19),IF(Main[[#This Row],[Class]]="B", WORKDAY(Main[[#This Row],[Tech Start Date]],12),IF(Main[[#This Row],[Class]]="A",WORKDAY(Main[[#This Row],[Tech Start Date]],4),""))))</f>
        <v/>
      </c>
      <c r="O360" s="77" t="str">
        <f>IF(Main[[#This Row],[Tech Start Date]]&lt;1/1/1990,"",IF(Main[[#This Row],[Class]]="C",WORKDAY(Main[[#This Row],[Tech Start Date]],23),IF(Main[[#This Row],[Class]]="B", WORKDAY(Main[[#This Row],[Tech Start Date]],15),IF(Main[[#This Row],[Class]]="A",WORKDAY(Main[[#This Row],[Tech Start Date]],5),""))))</f>
        <v/>
      </c>
      <c r="P360" s="77" t="str">
        <f>IF(Main[[#This Row],[Tech Start Date]]&lt;1/1/1990,"",IF(Main[[#This Row],[Class]]="C",WORKDAY(Main[[#This Row],[Tech Start Date]],28),IF(Main[[#This Row],[Class]]="B", WORKDAY(Main[[#This Row],[Tech Start Date]],19),IF(Main[[#This Row],[Class]]="A",WORKDAY(Main[[#This Row],[Tech Start Date]],9),""))))</f>
        <v/>
      </c>
      <c r="Q360" s="74"/>
      <c r="R360" s="74"/>
      <c r="S360" s="72" t="s">
        <v>6</v>
      </c>
      <c r="T360" s="80" t="s">
        <v>4</v>
      </c>
      <c r="U360" s="72" t="s">
        <v>14</v>
      </c>
      <c r="V360" s="72" t="s">
        <v>1940</v>
      </c>
      <c r="W360" s="72" t="s">
        <v>1941</v>
      </c>
      <c r="X360" s="72" t="s">
        <v>311</v>
      </c>
      <c r="Y360" s="72" t="s">
        <v>4</v>
      </c>
      <c r="Z360" s="72" t="s">
        <v>4</v>
      </c>
    </row>
    <row r="361" spans="1:26" ht="18.600000000000001" customHeight="1">
      <c r="A361" s="142" t="str">
        <f>IF(priority(Main[[#This Row],[Comments]])&lt;&gt;0, priority(Main[[#This Row],[Comments]]),"")</f>
        <v/>
      </c>
      <c r="B361" s="90" t="s">
        <v>1205</v>
      </c>
      <c r="C361" s="72" t="s">
        <v>33</v>
      </c>
      <c r="D361" s="73" t="s">
        <v>251</v>
      </c>
      <c r="E361" s="74"/>
      <c r="F361" s="74"/>
      <c r="G361" s="75" t="str">
        <f>IF(stdProdLT(Main[[#This Row],[Comments]])=0.1,"N/A",IF(stdProdLT(Main[[#This Row],[Comments]])=0,"",stdProdLT(Main[[#This Row],[Comments]])))</f>
        <v/>
      </c>
      <c r="H361" s="76" t="str">
        <f>IF(AND(Main[[#This Row],[In Stock Date]]&lt;&gt;"",Main[[#This Row],[Revised Due Date]]&lt;&gt;""),Main[[#This Row],[In Stock Date]]-Main[[#This Row],[Revised Due Date]],"")</f>
        <v/>
      </c>
      <c r="I361" s="72" t="s">
        <v>4</v>
      </c>
      <c r="J361" s="72" t="s">
        <v>4</v>
      </c>
      <c r="K361" s="72" t="s">
        <v>4</v>
      </c>
      <c r="L361" s="74"/>
      <c r="M361" s="77" t="str">
        <f>IF(Main[[#This Row],[Tech Start Date]]&lt;1/1/1990,"",IF(Main[[#This Row],[Class]]="C",WORKDAY(Main[[#This Row],[Tech Start Date]],9),IF(Main[[#This Row],[Class]]="B", WORKDAY(Main[[#This Row],[Tech Start Date]],6),IF(Main[[#This Row],[Class]]="A",WORKDAY(Main[[#This Row],[Tech Start Date]],2),""))))</f>
        <v/>
      </c>
      <c r="N361" s="77" t="str">
        <f>IF(Main[[#This Row],[Tech Start Date]]&lt;1/1/1990,"",IF(Main[[#This Row],[Class]]="C",WORKDAY(Main[[#This Row],[Tech Start Date]],19),IF(Main[[#This Row],[Class]]="B", WORKDAY(Main[[#This Row],[Tech Start Date]],12),IF(Main[[#This Row],[Class]]="A",WORKDAY(Main[[#This Row],[Tech Start Date]],4),""))))</f>
        <v/>
      </c>
      <c r="O361" s="77" t="str">
        <f>IF(Main[[#This Row],[Tech Start Date]]&lt;1/1/1990,"",IF(Main[[#This Row],[Class]]="C",WORKDAY(Main[[#This Row],[Tech Start Date]],23),IF(Main[[#This Row],[Class]]="B", WORKDAY(Main[[#This Row],[Tech Start Date]],15),IF(Main[[#This Row],[Class]]="A",WORKDAY(Main[[#This Row],[Tech Start Date]],5),""))))</f>
        <v/>
      </c>
      <c r="P361" s="77" t="str">
        <f>IF(Main[[#This Row],[Tech Start Date]]&lt;1/1/1990,"",IF(Main[[#This Row],[Class]]="C",WORKDAY(Main[[#This Row],[Tech Start Date]],28),IF(Main[[#This Row],[Class]]="B", WORKDAY(Main[[#This Row],[Tech Start Date]],19),IF(Main[[#This Row],[Class]]="A",WORKDAY(Main[[#This Row],[Tech Start Date]],9),""))))</f>
        <v/>
      </c>
      <c r="Q361" s="74">
        <v>40269</v>
      </c>
      <c r="R361" s="74"/>
      <c r="S361" s="72" t="s">
        <v>11</v>
      </c>
      <c r="T361" s="80" t="s">
        <v>4</v>
      </c>
      <c r="U361" s="72" t="s">
        <v>14</v>
      </c>
      <c r="V361" s="72" t="s">
        <v>1940</v>
      </c>
      <c r="W361" s="72" t="s">
        <v>1939</v>
      </c>
      <c r="X361" s="72" t="s">
        <v>3021</v>
      </c>
      <c r="Y361" s="72" t="s">
        <v>4</v>
      </c>
      <c r="Z361" s="72" t="s">
        <v>4</v>
      </c>
    </row>
    <row r="362" spans="1:26" ht="18.600000000000001" customHeight="1">
      <c r="A362" s="142" t="str">
        <f>IF(priority(Main[[#This Row],[Comments]])&lt;&gt;0, priority(Main[[#This Row],[Comments]]),"")</f>
        <v/>
      </c>
      <c r="B362" s="90" t="s">
        <v>1206</v>
      </c>
      <c r="C362" s="72" t="s">
        <v>252</v>
      </c>
      <c r="D362" s="73" t="s">
        <v>253</v>
      </c>
      <c r="E362" s="74"/>
      <c r="F362" s="74"/>
      <c r="G362" s="75" t="str">
        <f>IF(stdProdLT(Main[[#This Row],[Comments]])=0.1,"N/A",IF(stdProdLT(Main[[#This Row],[Comments]])=0,"",stdProdLT(Main[[#This Row],[Comments]])))</f>
        <v/>
      </c>
      <c r="H362" s="76" t="str">
        <f>IF(AND(Main[[#This Row],[In Stock Date]]&lt;&gt;"",Main[[#This Row],[Revised Due Date]]&lt;&gt;""),Main[[#This Row],[In Stock Date]]-Main[[#This Row],[Revised Due Date]],"")</f>
        <v/>
      </c>
      <c r="I362" s="72" t="s">
        <v>4</v>
      </c>
      <c r="J362" s="72" t="s">
        <v>28</v>
      </c>
      <c r="K362" s="72" t="s">
        <v>4</v>
      </c>
      <c r="L362" s="74"/>
      <c r="M362" s="77" t="str">
        <f>IF(Main[[#This Row],[Tech Start Date]]&lt;1/1/1990,"",IF(Main[[#This Row],[Class]]="C",WORKDAY(Main[[#This Row],[Tech Start Date]],9),IF(Main[[#This Row],[Class]]="B", WORKDAY(Main[[#This Row],[Tech Start Date]],6),IF(Main[[#This Row],[Class]]="A",WORKDAY(Main[[#This Row],[Tech Start Date]],2),""))))</f>
        <v/>
      </c>
      <c r="N362" s="77" t="str">
        <f>IF(Main[[#This Row],[Tech Start Date]]&lt;1/1/1990,"",IF(Main[[#This Row],[Class]]="C",WORKDAY(Main[[#This Row],[Tech Start Date]],19),IF(Main[[#This Row],[Class]]="B", WORKDAY(Main[[#This Row],[Tech Start Date]],12),IF(Main[[#This Row],[Class]]="A",WORKDAY(Main[[#This Row],[Tech Start Date]],4),""))))</f>
        <v/>
      </c>
      <c r="O362" s="77" t="str">
        <f>IF(Main[[#This Row],[Tech Start Date]]&lt;1/1/1990,"",IF(Main[[#This Row],[Class]]="C",WORKDAY(Main[[#This Row],[Tech Start Date]],23),IF(Main[[#This Row],[Class]]="B", WORKDAY(Main[[#This Row],[Tech Start Date]],15),IF(Main[[#This Row],[Class]]="A",WORKDAY(Main[[#This Row],[Tech Start Date]],5),""))))</f>
        <v/>
      </c>
      <c r="P362" s="77" t="str">
        <f>IF(Main[[#This Row],[Tech Start Date]]&lt;1/1/1990,"",IF(Main[[#This Row],[Class]]="C",WORKDAY(Main[[#This Row],[Tech Start Date]],28),IF(Main[[#This Row],[Class]]="B", WORKDAY(Main[[#This Row],[Tech Start Date]],19),IF(Main[[#This Row],[Class]]="A",WORKDAY(Main[[#This Row],[Tech Start Date]],9),""))))</f>
        <v/>
      </c>
      <c r="Q362" s="74"/>
      <c r="R362" s="74"/>
      <c r="S362" s="72" t="s">
        <v>6</v>
      </c>
      <c r="T362" s="80" t="s">
        <v>4</v>
      </c>
      <c r="U362" s="72" t="s">
        <v>14</v>
      </c>
      <c r="V362" s="72" t="s">
        <v>1937</v>
      </c>
      <c r="W362" s="72" t="s">
        <v>1945</v>
      </c>
      <c r="X362" s="72" t="s">
        <v>903</v>
      </c>
      <c r="Y362" s="72" t="s">
        <v>3172</v>
      </c>
      <c r="Z362" s="72" t="s">
        <v>129</v>
      </c>
    </row>
    <row r="363" spans="1:26" ht="18.600000000000001" customHeight="1">
      <c r="A363" s="142" t="str">
        <f>IF(priority(Main[[#This Row],[Comments]])&lt;&gt;0, priority(Main[[#This Row],[Comments]]),"")</f>
        <v/>
      </c>
      <c r="B363" s="90" t="s">
        <v>1207</v>
      </c>
      <c r="C363" s="72" t="s">
        <v>4</v>
      </c>
      <c r="D363" s="73" t="s">
        <v>254</v>
      </c>
      <c r="E363" s="74"/>
      <c r="F363" s="74"/>
      <c r="G363" s="75" t="str">
        <f>IF(stdProdLT(Main[[#This Row],[Comments]])=0.1,"N/A",IF(stdProdLT(Main[[#This Row],[Comments]])=0,"",stdProdLT(Main[[#This Row],[Comments]])))</f>
        <v/>
      </c>
      <c r="H363" s="76" t="str">
        <f>IF(AND(Main[[#This Row],[In Stock Date]]&lt;&gt;"",Main[[#This Row],[Revised Due Date]]&lt;&gt;""),Main[[#This Row],[In Stock Date]]-Main[[#This Row],[Revised Due Date]],"")</f>
        <v/>
      </c>
      <c r="I363" s="72" t="s">
        <v>4</v>
      </c>
      <c r="J363" s="72" t="s">
        <v>4</v>
      </c>
      <c r="K363" s="72" t="s">
        <v>4</v>
      </c>
      <c r="L363" s="74"/>
      <c r="M363" s="77" t="str">
        <f>IF(Main[[#This Row],[Tech Start Date]]&lt;1/1/1990,"",IF(Main[[#This Row],[Class]]="C",WORKDAY(Main[[#This Row],[Tech Start Date]],9),IF(Main[[#This Row],[Class]]="B", WORKDAY(Main[[#This Row],[Tech Start Date]],6),IF(Main[[#This Row],[Class]]="A",WORKDAY(Main[[#This Row],[Tech Start Date]],2),""))))</f>
        <v/>
      </c>
      <c r="N363" s="77" t="str">
        <f>IF(Main[[#This Row],[Tech Start Date]]&lt;1/1/1990,"",IF(Main[[#This Row],[Class]]="C",WORKDAY(Main[[#This Row],[Tech Start Date]],19),IF(Main[[#This Row],[Class]]="B", WORKDAY(Main[[#This Row],[Tech Start Date]],12),IF(Main[[#This Row],[Class]]="A",WORKDAY(Main[[#This Row],[Tech Start Date]],4),""))))</f>
        <v/>
      </c>
      <c r="O363" s="77" t="str">
        <f>IF(Main[[#This Row],[Tech Start Date]]&lt;1/1/1990,"",IF(Main[[#This Row],[Class]]="C",WORKDAY(Main[[#This Row],[Tech Start Date]],23),IF(Main[[#This Row],[Class]]="B", WORKDAY(Main[[#This Row],[Tech Start Date]],15),IF(Main[[#This Row],[Class]]="A",WORKDAY(Main[[#This Row],[Tech Start Date]],5),""))))</f>
        <v/>
      </c>
      <c r="P363" s="77" t="str">
        <f>IF(Main[[#This Row],[Tech Start Date]]&lt;1/1/1990,"",IF(Main[[#This Row],[Class]]="C",WORKDAY(Main[[#This Row],[Tech Start Date]],28),IF(Main[[#This Row],[Class]]="B", WORKDAY(Main[[#This Row],[Tech Start Date]],19),IF(Main[[#This Row],[Class]]="A",WORKDAY(Main[[#This Row],[Tech Start Date]],9),""))))</f>
        <v/>
      </c>
      <c r="Q363" s="74"/>
      <c r="R363" s="74"/>
      <c r="S363" s="72" t="s">
        <v>6</v>
      </c>
      <c r="T363" s="80" t="s">
        <v>4</v>
      </c>
      <c r="U363" s="72" t="s">
        <v>14</v>
      </c>
      <c r="V363" s="72" t="s">
        <v>1940</v>
      </c>
      <c r="W363" s="72" t="s">
        <v>1941</v>
      </c>
      <c r="X363" s="72" t="s">
        <v>311</v>
      </c>
      <c r="Y363" s="72" t="s">
        <v>4</v>
      </c>
      <c r="Z363" s="72" t="s">
        <v>4</v>
      </c>
    </row>
    <row r="364" spans="1:26" ht="18.600000000000001" customHeight="1">
      <c r="A364" s="142" t="str">
        <f>IF(priority(Main[[#This Row],[Comments]])&lt;&gt;0, priority(Main[[#This Row],[Comments]]),"")</f>
        <v/>
      </c>
      <c r="B364" s="90" t="s">
        <v>1208</v>
      </c>
      <c r="C364" s="72" t="s">
        <v>113</v>
      </c>
      <c r="D364" s="73" t="s">
        <v>137</v>
      </c>
      <c r="E364" s="74"/>
      <c r="F364" s="74"/>
      <c r="G364" s="75" t="str">
        <f>IF(stdProdLT(Main[[#This Row],[Comments]])=0.1,"N/A",IF(stdProdLT(Main[[#This Row],[Comments]])=0,"",stdProdLT(Main[[#This Row],[Comments]])))</f>
        <v/>
      </c>
      <c r="H364" s="76" t="str">
        <f>IF(AND(Main[[#This Row],[In Stock Date]]&lt;&gt;"",Main[[#This Row],[Revised Due Date]]&lt;&gt;""),Main[[#This Row],[In Stock Date]]-Main[[#This Row],[Revised Due Date]],"")</f>
        <v/>
      </c>
      <c r="I364" s="72" t="s">
        <v>4</v>
      </c>
      <c r="J364" s="72" t="s">
        <v>4</v>
      </c>
      <c r="K364" s="72" t="s">
        <v>4</v>
      </c>
      <c r="L364" s="74"/>
      <c r="M364" s="77" t="str">
        <f>IF(Main[[#This Row],[Tech Start Date]]&lt;1/1/1990,"",IF(Main[[#This Row],[Class]]="C",WORKDAY(Main[[#This Row],[Tech Start Date]],9),IF(Main[[#This Row],[Class]]="B", WORKDAY(Main[[#This Row],[Tech Start Date]],6),IF(Main[[#This Row],[Class]]="A",WORKDAY(Main[[#This Row],[Tech Start Date]],2),""))))</f>
        <v/>
      </c>
      <c r="N364" s="77" t="str">
        <f>IF(Main[[#This Row],[Tech Start Date]]&lt;1/1/1990,"",IF(Main[[#This Row],[Class]]="C",WORKDAY(Main[[#This Row],[Tech Start Date]],19),IF(Main[[#This Row],[Class]]="B", WORKDAY(Main[[#This Row],[Tech Start Date]],12),IF(Main[[#This Row],[Class]]="A",WORKDAY(Main[[#This Row],[Tech Start Date]],4),""))))</f>
        <v/>
      </c>
      <c r="O364" s="77" t="str">
        <f>IF(Main[[#This Row],[Tech Start Date]]&lt;1/1/1990,"",IF(Main[[#This Row],[Class]]="C",WORKDAY(Main[[#This Row],[Tech Start Date]],23),IF(Main[[#This Row],[Class]]="B", WORKDAY(Main[[#This Row],[Tech Start Date]],15),IF(Main[[#This Row],[Class]]="A",WORKDAY(Main[[#This Row],[Tech Start Date]],5),""))))</f>
        <v/>
      </c>
      <c r="P364" s="77" t="str">
        <f>IF(Main[[#This Row],[Tech Start Date]]&lt;1/1/1990,"",IF(Main[[#This Row],[Class]]="C",WORKDAY(Main[[#This Row],[Tech Start Date]],28),IF(Main[[#This Row],[Class]]="B", WORKDAY(Main[[#This Row],[Tech Start Date]],19),IF(Main[[#This Row],[Class]]="A",WORKDAY(Main[[#This Row],[Tech Start Date]],9),""))))</f>
        <v/>
      </c>
      <c r="Q364" s="74">
        <v>40641</v>
      </c>
      <c r="R364" s="74"/>
      <c r="S364" s="72" t="s">
        <v>11</v>
      </c>
      <c r="T364" s="80" t="s">
        <v>4</v>
      </c>
      <c r="U364" s="72" t="s">
        <v>14</v>
      </c>
      <c r="V364" s="72" t="s">
        <v>1937</v>
      </c>
      <c r="W364" s="72" t="s">
        <v>1945</v>
      </c>
      <c r="X364" s="72" t="s">
        <v>2991</v>
      </c>
      <c r="Y364" s="72" t="s">
        <v>3139</v>
      </c>
      <c r="Z364" s="72" t="s">
        <v>4</v>
      </c>
    </row>
    <row r="365" spans="1:26" ht="18.600000000000001" customHeight="1">
      <c r="A365" s="142" t="str">
        <f>IF(priority(Main[[#This Row],[Comments]])&lt;&gt;0, priority(Main[[#This Row],[Comments]]),"")</f>
        <v/>
      </c>
      <c r="B365" s="90" t="s">
        <v>1151</v>
      </c>
      <c r="C365" s="72" t="s">
        <v>4</v>
      </c>
      <c r="D365" s="73" t="s">
        <v>189</v>
      </c>
      <c r="E365" s="74">
        <v>40585.675416666665</v>
      </c>
      <c r="F365" s="74">
        <v>40606</v>
      </c>
      <c r="G365" s="75" t="str">
        <f>IF(stdProdLT(Main[[#This Row],[Comments]])=0.1,"N/A",IF(stdProdLT(Main[[#This Row],[Comments]])=0,"",stdProdLT(Main[[#This Row],[Comments]])))</f>
        <v/>
      </c>
      <c r="H365" s="76" t="str">
        <f>IF(AND(Main[[#This Row],[In Stock Date]]&lt;&gt;"",Main[[#This Row],[Revised Due Date]]&lt;&gt;""),Main[[#This Row],[In Stock Date]]-Main[[#This Row],[Revised Due Date]],"")</f>
        <v/>
      </c>
      <c r="I365" s="72" t="s">
        <v>4</v>
      </c>
      <c r="J365" s="72" t="s">
        <v>28</v>
      </c>
      <c r="K365" s="72" t="s">
        <v>1949</v>
      </c>
      <c r="L365" s="74"/>
      <c r="M365" s="77" t="str">
        <f>IF(Main[[#This Row],[Tech Start Date]]&lt;1/1/1990,"",IF(Main[[#This Row],[Class]]="C",WORKDAY(Main[[#This Row],[Tech Start Date]],9),IF(Main[[#This Row],[Class]]="B", WORKDAY(Main[[#This Row],[Tech Start Date]],6),IF(Main[[#This Row],[Class]]="A",WORKDAY(Main[[#This Row],[Tech Start Date]],2),""))))</f>
        <v/>
      </c>
      <c r="N365" s="77" t="str">
        <f>IF(Main[[#This Row],[Tech Start Date]]&lt;1/1/1990,"",IF(Main[[#This Row],[Class]]="C",WORKDAY(Main[[#This Row],[Tech Start Date]],19),IF(Main[[#This Row],[Class]]="B", WORKDAY(Main[[#This Row],[Tech Start Date]],12),IF(Main[[#This Row],[Class]]="A",WORKDAY(Main[[#This Row],[Tech Start Date]],4),""))))</f>
        <v/>
      </c>
      <c r="O365" s="77" t="str">
        <f>IF(Main[[#This Row],[Tech Start Date]]&lt;1/1/1990,"",IF(Main[[#This Row],[Class]]="C",WORKDAY(Main[[#This Row],[Tech Start Date]],23),IF(Main[[#This Row],[Class]]="B", WORKDAY(Main[[#This Row],[Tech Start Date]],15),IF(Main[[#This Row],[Class]]="A",WORKDAY(Main[[#This Row],[Tech Start Date]],5),""))))</f>
        <v/>
      </c>
      <c r="P365" s="77" t="str">
        <f>IF(Main[[#This Row],[Tech Start Date]]&lt;1/1/1990,"",IF(Main[[#This Row],[Class]]="C",WORKDAY(Main[[#This Row],[Tech Start Date]],28),IF(Main[[#This Row],[Class]]="B", WORKDAY(Main[[#This Row],[Tech Start Date]],19),IF(Main[[#This Row],[Class]]="A",WORKDAY(Main[[#This Row],[Tech Start Date]],9),""))))</f>
        <v/>
      </c>
      <c r="Q365" s="74">
        <v>40606</v>
      </c>
      <c r="R365" s="74"/>
      <c r="S365" s="72" t="s">
        <v>17</v>
      </c>
      <c r="T365" s="80" t="s">
        <v>4</v>
      </c>
      <c r="U365" s="72" t="s">
        <v>7</v>
      </c>
      <c r="V365" s="72" t="s">
        <v>1937</v>
      </c>
      <c r="W365" s="72" t="s">
        <v>1945</v>
      </c>
      <c r="X365" s="72" t="s">
        <v>2980</v>
      </c>
      <c r="Y365" s="72" t="s">
        <v>3108</v>
      </c>
      <c r="Z365" s="72" t="s">
        <v>129</v>
      </c>
    </row>
    <row r="366" spans="1:26" ht="18.600000000000001" customHeight="1">
      <c r="A366" s="142" t="str">
        <f>IF(priority(Main[[#This Row],[Comments]])&lt;&gt;0, priority(Main[[#This Row],[Comments]]),"")</f>
        <v/>
      </c>
      <c r="B366" s="90" t="s">
        <v>1209</v>
      </c>
      <c r="C366" s="72" t="s">
        <v>4</v>
      </c>
      <c r="D366" s="73" t="s">
        <v>2394</v>
      </c>
      <c r="E366" s="74">
        <v>40620.555636574078</v>
      </c>
      <c r="F366" s="74"/>
      <c r="G366" s="75" t="str">
        <f>IF(stdProdLT(Main[[#This Row],[Comments]])=0.1,"N/A",IF(stdProdLT(Main[[#This Row],[Comments]])=0,"",stdProdLT(Main[[#This Row],[Comments]])))</f>
        <v/>
      </c>
      <c r="H366" s="76" t="str">
        <f>IF(AND(Main[[#This Row],[In Stock Date]]&lt;&gt;"",Main[[#This Row],[Revised Due Date]]&lt;&gt;""),Main[[#This Row],[In Stock Date]]-Main[[#This Row],[Revised Due Date]],"")</f>
        <v/>
      </c>
      <c r="I366" s="72" t="s">
        <v>30</v>
      </c>
      <c r="J366" s="72" t="s">
        <v>75</v>
      </c>
      <c r="K366" s="72" t="s">
        <v>1946</v>
      </c>
      <c r="L366" s="74"/>
      <c r="M366" s="77" t="str">
        <f>IF(Main[[#This Row],[Tech Start Date]]&lt;1/1/1990,"",IF(Main[[#This Row],[Class]]="C",WORKDAY(Main[[#This Row],[Tech Start Date]],9),IF(Main[[#This Row],[Class]]="B", WORKDAY(Main[[#This Row],[Tech Start Date]],6),IF(Main[[#This Row],[Class]]="A",WORKDAY(Main[[#This Row],[Tech Start Date]],2),""))))</f>
        <v/>
      </c>
      <c r="N366" s="77" t="str">
        <f>IF(Main[[#This Row],[Tech Start Date]]&lt;1/1/1990,"",IF(Main[[#This Row],[Class]]="C",WORKDAY(Main[[#This Row],[Tech Start Date]],19),IF(Main[[#This Row],[Class]]="B", WORKDAY(Main[[#This Row],[Tech Start Date]],12),IF(Main[[#This Row],[Class]]="A",WORKDAY(Main[[#This Row],[Tech Start Date]],4),""))))</f>
        <v/>
      </c>
      <c r="O366" s="77" t="str">
        <f>IF(Main[[#This Row],[Tech Start Date]]&lt;1/1/1990,"",IF(Main[[#This Row],[Class]]="C",WORKDAY(Main[[#This Row],[Tech Start Date]],23),IF(Main[[#This Row],[Class]]="B", WORKDAY(Main[[#This Row],[Tech Start Date]],15),IF(Main[[#This Row],[Class]]="A",WORKDAY(Main[[#This Row],[Tech Start Date]],5),""))))</f>
        <v/>
      </c>
      <c r="P366" s="77" t="str">
        <f>IF(Main[[#This Row],[Tech Start Date]]&lt;1/1/1990,"",IF(Main[[#This Row],[Class]]="C",WORKDAY(Main[[#This Row],[Tech Start Date]],28),IF(Main[[#This Row],[Class]]="B", WORKDAY(Main[[#This Row],[Tech Start Date]],19),IF(Main[[#This Row],[Class]]="A",WORKDAY(Main[[#This Row],[Tech Start Date]],9),""))))</f>
        <v/>
      </c>
      <c r="Q366" s="74">
        <v>40662</v>
      </c>
      <c r="R366" s="74"/>
      <c r="S366" s="72" t="s">
        <v>6</v>
      </c>
      <c r="T366" s="80" t="s">
        <v>4</v>
      </c>
      <c r="U366" s="72" t="s">
        <v>29</v>
      </c>
      <c r="V366" s="72" t="s">
        <v>1940</v>
      </c>
      <c r="W366" s="72" t="s">
        <v>1941</v>
      </c>
      <c r="X366" s="72" t="s">
        <v>30</v>
      </c>
      <c r="Y366" s="72" t="s">
        <v>3173</v>
      </c>
      <c r="Z366" s="72" t="s">
        <v>30</v>
      </c>
    </row>
    <row r="367" spans="1:26" ht="18.600000000000001" customHeight="1">
      <c r="A367" s="142" t="str">
        <f>IF(priority(Main[[#This Row],[Comments]])&lt;&gt;0, priority(Main[[#This Row],[Comments]]),"")</f>
        <v/>
      </c>
      <c r="B367" s="90" t="s">
        <v>1210</v>
      </c>
      <c r="C367" s="72" t="s">
        <v>4</v>
      </c>
      <c r="D367" s="73" t="s">
        <v>255</v>
      </c>
      <c r="E367" s="74"/>
      <c r="F367" s="74"/>
      <c r="G367" s="75" t="str">
        <f>IF(stdProdLT(Main[[#This Row],[Comments]])=0.1,"N/A",IF(stdProdLT(Main[[#This Row],[Comments]])=0,"",stdProdLT(Main[[#This Row],[Comments]])))</f>
        <v/>
      </c>
      <c r="H367" s="76" t="str">
        <f>IF(AND(Main[[#This Row],[In Stock Date]]&lt;&gt;"",Main[[#This Row],[Revised Due Date]]&lt;&gt;""),Main[[#This Row],[In Stock Date]]-Main[[#This Row],[Revised Due Date]],"")</f>
        <v/>
      </c>
      <c r="I367" s="72" t="s">
        <v>4</v>
      </c>
      <c r="J367" s="72" t="s">
        <v>4</v>
      </c>
      <c r="K367" s="72" t="s">
        <v>4</v>
      </c>
      <c r="L367" s="74"/>
      <c r="M367" s="77" t="str">
        <f>IF(Main[[#This Row],[Tech Start Date]]&lt;1/1/1990,"",IF(Main[[#This Row],[Class]]="C",WORKDAY(Main[[#This Row],[Tech Start Date]],9),IF(Main[[#This Row],[Class]]="B", WORKDAY(Main[[#This Row],[Tech Start Date]],6),IF(Main[[#This Row],[Class]]="A",WORKDAY(Main[[#This Row],[Tech Start Date]],2),""))))</f>
        <v/>
      </c>
      <c r="N367" s="77" t="str">
        <f>IF(Main[[#This Row],[Tech Start Date]]&lt;1/1/1990,"",IF(Main[[#This Row],[Class]]="C",WORKDAY(Main[[#This Row],[Tech Start Date]],19),IF(Main[[#This Row],[Class]]="B", WORKDAY(Main[[#This Row],[Tech Start Date]],12),IF(Main[[#This Row],[Class]]="A",WORKDAY(Main[[#This Row],[Tech Start Date]],4),""))))</f>
        <v/>
      </c>
      <c r="O367" s="77" t="str">
        <f>IF(Main[[#This Row],[Tech Start Date]]&lt;1/1/1990,"",IF(Main[[#This Row],[Class]]="C",WORKDAY(Main[[#This Row],[Tech Start Date]],23),IF(Main[[#This Row],[Class]]="B", WORKDAY(Main[[#This Row],[Tech Start Date]],15),IF(Main[[#This Row],[Class]]="A",WORKDAY(Main[[#This Row],[Tech Start Date]],5),""))))</f>
        <v/>
      </c>
      <c r="P367" s="77" t="str">
        <f>IF(Main[[#This Row],[Tech Start Date]]&lt;1/1/1990,"",IF(Main[[#This Row],[Class]]="C",WORKDAY(Main[[#This Row],[Tech Start Date]],28),IF(Main[[#This Row],[Class]]="B", WORKDAY(Main[[#This Row],[Tech Start Date]],19),IF(Main[[#This Row],[Class]]="A",WORKDAY(Main[[#This Row],[Tech Start Date]],9),""))))</f>
        <v/>
      </c>
      <c r="Q367" s="74"/>
      <c r="R367" s="74"/>
      <c r="S367" s="72" t="s">
        <v>11</v>
      </c>
      <c r="T367" s="80" t="s">
        <v>4</v>
      </c>
      <c r="U367" s="72" t="s">
        <v>12</v>
      </c>
      <c r="V367" s="72" t="s">
        <v>1937</v>
      </c>
      <c r="W367" s="72" t="s">
        <v>1941</v>
      </c>
      <c r="X367" s="72" t="s">
        <v>891</v>
      </c>
      <c r="Y367" s="72" t="s">
        <v>3192</v>
      </c>
      <c r="Z367" s="72" t="s">
        <v>4</v>
      </c>
    </row>
    <row r="368" spans="1:26" ht="18.600000000000001" customHeight="1">
      <c r="A368" s="142" t="str">
        <f>IF(priority(Main[[#This Row],[Comments]])&lt;&gt;0, priority(Main[[#This Row],[Comments]]),"")</f>
        <v/>
      </c>
      <c r="B368" s="90" t="s">
        <v>1211</v>
      </c>
      <c r="C368" s="72" t="s">
        <v>156</v>
      </c>
      <c r="D368" s="73" t="s">
        <v>256</v>
      </c>
      <c r="E368" s="74"/>
      <c r="F368" s="74"/>
      <c r="G368" s="75" t="str">
        <f>IF(stdProdLT(Main[[#This Row],[Comments]])=0.1,"N/A",IF(stdProdLT(Main[[#This Row],[Comments]])=0,"",stdProdLT(Main[[#This Row],[Comments]])))</f>
        <v/>
      </c>
      <c r="H368" s="76" t="str">
        <f>IF(AND(Main[[#This Row],[In Stock Date]]&lt;&gt;"",Main[[#This Row],[Revised Due Date]]&lt;&gt;""),Main[[#This Row],[In Stock Date]]-Main[[#This Row],[Revised Due Date]],"")</f>
        <v/>
      </c>
      <c r="I368" s="72" t="s">
        <v>4</v>
      </c>
      <c r="J368" s="72" t="s">
        <v>4</v>
      </c>
      <c r="K368" s="72" t="s">
        <v>4</v>
      </c>
      <c r="L368" s="74"/>
      <c r="M368" s="77" t="str">
        <f>IF(Main[[#This Row],[Tech Start Date]]&lt;1/1/1990,"",IF(Main[[#This Row],[Class]]="C",WORKDAY(Main[[#This Row],[Tech Start Date]],9),IF(Main[[#This Row],[Class]]="B", WORKDAY(Main[[#This Row],[Tech Start Date]],6),IF(Main[[#This Row],[Class]]="A",WORKDAY(Main[[#This Row],[Tech Start Date]],2),""))))</f>
        <v/>
      </c>
      <c r="N368" s="77" t="str">
        <f>IF(Main[[#This Row],[Tech Start Date]]&lt;1/1/1990,"",IF(Main[[#This Row],[Class]]="C",WORKDAY(Main[[#This Row],[Tech Start Date]],19),IF(Main[[#This Row],[Class]]="B", WORKDAY(Main[[#This Row],[Tech Start Date]],12),IF(Main[[#This Row],[Class]]="A",WORKDAY(Main[[#This Row],[Tech Start Date]],4),""))))</f>
        <v/>
      </c>
      <c r="O368" s="77" t="str">
        <f>IF(Main[[#This Row],[Tech Start Date]]&lt;1/1/1990,"",IF(Main[[#This Row],[Class]]="C",WORKDAY(Main[[#This Row],[Tech Start Date]],23),IF(Main[[#This Row],[Class]]="B", WORKDAY(Main[[#This Row],[Tech Start Date]],15),IF(Main[[#This Row],[Class]]="A",WORKDAY(Main[[#This Row],[Tech Start Date]],5),""))))</f>
        <v/>
      </c>
      <c r="P368" s="77" t="str">
        <f>IF(Main[[#This Row],[Tech Start Date]]&lt;1/1/1990,"",IF(Main[[#This Row],[Class]]="C",WORKDAY(Main[[#This Row],[Tech Start Date]],28),IF(Main[[#This Row],[Class]]="B", WORKDAY(Main[[#This Row],[Tech Start Date]],19),IF(Main[[#This Row],[Class]]="A",WORKDAY(Main[[#This Row],[Tech Start Date]],9),""))))</f>
        <v/>
      </c>
      <c r="Q368" s="74">
        <v>40144</v>
      </c>
      <c r="R368" s="74"/>
      <c r="S368" s="72" t="s">
        <v>11</v>
      </c>
      <c r="T368" s="80" t="s">
        <v>4</v>
      </c>
      <c r="U368" s="72" t="s">
        <v>14</v>
      </c>
      <c r="V368" s="72" t="s">
        <v>1937</v>
      </c>
      <c r="W368" s="72" t="s">
        <v>1939</v>
      </c>
      <c r="X368" s="72" t="s">
        <v>3006</v>
      </c>
      <c r="Y368" s="72" t="s">
        <v>4</v>
      </c>
      <c r="Z368" s="72" t="s">
        <v>4</v>
      </c>
    </row>
    <row r="369" spans="1:26" ht="18.600000000000001" customHeight="1">
      <c r="A369" s="142" t="str">
        <f>IF(priority(Main[[#This Row],[Comments]])&lt;&gt;0, priority(Main[[#This Row],[Comments]]),"")</f>
        <v/>
      </c>
      <c r="B369" s="90" t="s">
        <v>1212</v>
      </c>
      <c r="C369" s="72" t="s">
        <v>4</v>
      </c>
      <c r="D369" s="73" t="s">
        <v>257</v>
      </c>
      <c r="E369" s="74">
        <v>40703.393472222226</v>
      </c>
      <c r="F369" s="74"/>
      <c r="G369" s="75" t="str">
        <f>IF(stdProdLT(Main[[#This Row],[Comments]])=0.1,"N/A",IF(stdProdLT(Main[[#This Row],[Comments]])=0,"",stdProdLT(Main[[#This Row],[Comments]])))</f>
        <v/>
      </c>
      <c r="H369" s="76" t="str">
        <f>IF(AND(Main[[#This Row],[In Stock Date]]&lt;&gt;"",Main[[#This Row],[Revised Due Date]]&lt;&gt;""),Main[[#This Row],[In Stock Date]]-Main[[#This Row],[Revised Due Date]],"")</f>
        <v/>
      </c>
      <c r="I369" s="72" t="s">
        <v>4</v>
      </c>
      <c r="J369" s="72" t="s">
        <v>4</v>
      </c>
      <c r="K369" s="72" t="s">
        <v>4</v>
      </c>
      <c r="L369" s="74"/>
      <c r="M369" s="77" t="str">
        <f>IF(Main[[#This Row],[Tech Start Date]]&lt;1/1/1990,"",IF(Main[[#This Row],[Class]]="C",WORKDAY(Main[[#This Row],[Tech Start Date]],9),IF(Main[[#This Row],[Class]]="B", WORKDAY(Main[[#This Row],[Tech Start Date]],6),IF(Main[[#This Row],[Class]]="A",WORKDAY(Main[[#This Row],[Tech Start Date]],2),""))))</f>
        <v/>
      </c>
      <c r="N369" s="77" t="str">
        <f>IF(Main[[#This Row],[Tech Start Date]]&lt;1/1/1990,"",IF(Main[[#This Row],[Class]]="C",WORKDAY(Main[[#This Row],[Tech Start Date]],19),IF(Main[[#This Row],[Class]]="B", WORKDAY(Main[[#This Row],[Tech Start Date]],12),IF(Main[[#This Row],[Class]]="A",WORKDAY(Main[[#This Row],[Tech Start Date]],4),""))))</f>
        <v/>
      </c>
      <c r="O369" s="77" t="str">
        <f>IF(Main[[#This Row],[Tech Start Date]]&lt;1/1/1990,"",IF(Main[[#This Row],[Class]]="C",WORKDAY(Main[[#This Row],[Tech Start Date]],23),IF(Main[[#This Row],[Class]]="B", WORKDAY(Main[[#This Row],[Tech Start Date]],15),IF(Main[[#This Row],[Class]]="A",WORKDAY(Main[[#This Row],[Tech Start Date]],5),""))))</f>
        <v/>
      </c>
      <c r="P369" s="77" t="str">
        <f>IF(Main[[#This Row],[Tech Start Date]]&lt;1/1/1990,"",IF(Main[[#This Row],[Class]]="C",WORKDAY(Main[[#This Row],[Tech Start Date]],28),IF(Main[[#This Row],[Class]]="B", WORKDAY(Main[[#This Row],[Tech Start Date]],19),IF(Main[[#This Row],[Class]]="A",WORKDAY(Main[[#This Row],[Tech Start Date]],9),""))))</f>
        <v/>
      </c>
      <c r="Q369" s="74">
        <v>40724</v>
      </c>
      <c r="R369" s="74"/>
      <c r="S369" s="72" t="s">
        <v>6</v>
      </c>
      <c r="T369" s="80" t="s">
        <v>4</v>
      </c>
      <c r="U369" s="72" t="s">
        <v>7</v>
      </c>
      <c r="V369" s="72" t="s">
        <v>1937</v>
      </c>
      <c r="W369" s="72" t="s">
        <v>1941</v>
      </c>
      <c r="X369" s="72" t="s">
        <v>2988</v>
      </c>
      <c r="Y369" s="72" t="s">
        <v>3123</v>
      </c>
      <c r="Z369" s="72" t="s">
        <v>4</v>
      </c>
    </row>
    <row r="370" spans="1:26" ht="18.600000000000001" customHeight="1">
      <c r="A370" s="142" t="str">
        <f>IF(priority(Main[[#This Row],[Comments]])&lt;&gt;0, priority(Main[[#This Row],[Comments]]),"")</f>
        <v/>
      </c>
      <c r="B370" s="90" t="s">
        <v>1213</v>
      </c>
      <c r="C370" s="72" t="s">
        <v>33</v>
      </c>
      <c r="D370" s="73" t="s">
        <v>258</v>
      </c>
      <c r="E370" s="74"/>
      <c r="F370" s="74"/>
      <c r="G370" s="75" t="str">
        <f>IF(stdProdLT(Main[[#This Row],[Comments]])=0.1,"N/A",IF(stdProdLT(Main[[#This Row],[Comments]])=0,"",stdProdLT(Main[[#This Row],[Comments]])))</f>
        <v/>
      </c>
      <c r="H370" s="76" t="str">
        <f>IF(AND(Main[[#This Row],[In Stock Date]]&lt;&gt;"",Main[[#This Row],[Revised Due Date]]&lt;&gt;""),Main[[#This Row],[In Stock Date]]-Main[[#This Row],[Revised Due Date]],"")</f>
        <v/>
      </c>
      <c r="I370" s="72" t="s">
        <v>4</v>
      </c>
      <c r="J370" s="72" t="s">
        <v>28</v>
      </c>
      <c r="K370" s="72" t="s">
        <v>1950</v>
      </c>
      <c r="L370" s="74"/>
      <c r="M370" s="77" t="str">
        <f>IF(Main[[#This Row],[Tech Start Date]]&lt;1/1/1990,"",IF(Main[[#This Row],[Class]]="C",WORKDAY(Main[[#This Row],[Tech Start Date]],9),IF(Main[[#This Row],[Class]]="B", WORKDAY(Main[[#This Row],[Tech Start Date]],6),IF(Main[[#This Row],[Class]]="A",WORKDAY(Main[[#This Row],[Tech Start Date]],2),""))))</f>
        <v/>
      </c>
      <c r="N370" s="77" t="str">
        <f>IF(Main[[#This Row],[Tech Start Date]]&lt;1/1/1990,"",IF(Main[[#This Row],[Class]]="C",WORKDAY(Main[[#This Row],[Tech Start Date]],19),IF(Main[[#This Row],[Class]]="B", WORKDAY(Main[[#This Row],[Tech Start Date]],12),IF(Main[[#This Row],[Class]]="A",WORKDAY(Main[[#This Row],[Tech Start Date]],4),""))))</f>
        <v/>
      </c>
      <c r="O370" s="77" t="str">
        <f>IF(Main[[#This Row],[Tech Start Date]]&lt;1/1/1990,"",IF(Main[[#This Row],[Class]]="C",WORKDAY(Main[[#This Row],[Tech Start Date]],23),IF(Main[[#This Row],[Class]]="B", WORKDAY(Main[[#This Row],[Tech Start Date]],15),IF(Main[[#This Row],[Class]]="A",WORKDAY(Main[[#This Row],[Tech Start Date]],5),""))))</f>
        <v/>
      </c>
      <c r="P370" s="77" t="str">
        <f>IF(Main[[#This Row],[Tech Start Date]]&lt;1/1/1990,"",IF(Main[[#This Row],[Class]]="C",WORKDAY(Main[[#This Row],[Tech Start Date]],28),IF(Main[[#This Row],[Class]]="B", WORKDAY(Main[[#This Row],[Tech Start Date]],19),IF(Main[[#This Row],[Class]]="A",WORKDAY(Main[[#This Row],[Tech Start Date]],9),""))))</f>
        <v/>
      </c>
      <c r="Q370" s="74">
        <v>40364</v>
      </c>
      <c r="R370" s="74"/>
      <c r="S370" s="72" t="s">
        <v>17</v>
      </c>
      <c r="T370" s="80" t="s">
        <v>4</v>
      </c>
      <c r="U370" s="72" t="s">
        <v>14</v>
      </c>
      <c r="V370" s="72" t="s">
        <v>1938</v>
      </c>
      <c r="W370" s="72" t="s">
        <v>1942</v>
      </c>
      <c r="X370" s="72" t="s">
        <v>3027</v>
      </c>
      <c r="Y370" s="72" t="s">
        <v>3179</v>
      </c>
      <c r="Z370" s="72" t="s">
        <v>108</v>
      </c>
    </row>
    <row r="371" spans="1:26" ht="18.600000000000001" customHeight="1">
      <c r="A371" s="142" t="str">
        <f>IF(priority(Main[[#This Row],[Comments]])&lt;&gt;0, priority(Main[[#This Row],[Comments]]),"")</f>
        <v/>
      </c>
      <c r="B371" s="90" t="s">
        <v>1214</v>
      </c>
      <c r="C371" s="72" t="s">
        <v>31</v>
      </c>
      <c r="D371" s="73" t="s">
        <v>259</v>
      </c>
      <c r="E371" s="74"/>
      <c r="F371" s="74"/>
      <c r="G371" s="75" t="str">
        <f>IF(stdProdLT(Main[[#This Row],[Comments]])=0.1,"N/A",IF(stdProdLT(Main[[#This Row],[Comments]])=0,"",stdProdLT(Main[[#This Row],[Comments]])))</f>
        <v/>
      </c>
      <c r="H371" s="76" t="str">
        <f>IF(AND(Main[[#This Row],[In Stock Date]]&lt;&gt;"",Main[[#This Row],[Revised Due Date]]&lt;&gt;""),Main[[#This Row],[In Stock Date]]-Main[[#This Row],[Revised Due Date]],"")</f>
        <v/>
      </c>
      <c r="I371" s="72" t="s">
        <v>4</v>
      </c>
      <c r="J371" s="72" t="s">
        <v>4</v>
      </c>
      <c r="K371" s="72" t="s">
        <v>4</v>
      </c>
      <c r="L371" s="74"/>
      <c r="M371" s="77" t="str">
        <f>IF(Main[[#This Row],[Tech Start Date]]&lt;1/1/1990,"",IF(Main[[#This Row],[Class]]="C",WORKDAY(Main[[#This Row],[Tech Start Date]],9),IF(Main[[#This Row],[Class]]="B", WORKDAY(Main[[#This Row],[Tech Start Date]],6),IF(Main[[#This Row],[Class]]="A",WORKDAY(Main[[#This Row],[Tech Start Date]],2),""))))</f>
        <v/>
      </c>
      <c r="N371" s="77" t="str">
        <f>IF(Main[[#This Row],[Tech Start Date]]&lt;1/1/1990,"",IF(Main[[#This Row],[Class]]="C",WORKDAY(Main[[#This Row],[Tech Start Date]],19),IF(Main[[#This Row],[Class]]="B", WORKDAY(Main[[#This Row],[Tech Start Date]],12),IF(Main[[#This Row],[Class]]="A",WORKDAY(Main[[#This Row],[Tech Start Date]],4),""))))</f>
        <v/>
      </c>
      <c r="O371" s="77" t="str">
        <f>IF(Main[[#This Row],[Tech Start Date]]&lt;1/1/1990,"",IF(Main[[#This Row],[Class]]="C",WORKDAY(Main[[#This Row],[Tech Start Date]],23),IF(Main[[#This Row],[Class]]="B", WORKDAY(Main[[#This Row],[Tech Start Date]],15),IF(Main[[#This Row],[Class]]="A",WORKDAY(Main[[#This Row],[Tech Start Date]],5),""))))</f>
        <v/>
      </c>
      <c r="P371" s="77" t="str">
        <f>IF(Main[[#This Row],[Tech Start Date]]&lt;1/1/1990,"",IF(Main[[#This Row],[Class]]="C",WORKDAY(Main[[#This Row],[Tech Start Date]],28),IF(Main[[#This Row],[Class]]="B", WORKDAY(Main[[#This Row],[Tech Start Date]],19),IF(Main[[#This Row],[Class]]="A",WORKDAY(Main[[#This Row],[Tech Start Date]],9),""))))</f>
        <v/>
      </c>
      <c r="Q371" s="74">
        <v>40318</v>
      </c>
      <c r="R371" s="74"/>
      <c r="S371" s="72" t="s">
        <v>11</v>
      </c>
      <c r="T371" s="80" t="s">
        <v>4</v>
      </c>
      <c r="U371" s="72" t="s">
        <v>14</v>
      </c>
      <c r="V371" s="72" t="s">
        <v>1940</v>
      </c>
      <c r="W371" s="72" t="s">
        <v>1939</v>
      </c>
      <c r="X371" s="72" t="s">
        <v>2982</v>
      </c>
      <c r="Y371" s="72" t="s">
        <v>4</v>
      </c>
      <c r="Z371" s="72" t="s">
        <v>4</v>
      </c>
    </row>
    <row r="372" spans="1:26" ht="18.600000000000001" customHeight="1">
      <c r="A372" s="142" t="str">
        <f>IF(priority(Main[[#This Row],[Comments]])&lt;&gt;0, priority(Main[[#This Row],[Comments]]),"")</f>
        <v/>
      </c>
      <c r="B372" s="90" t="s">
        <v>1215</v>
      </c>
      <c r="C372" s="72" t="s">
        <v>4</v>
      </c>
      <c r="D372" s="73" t="s">
        <v>260</v>
      </c>
      <c r="E372" s="74"/>
      <c r="F372" s="74"/>
      <c r="G372" s="75" t="str">
        <f>IF(stdProdLT(Main[[#This Row],[Comments]])=0.1,"N/A",IF(stdProdLT(Main[[#This Row],[Comments]])=0,"",stdProdLT(Main[[#This Row],[Comments]])))</f>
        <v/>
      </c>
      <c r="H372" s="76" t="str">
        <f>IF(AND(Main[[#This Row],[In Stock Date]]&lt;&gt;"",Main[[#This Row],[Revised Due Date]]&lt;&gt;""),Main[[#This Row],[In Stock Date]]-Main[[#This Row],[Revised Due Date]],"")</f>
        <v/>
      </c>
      <c r="I372" s="72" t="s">
        <v>4</v>
      </c>
      <c r="J372" s="72" t="s">
        <v>4</v>
      </c>
      <c r="K372" s="72" t="s">
        <v>4</v>
      </c>
      <c r="L372" s="74"/>
      <c r="M372" s="77" t="str">
        <f>IF(Main[[#This Row],[Tech Start Date]]&lt;1/1/1990,"",IF(Main[[#This Row],[Class]]="C",WORKDAY(Main[[#This Row],[Tech Start Date]],9),IF(Main[[#This Row],[Class]]="B", WORKDAY(Main[[#This Row],[Tech Start Date]],6),IF(Main[[#This Row],[Class]]="A",WORKDAY(Main[[#This Row],[Tech Start Date]],2),""))))</f>
        <v/>
      </c>
      <c r="N372" s="77" t="str">
        <f>IF(Main[[#This Row],[Tech Start Date]]&lt;1/1/1990,"",IF(Main[[#This Row],[Class]]="C",WORKDAY(Main[[#This Row],[Tech Start Date]],19),IF(Main[[#This Row],[Class]]="B", WORKDAY(Main[[#This Row],[Tech Start Date]],12),IF(Main[[#This Row],[Class]]="A",WORKDAY(Main[[#This Row],[Tech Start Date]],4),""))))</f>
        <v/>
      </c>
      <c r="O372" s="77" t="str">
        <f>IF(Main[[#This Row],[Tech Start Date]]&lt;1/1/1990,"",IF(Main[[#This Row],[Class]]="C",WORKDAY(Main[[#This Row],[Tech Start Date]],23),IF(Main[[#This Row],[Class]]="B", WORKDAY(Main[[#This Row],[Tech Start Date]],15),IF(Main[[#This Row],[Class]]="A",WORKDAY(Main[[#This Row],[Tech Start Date]],5),""))))</f>
        <v/>
      </c>
      <c r="P372" s="77" t="str">
        <f>IF(Main[[#This Row],[Tech Start Date]]&lt;1/1/1990,"",IF(Main[[#This Row],[Class]]="C",WORKDAY(Main[[#This Row],[Tech Start Date]],28),IF(Main[[#This Row],[Class]]="B", WORKDAY(Main[[#This Row],[Tech Start Date]],19),IF(Main[[#This Row],[Class]]="A",WORKDAY(Main[[#This Row],[Tech Start Date]],9),""))))</f>
        <v/>
      </c>
      <c r="Q372" s="74">
        <v>40390</v>
      </c>
      <c r="R372" s="74"/>
      <c r="S372" s="72" t="s">
        <v>6</v>
      </c>
      <c r="T372" s="80" t="s">
        <v>4</v>
      </c>
      <c r="U372" s="72" t="s">
        <v>14</v>
      </c>
      <c r="V372" s="72" t="s">
        <v>1940</v>
      </c>
      <c r="W372" s="72" t="s">
        <v>4</v>
      </c>
      <c r="X372" s="72" t="s">
        <v>2971</v>
      </c>
      <c r="Y372" s="72" t="s">
        <v>3090</v>
      </c>
      <c r="Z372" s="72" t="s">
        <v>4</v>
      </c>
    </row>
    <row r="373" spans="1:26" ht="18.600000000000001" customHeight="1">
      <c r="A373" s="142" t="str">
        <f>IF(priority(Main[[#This Row],[Comments]])&lt;&gt;0, priority(Main[[#This Row],[Comments]]),"")</f>
        <v/>
      </c>
      <c r="B373" s="90" t="s">
        <v>1216</v>
      </c>
      <c r="C373" s="72" t="s">
        <v>214</v>
      </c>
      <c r="D373" s="73" t="s">
        <v>261</v>
      </c>
      <c r="E373" s="74"/>
      <c r="F373" s="74">
        <v>40452</v>
      </c>
      <c r="G373" s="75" t="str">
        <f>IF(stdProdLT(Main[[#This Row],[Comments]])=0.1,"N/A",IF(stdProdLT(Main[[#This Row],[Comments]])=0,"",stdProdLT(Main[[#This Row],[Comments]])))</f>
        <v/>
      </c>
      <c r="H373" s="76" t="str">
        <f>IF(AND(Main[[#This Row],[In Stock Date]]&lt;&gt;"",Main[[#This Row],[Revised Due Date]]&lt;&gt;""),Main[[#This Row],[In Stock Date]]-Main[[#This Row],[Revised Due Date]],"")</f>
        <v/>
      </c>
      <c r="I373" s="72" t="s">
        <v>4</v>
      </c>
      <c r="J373" s="72" t="s">
        <v>4</v>
      </c>
      <c r="K373" s="72" t="s">
        <v>4</v>
      </c>
      <c r="L373" s="74"/>
      <c r="M373" s="77" t="str">
        <f>IF(Main[[#This Row],[Tech Start Date]]&lt;1/1/1990,"",IF(Main[[#This Row],[Class]]="C",WORKDAY(Main[[#This Row],[Tech Start Date]],9),IF(Main[[#This Row],[Class]]="B", WORKDAY(Main[[#This Row],[Tech Start Date]],6),IF(Main[[#This Row],[Class]]="A",WORKDAY(Main[[#This Row],[Tech Start Date]],2),""))))</f>
        <v/>
      </c>
      <c r="N373" s="77" t="str">
        <f>IF(Main[[#This Row],[Tech Start Date]]&lt;1/1/1990,"",IF(Main[[#This Row],[Class]]="C",WORKDAY(Main[[#This Row],[Tech Start Date]],19),IF(Main[[#This Row],[Class]]="B", WORKDAY(Main[[#This Row],[Tech Start Date]],12),IF(Main[[#This Row],[Class]]="A",WORKDAY(Main[[#This Row],[Tech Start Date]],4),""))))</f>
        <v/>
      </c>
      <c r="O373" s="77" t="str">
        <f>IF(Main[[#This Row],[Tech Start Date]]&lt;1/1/1990,"",IF(Main[[#This Row],[Class]]="C",WORKDAY(Main[[#This Row],[Tech Start Date]],23),IF(Main[[#This Row],[Class]]="B", WORKDAY(Main[[#This Row],[Tech Start Date]],15),IF(Main[[#This Row],[Class]]="A",WORKDAY(Main[[#This Row],[Tech Start Date]],5),""))))</f>
        <v/>
      </c>
      <c r="P373" s="77" t="str">
        <f>IF(Main[[#This Row],[Tech Start Date]]&lt;1/1/1990,"",IF(Main[[#This Row],[Class]]="C",WORKDAY(Main[[#This Row],[Tech Start Date]],28),IF(Main[[#This Row],[Class]]="B", WORKDAY(Main[[#This Row],[Tech Start Date]],19),IF(Main[[#This Row],[Class]]="A",WORKDAY(Main[[#This Row],[Tech Start Date]],9),""))))</f>
        <v/>
      </c>
      <c r="Q373" s="74">
        <v>40357</v>
      </c>
      <c r="R373" s="74"/>
      <c r="S373" s="72" t="s">
        <v>11</v>
      </c>
      <c r="T373" s="80" t="s">
        <v>4</v>
      </c>
      <c r="U373" s="72" t="s">
        <v>12</v>
      </c>
      <c r="V373" s="72" t="s">
        <v>1937</v>
      </c>
      <c r="W373" s="72" t="s">
        <v>1945</v>
      </c>
      <c r="X373" s="72" t="s">
        <v>2985</v>
      </c>
      <c r="Y373" s="72" t="s">
        <v>4</v>
      </c>
      <c r="Z373" s="72" t="s">
        <v>4</v>
      </c>
    </row>
    <row r="374" spans="1:26" ht="18.600000000000001" customHeight="1">
      <c r="A374" s="142" t="str">
        <f>IF(priority(Main[[#This Row],[Comments]])&lt;&gt;0, priority(Main[[#This Row],[Comments]]),"")</f>
        <v/>
      </c>
      <c r="B374" s="90" t="s">
        <v>1217</v>
      </c>
      <c r="C374" s="72" t="s">
        <v>214</v>
      </c>
      <c r="D374" s="73" t="s">
        <v>262</v>
      </c>
      <c r="E374" s="74"/>
      <c r="F374" s="74">
        <v>40452</v>
      </c>
      <c r="G374" s="75" t="str">
        <f>IF(stdProdLT(Main[[#This Row],[Comments]])=0.1,"N/A",IF(stdProdLT(Main[[#This Row],[Comments]])=0,"",stdProdLT(Main[[#This Row],[Comments]])))</f>
        <v/>
      </c>
      <c r="H374" s="76" t="str">
        <f>IF(AND(Main[[#This Row],[In Stock Date]]&lt;&gt;"",Main[[#This Row],[Revised Due Date]]&lt;&gt;""),Main[[#This Row],[In Stock Date]]-Main[[#This Row],[Revised Due Date]],"")</f>
        <v/>
      </c>
      <c r="I374" s="72" t="s">
        <v>4</v>
      </c>
      <c r="J374" s="72" t="s">
        <v>4</v>
      </c>
      <c r="K374" s="81" t="s">
        <v>4</v>
      </c>
      <c r="L374" s="74"/>
      <c r="M374" s="77" t="str">
        <f>IF(Main[[#This Row],[Tech Start Date]]&lt;1/1/1990,"",IF(Main[[#This Row],[Class]]="C",WORKDAY(Main[[#This Row],[Tech Start Date]],9),IF(Main[[#This Row],[Class]]="B", WORKDAY(Main[[#This Row],[Tech Start Date]],6),IF(Main[[#This Row],[Class]]="A",WORKDAY(Main[[#This Row],[Tech Start Date]],2),""))))</f>
        <v/>
      </c>
      <c r="N374" s="77" t="str">
        <f>IF(Main[[#This Row],[Tech Start Date]]&lt;1/1/1990,"",IF(Main[[#This Row],[Class]]="C",WORKDAY(Main[[#This Row],[Tech Start Date]],19),IF(Main[[#This Row],[Class]]="B", WORKDAY(Main[[#This Row],[Tech Start Date]],12),IF(Main[[#This Row],[Class]]="A",WORKDAY(Main[[#This Row],[Tech Start Date]],4),""))))</f>
        <v/>
      </c>
      <c r="O374" s="77" t="str">
        <f>IF(Main[[#This Row],[Tech Start Date]]&lt;1/1/1990,"",IF(Main[[#This Row],[Class]]="C",WORKDAY(Main[[#This Row],[Tech Start Date]],23),IF(Main[[#This Row],[Class]]="B", WORKDAY(Main[[#This Row],[Tech Start Date]],15),IF(Main[[#This Row],[Class]]="A",WORKDAY(Main[[#This Row],[Tech Start Date]],5),""))))</f>
        <v/>
      </c>
      <c r="P374" s="77" t="str">
        <f>IF(Main[[#This Row],[Tech Start Date]]&lt;1/1/1990,"",IF(Main[[#This Row],[Class]]="C",WORKDAY(Main[[#This Row],[Tech Start Date]],28),IF(Main[[#This Row],[Class]]="B", WORKDAY(Main[[#This Row],[Tech Start Date]],19),IF(Main[[#This Row],[Class]]="A",WORKDAY(Main[[#This Row],[Tech Start Date]],9),""))))</f>
        <v/>
      </c>
      <c r="Q374" s="74">
        <v>40357</v>
      </c>
      <c r="R374" s="74"/>
      <c r="S374" s="72" t="s">
        <v>11</v>
      </c>
      <c r="T374" s="80" t="s">
        <v>4</v>
      </c>
      <c r="U374" s="72" t="s">
        <v>12</v>
      </c>
      <c r="V374" s="72" t="s">
        <v>1937</v>
      </c>
      <c r="W374" s="72" t="s">
        <v>1945</v>
      </c>
      <c r="X374" s="72" t="s">
        <v>2985</v>
      </c>
      <c r="Y374" s="72" t="s">
        <v>4</v>
      </c>
      <c r="Z374" s="72" t="s">
        <v>4</v>
      </c>
    </row>
    <row r="375" spans="1:26" ht="18.600000000000001" customHeight="1">
      <c r="A375" s="142" t="str">
        <f>IF(priority(Main[[#This Row],[Comments]])&lt;&gt;0, priority(Main[[#This Row],[Comments]]),"")</f>
        <v/>
      </c>
      <c r="B375" s="90" t="s">
        <v>1246</v>
      </c>
      <c r="C375" s="72" t="s">
        <v>4</v>
      </c>
      <c r="D375" s="73" t="s">
        <v>294</v>
      </c>
      <c r="E375" s="74">
        <v>40379.350532407407</v>
      </c>
      <c r="F375" s="74"/>
      <c r="G375" s="75" t="str">
        <f>IF(stdProdLT(Main[[#This Row],[Comments]])=0.1,"N/A",IF(stdProdLT(Main[[#This Row],[Comments]])=0,"",stdProdLT(Main[[#This Row],[Comments]])))</f>
        <v/>
      </c>
      <c r="H375" s="76" t="str">
        <f>IF(AND(Main[[#This Row],[In Stock Date]]&lt;&gt;"",Main[[#This Row],[Revised Due Date]]&lt;&gt;""),Main[[#This Row],[In Stock Date]]-Main[[#This Row],[Revised Due Date]],"")</f>
        <v/>
      </c>
      <c r="I375" s="72" t="s">
        <v>4</v>
      </c>
      <c r="J375" s="72" t="s">
        <v>28</v>
      </c>
      <c r="K375" s="72" t="s">
        <v>4</v>
      </c>
      <c r="L375" s="74"/>
      <c r="M375" s="77" t="str">
        <f>IF(Main[[#This Row],[Tech Start Date]]&lt;1/1/1990,"",IF(Main[[#This Row],[Class]]="C",WORKDAY(Main[[#This Row],[Tech Start Date]],9),IF(Main[[#This Row],[Class]]="B", WORKDAY(Main[[#This Row],[Tech Start Date]],6),IF(Main[[#This Row],[Class]]="A",WORKDAY(Main[[#This Row],[Tech Start Date]],2),""))))</f>
        <v/>
      </c>
      <c r="N375" s="77" t="str">
        <f>IF(Main[[#This Row],[Tech Start Date]]&lt;1/1/1990,"",IF(Main[[#This Row],[Class]]="C",WORKDAY(Main[[#This Row],[Tech Start Date]],19),IF(Main[[#This Row],[Class]]="B", WORKDAY(Main[[#This Row],[Tech Start Date]],12),IF(Main[[#This Row],[Class]]="A",WORKDAY(Main[[#This Row],[Tech Start Date]],4),""))))</f>
        <v/>
      </c>
      <c r="O375" s="77" t="str">
        <f>IF(Main[[#This Row],[Tech Start Date]]&lt;1/1/1990,"",IF(Main[[#This Row],[Class]]="C",WORKDAY(Main[[#This Row],[Tech Start Date]],23),IF(Main[[#This Row],[Class]]="B", WORKDAY(Main[[#This Row],[Tech Start Date]],15),IF(Main[[#This Row],[Class]]="A",WORKDAY(Main[[#This Row],[Tech Start Date]],5),""))))</f>
        <v/>
      </c>
      <c r="P375" s="77" t="str">
        <f>IF(Main[[#This Row],[Tech Start Date]]&lt;1/1/1990,"",IF(Main[[#This Row],[Class]]="C",WORKDAY(Main[[#This Row],[Tech Start Date]],28),IF(Main[[#This Row],[Class]]="B", WORKDAY(Main[[#This Row],[Tech Start Date]],19),IF(Main[[#This Row],[Class]]="A",WORKDAY(Main[[#This Row],[Tech Start Date]],9),""))))</f>
        <v/>
      </c>
      <c r="Q375" s="74">
        <v>40413</v>
      </c>
      <c r="R375" s="74"/>
      <c r="S375" s="72" t="s">
        <v>6</v>
      </c>
      <c r="T375" s="80" t="s">
        <v>4</v>
      </c>
      <c r="U375" s="72" t="s">
        <v>7</v>
      </c>
      <c r="V375" s="72" t="s">
        <v>1937</v>
      </c>
      <c r="W375" s="72" t="s">
        <v>1939</v>
      </c>
      <c r="X375" s="72" t="s">
        <v>2970</v>
      </c>
      <c r="Y375" s="72" t="s">
        <v>3087</v>
      </c>
      <c r="Z375" s="72" t="s">
        <v>129</v>
      </c>
    </row>
    <row r="376" spans="1:26" ht="18.600000000000001" customHeight="1">
      <c r="A376" s="142" t="str">
        <f>IF(priority(Main[[#This Row],[Comments]])&lt;&gt;0, priority(Main[[#This Row],[Comments]]),"")</f>
        <v/>
      </c>
      <c r="B376" s="90" t="s">
        <v>1247</v>
      </c>
      <c r="C376" s="72" t="s">
        <v>295</v>
      </c>
      <c r="D376" s="73" t="s">
        <v>296</v>
      </c>
      <c r="E376" s="74"/>
      <c r="F376" s="74"/>
      <c r="G376" s="75" t="str">
        <f>IF(stdProdLT(Main[[#This Row],[Comments]])=0.1,"N/A",IF(stdProdLT(Main[[#This Row],[Comments]])=0,"",stdProdLT(Main[[#This Row],[Comments]])))</f>
        <v/>
      </c>
      <c r="H376" s="76" t="str">
        <f>IF(AND(Main[[#This Row],[In Stock Date]]&lt;&gt;"",Main[[#This Row],[Revised Due Date]]&lt;&gt;""),Main[[#This Row],[In Stock Date]]-Main[[#This Row],[Revised Due Date]],"")</f>
        <v/>
      </c>
      <c r="I376" s="72" t="s">
        <v>4</v>
      </c>
      <c r="J376" s="72" t="s">
        <v>4</v>
      </c>
      <c r="K376" s="72" t="s">
        <v>4</v>
      </c>
      <c r="L376" s="74"/>
      <c r="M376" s="77" t="str">
        <f>IF(Main[[#This Row],[Tech Start Date]]&lt;1/1/1990,"",IF(Main[[#This Row],[Class]]="C",WORKDAY(Main[[#This Row],[Tech Start Date]],9),IF(Main[[#This Row],[Class]]="B", WORKDAY(Main[[#This Row],[Tech Start Date]],6),IF(Main[[#This Row],[Class]]="A",WORKDAY(Main[[#This Row],[Tech Start Date]],2),""))))</f>
        <v/>
      </c>
      <c r="N376" s="77" t="str">
        <f>IF(Main[[#This Row],[Tech Start Date]]&lt;1/1/1990,"",IF(Main[[#This Row],[Class]]="C",WORKDAY(Main[[#This Row],[Tech Start Date]],19),IF(Main[[#This Row],[Class]]="B", WORKDAY(Main[[#This Row],[Tech Start Date]],12),IF(Main[[#This Row],[Class]]="A",WORKDAY(Main[[#This Row],[Tech Start Date]],4),""))))</f>
        <v/>
      </c>
      <c r="O376" s="77" t="str">
        <f>IF(Main[[#This Row],[Tech Start Date]]&lt;1/1/1990,"",IF(Main[[#This Row],[Class]]="C",WORKDAY(Main[[#This Row],[Tech Start Date]],23),IF(Main[[#This Row],[Class]]="B", WORKDAY(Main[[#This Row],[Tech Start Date]],15),IF(Main[[#This Row],[Class]]="A",WORKDAY(Main[[#This Row],[Tech Start Date]],5),""))))</f>
        <v/>
      </c>
      <c r="P376" s="77" t="str">
        <f>IF(Main[[#This Row],[Tech Start Date]]&lt;1/1/1990,"",IF(Main[[#This Row],[Class]]="C",WORKDAY(Main[[#This Row],[Tech Start Date]],28),IF(Main[[#This Row],[Class]]="B", WORKDAY(Main[[#This Row],[Tech Start Date]],19),IF(Main[[#This Row],[Class]]="A",WORKDAY(Main[[#This Row],[Tech Start Date]],9),""))))</f>
        <v/>
      </c>
      <c r="Q376" s="74">
        <v>40052</v>
      </c>
      <c r="R376" s="74"/>
      <c r="S376" s="72" t="s">
        <v>11</v>
      </c>
      <c r="T376" s="80" t="s">
        <v>4</v>
      </c>
      <c r="U376" s="72" t="s">
        <v>14</v>
      </c>
      <c r="V376" s="72" t="s">
        <v>1940</v>
      </c>
      <c r="W376" s="72" t="s">
        <v>1939</v>
      </c>
      <c r="X376" s="72" t="s">
        <v>2986</v>
      </c>
      <c r="Y376" s="72" t="s">
        <v>4</v>
      </c>
      <c r="Z376" s="72" t="s">
        <v>4</v>
      </c>
    </row>
    <row r="377" spans="1:26" ht="18.600000000000001" customHeight="1">
      <c r="A377" s="142" t="str">
        <f>IF(priority(Main[[#This Row],[Comments]])&lt;&gt;0, priority(Main[[#This Row],[Comments]]),"")</f>
        <v/>
      </c>
      <c r="B377" s="90" t="s">
        <v>2790</v>
      </c>
      <c r="C377" s="72" t="s">
        <v>2791</v>
      </c>
      <c r="D377" s="73" t="s">
        <v>2792</v>
      </c>
      <c r="E377" s="74"/>
      <c r="F377" s="74">
        <v>40900</v>
      </c>
      <c r="G377" s="75" t="str">
        <f>IF(stdProdLT(Main[[#This Row],[Comments]])=0.1,"N/A",IF(stdProdLT(Main[[#This Row],[Comments]])=0,"",stdProdLT(Main[[#This Row],[Comments]])))</f>
        <v/>
      </c>
      <c r="H377" s="76" t="str">
        <f>IF(AND(Main[[#This Row],[In Stock Date]]&lt;&gt;"",Main[[#This Row],[Revised Due Date]]&lt;&gt;""),Main[[#This Row],[In Stock Date]]-Main[[#This Row],[Revised Due Date]],"")</f>
        <v/>
      </c>
      <c r="I377" s="72" t="s">
        <v>4</v>
      </c>
      <c r="J377" s="72" t="s">
        <v>4</v>
      </c>
      <c r="K377" s="72" t="s">
        <v>4</v>
      </c>
      <c r="L377" s="74"/>
      <c r="M377" s="77" t="str">
        <f>IF(Main[[#This Row],[Tech Start Date]]&lt;1/1/1990,"",IF(Main[[#This Row],[Class]]="C",WORKDAY(Main[[#This Row],[Tech Start Date]],9),IF(Main[[#This Row],[Class]]="B", WORKDAY(Main[[#This Row],[Tech Start Date]],6),IF(Main[[#This Row],[Class]]="A",WORKDAY(Main[[#This Row],[Tech Start Date]],2),""))))</f>
        <v/>
      </c>
      <c r="N377" s="77" t="str">
        <f>IF(Main[[#This Row],[Tech Start Date]]&lt;1/1/1990,"",IF(Main[[#This Row],[Class]]="C",WORKDAY(Main[[#This Row],[Tech Start Date]],19),IF(Main[[#This Row],[Class]]="B", WORKDAY(Main[[#This Row],[Tech Start Date]],12),IF(Main[[#This Row],[Class]]="A",WORKDAY(Main[[#This Row],[Tech Start Date]],4),""))))</f>
        <v/>
      </c>
      <c r="O377" s="77" t="str">
        <f>IF(Main[[#This Row],[Tech Start Date]]&lt;1/1/1990,"",IF(Main[[#This Row],[Class]]="C",WORKDAY(Main[[#This Row],[Tech Start Date]],23),IF(Main[[#This Row],[Class]]="B", WORKDAY(Main[[#This Row],[Tech Start Date]],15),IF(Main[[#This Row],[Class]]="A",WORKDAY(Main[[#This Row],[Tech Start Date]],5),""))))</f>
        <v/>
      </c>
      <c r="P377" s="77" t="str">
        <f>IF(Main[[#This Row],[Tech Start Date]]&lt;1/1/1990,"",IF(Main[[#This Row],[Class]]="C",WORKDAY(Main[[#This Row],[Tech Start Date]],28),IF(Main[[#This Row],[Class]]="B", WORKDAY(Main[[#This Row],[Tech Start Date]],19),IF(Main[[#This Row],[Class]]="A",WORKDAY(Main[[#This Row],[Tech Start Date]],9),""))))</f>
        <v/>
      </c>
      <c r="Q377" s="74">
        <v>40899</v>
      </c>
      <c r="R377" s="74"/>
      <c r="S377" s="72" t="s">
        <v>11</v>
      </c>
      <c r="T377" s="80" t="s">
        <v>4</v>
      </c>
      <c r="U377" s="72" t="s">
        <v>14</v>
      </c>
      <c r="V377" s="72" t="s">
        <v>1940</v>
      </c>
      <c r="W377" s="72" t="s">
        <v>1943</v>
      </c>
      <c r="X377" s="72" t="s">
        <v>3022</v>
      </c>
      <c r="Y377" s="72" t="s">
        <v>3174</v>
      </c>
      <c r="Z377" s="72" t="s">
        <v>4</v>
      </c>
    </row>
    <row r="378" spans="1:26" ht="18.600000000000001" customHeight="1">
      <c r="A378" s="142" t="str">
        <f>IF(priority(Main[[#This Row],[Comments]])&lt;&gt;0, priority(Main[[#This Row],[Comments]]),"")</f>
        <v/>
      </c>
      <c r="B378" s="90" t="s">
        <v>2401</v>
      </c>
      <c r="C378" s="72" t="s">
        <v>4</v>
      </c>
      <c r="D378" s="73" t="s">
        <v>2402</v>
      </c>
      <c r="E378" s="74"/>
      <c r="F378" s="74"/>
      <c r="G378" s="75" t="str">
        <f>IF(stdProdLT(Main[[#This Row],[Comments]])=0.1,"N/A",IF(stdProdLT(Main[[#This Row],[Comments]])=0,"",stdProdLT(Main[[#This Row],[Comments]])))</f>
        <v/>
      </c>
      <c r="H378" s="76" t="str">
        <f>IF(AND(Main[[#This Row],[In Stock Date]]&lt;&gt;"",Main[[#This Row],[Revised Due Date]]&lt;&gt;""),Main[[#This Row],[In Stock Date]]-Main[[#This Row],[Revised Due Date]],"")</f>
        <v/>
      </c>
      <c r="I378" s="72" t="s">
        <v>4</v>
      </c>
      <c r="J378" s="72" t="s">
        <v>4</v>
      </c>
      <c r="K378" s="72" t="s">
        <v>4</v>
      </c>
      <c r="L378" s="74"/>
      <c r="M378" s="77" t="str">
        <f>IF(Main[[#This Row],[Tech Start Date]]&lt;1/1/1990,"",IF(Main[[#This Row],[Class]]="C",WORKDAY(Main[[#This Row],[Tech Start Date]],9),IF(Main[[#This Row],[Class]]="B", WORKDAY(Main[[#This Row],[Tech Start Date]],6),IF(Main[[#This Row],[Class]]="A",WORKDAY(Main[[#This Row],[Tech Start Date]],2),""))))</f>
        <v/>
      </c>
      <c r="N378" s="77" t="str">
        <f>IF(Main[[#This Row],[Tech Start Date]]&lt;1/1/1990,"",IF(Main[[#This Row],[Class]]="C",WORKDAY(Main[[#This Row],[Tech Start Date]],19),IF(Main[[#This Row],[Class]]="B", WORKDAY(Main[[#This Row],[Tech Start Date]],12),IF(Main[[#This Row],[Class]]="A",WORKDAY(Main[[#This Row],[Tech Start Date]],4),""))))</f>
        <v/>
      </c>
      <c r="O378" s="77" t="str">
        <f>IF(Main[[#This Row],[Tech Start Date]]&lt;1/1/1990,"",IF(Main[[#This Row],[Class]]="C",WORKDAY(Main[[#This Row],[Tech Start Date]],23),IF(Main[[#This Row],[Class]]="B", WORKDAY(Main[[#This Row],[Tech Start Date]],15),IF(Main[[#This Row],[Class]]="A",WORKDAY(Main[[#This Row],[Tech Start Date]],5),""))))</f>
        <v/>
      </c>
      <c r="P378" s="77" t="str">
        <f>IF(Main[[#This Row],[Tech Start Date]]&lt;1/1/1990,"",IF(Main[[#This Row],[Class]]="C",WORKDAY(Main[[#This Row],[Tech Start Date]],28),IF(Main[[#This Row],[Class]]="B", WORKDAY(Main[[#This Row],[Tech Start Date]],19),IF(Main[[#This Row],[Class]]="A",WORKDAY(Main[[#This Row],[Tech Start Date]],9),""))))</f>
        <v/>
      </c>
      <c r="Q378" s="74"/>
      <c r="R378" s="74"/>
      <c r="S378" s="72" t="s">
        <v>11</v>
      </c>
      <c r="T378" s="80" t="s">
        <v>4</v>
      </c>
      <c r="U378" s="72" t="s">
        <v>14</v>
      </c>
      <c r="V378" s="72" t="s">
        <v>1938</v>
      </c>
      <c r="W378" s="72" t="s">
        <v>4</v>
      </c>
      <c r="X378" s="72" t="s">
        <v>2283</v>
      </c>
      <c r="Y378" s="72" t="s">
        <v>4</v>
      </c>
      <c r="Z378" s="72" t="s">
        <v>4</v>
      </c>
    </row>
    <row r="379" spans="1:26" ht="18.600000000000001" customHeight="1">
      <c r="A379" s="142" t="str">
        <f>IF(priority(Main[[#This Row],[Comments]])&lt;&gt;0, priority(Main[[#This Row],[Comments]]),"")</f>
        <v/>
      </c>
      <c r="B379" s="90" t="s">
        <v>1858</v>
      </c>
      <c r="C379" s="72" t="s">
        <v>905</v>
      </c>
      <c r="D379" s="73" t="s">
        <v>906</v>
      </c>
      <c r="E379" s="74"/>
      <c r="F379" s="74"/>
      <c r="G379" s="75" t="str">
        <f>IF(stdProdLT(Main[[#This Row],[Comments]])=0.1,"N/A",IF(stdProdLT(Main[[#This Row],[Comments]])=0,"",stdProdLT(Main[[#This Row],[Comments]])))</f>
        <v/>
      </c>
      <c r="H379" s="76" t="str">
        <f>IF(AND(Main[[#This Row],[In Stock Date]]&lt;&gt;"",Main[[#This Row],[Revised Due Date]]&lt;&gt;""),Main[[#This Row],[In Stock Date]]-Main[[#This Row],[Revised Due Date]],"")</f>
        <v/>
      </c>
      <c r="I379" s="72" t="s">
        <v>4</v>
      </c>
      <c r="J379" s="72" t="s">
        <v>4</v>
      </c>
      <c r="K379" s="72" t="s">
        <v>1950</v>
      </c>
      <c r="L379" s="74"/>
      <c r="M379" s="77" t="str">
        <f>IF(Main[[#This Row],[Tech Start Date]]&lt;1/1/1990,"",IF(Main[[#This Row],[Class]]="C",WORKDAY(Main[[#This Row],[Tech Start Date]],9),IF(Main[[#This Row],[Class]]="B", WORKDAY(Main[[#This Row],[Tech Start Date]],6),IF(Main[[#This Row],[Class]]="A",WORKDAY(Main[[#This Row],[Tech Start Date]],2),""))))</f>
        <v/>
      </c>
      <c r="N379" s="77" t="str">
        <f>IF(Main[[#This Row],[Tech Start Date]]&lt;1/1/1990,"",IF(Main[[#This Row],[Class]]="C",WORKDAY(Main[[#This Row],[Tech Start Date]],19),IF(Main[[#This Row],[Class]]="B", WORKDAY(Main[[#This Row],[Tech Start Date]],12),IF(Main[[#This Row],[Class]]="A",WORKDAY(Main[[#This Row],[Tech Start Date]],4),""))))</f>
        <v/>
      </c>
      <c r="O379" s="77" t="str">
        <f>IF(Main[[#This Row],[Tech Start Date]]&lt;1/1/1990,"",IF(Main[[#This Row],[Class]]="C",WORKDAY(Main[[#This Row],[Tech Start Date]],23),IF(Main[[#This Row],[Class]]="B", WORKDAY(Main[[#This Row],[Tech Start Date]],15),IF(Main[[#This Row],[Class]]="A",WORKDAY(Main[[#This Row],[Tech Start Date]],5),""))))</f>
        <v/>
      </c>
      <c r="P379" s="77" t="str">
        <f>IF(Main[[#This Row],[Tech Start Date]]&lt;1/1/1990,"",IF(Main[[#This Row],[Class]]="C",WORKDAY(Main[[#This Row],[Tech Start Date]],28),IF(Main[[#This Row],[Class]]="B", WORKDAY(Main[[#This Row],[Tech Start Date]],19),IF(Main[[#This Row],[Class]]="A",WORKDAY(Main[[#This Row],[Tech Start Date]],9),""))))</f>
        <v/>
      </c>
      <c r="Q379" s="74">
        <v>40436</v>
      </c>
      <c r="R379" s="74">
        <v>40436</v>
      </c>
      <c r="S379" s="72" t="s">
        <v>11</v>
      </c>
      <c r="T379" s="80" t="s">
        <v>4</v>
      </c>
      <c r="U379" s="72" t="s">
        <v>14</v>
      </c>
      <c r="V379" s="72" t="s">
        <v>1938</v>
      </c>
      <c r="W379" s="72" t="s">
        <v>1939</v>
      </c>
      <c r="X379" s="72" t="s">
        <v>3006</v>
      </c>
      <c r="Y379" s="72" t="s">
        <v>4</v>
      </c>
      <c r="Z379" s="72" t="s">
        <v>4</v>
      </c>
    </row>
    <row r="380" spans="1:26" ht="18.600000000000001" customHeight="1">
      <c r="A380" s="142" t="str">
        <f>IF(priority(Main[[#This Row],[Comments]])&lt;&gt;0, priority(Main[[#This Row],[Comments]]),"")</f>
        <v/>
      </c>
      <c r="B380" s="90" t="s">
        <v>1248</v>
      </c>
      <c r="C380" s="72" t="s">
        <v>113</v>
      </c>
      <c r="D380" s="73" t="s">
        <v>297</v>
      </c>
      <c r="E380" s="74"/>
      <c r="F380" s="74">
        <v>40193</v>
      </c>
      <c r="G380" s="75" t="str">
        <f>IF(stdProdLT(Main[[#This Row],[Comments]])=0.1,"N/A",IF(stdProdLT(Main[[#This Row],[Comments]])=0,"",stdProdLT(Main[[#This Row],[Comments]])))</f>
        <v/>
      </c>
      <c r="H380" s="76" t="str">
        <f>IF(AND(Main[[#This Row],[In Stock Date]]&lt;&gt;"",Main[[#This Row],[Revised Due Date]]&lt;&gt;""),Main[[#This Row],[In Stock Date]]-Main[[#This Row],[Revised Due Date]],"")</f>
        <v/>
      </c>
      <c r="I380" s="72" t="s">
        <v>4</v>
      </c>
      <c r="J380" s="72" t="s">
        <v>4</v>
      </c>
      <c r="K380" s="81" t="s">
        <v>4</v>
      </c>
      <c r="L380" s="74"/>
      <c r="M380" s="77" t="str">
        <f>IF(Main[[#This Row],[Tech Start Date]]&lt;1/1/1990,"",IF(Main[[#This Row],[Class]]="C",WORKDAY(Main[[#This Row],[Tech Start Date]],9),IF(Main[[#This Row],[Class]]="B", WORKDAY(Main[[#This Row],[Tech Start Date]],6),IF(Main[[#This Row],[Class]]="A",WORKDAY(Main[[#This Row],[Tech Start Date]],2),""))))</f>
        <v/>
      </c>
      <c r="N380" s="77" t="str">
        <f>IF(Main[[#This Row],[Tech Start Date]]&lt;1/1/1990,"",IF(Main[[#This Row],[Class]]="C",WORKDAY(Main[[#This Row],[Tech Start Date]],19),IF(Main[[#This Row],[Class]]="B", WORKDAY(Main[[#This Row],[Tech Start Date]],12),IF(Main[[#This Row],[Class]]="A",WORKDAY(Main[[#This Row],[Tech Start Date]],4),""))))</f>
        <v/>
      </c>
      <c r="O380" s="77" t="str">
        <f>IF(Main[[#This Row],[Tech Start Date]]&lt;1/1/1990,"",IF(Main[[#This Row],[Class]]="C",WORKDAY(Main[[#This Row],[Tech Start Date]],23),IF(Main[[#This Row],[Class]]="B", WORKDAY(Main[[#This Row],[Tech Start Date]],15),IF(Main[[#This Row],[Class]]="A",WORKDAY(Main[[#This Row],[Tech Start Date]],5),""))))</f>
        <v/>
      </c>
      <c r="P380" s="77" t="str">
        <f>IF(Main[[#This Row],[Tech Start Date]]&lt;1/1/1990,"",IF(Main[[#This Row],[Class]]="C",WORKDAY(Main[[#This Row],[Tech Start Date]],28),IF(Main[[#This Row],[Class]]="B", WORKDAY(Main[[#This Row],[Tech Start Date]],19),IF(Main[[#This Row],[Class]]="A",WORKDAY(Main[[#This Row],[Tech Start Date]],9),""))))</f>
        <v/>
      </c>
      <c r="Q380" s="74"/>
      <c r="R380" s="74"/>
      <c r="S380" s="72" t="s">
        <v>11</v>
      </c>
      <c r="T380" s="80" t="s">
        <v>4</v>
      </c>
      <c r="U380" s="72" t="s">
        <v>14</v>
      </c>
      <c r="V380" s="72" t="s">
        <v>1947</v>
      </c>
      <c r="W380" s="72" t="s">
        <v>1943</v>
      </c>
      <c r="X380" s="72" t="s">
        <v>2996</v>
      </c>
      <c r="Y380" s="72" t="s">
        <v>3135</v>
      </c>
      <c r="Z380" s="72" t="s">
        <v>4</v>
      </c>
    </row>
    <row r="381" spans="1:26" ht="18.600000000000001" customHeight="1">
      <c r="A381" s="142" t="str">
        <f>IF(priority(Main[[#This Row],[Comments]])&lt;&gt;0, priority(Main[[#This Row],[Comments]]),"")</f>
        <v/>
      </c>
      <c r="B381" s="90" t="s">
        <v>1249</v>
      </c>
      <c r="C381" s="72" t="s">
        <v>4</v>
      </c>
      <c r="D381" s="73" t="s">
        <v>298</v>
      </c>
      <c r="E381" s="74"/>
      <c r="F381" s="74"/>
      <c r="G381" s="75" t="str">
        <f>IF(stdProdLT(Main[[#This Row],[Comments]])=0.1,"N/A",IF(stdProdLT(Main[[#This Row],[Comments]])=0,"",stdProdLT(Main[[#This Row],[Comments]])))</f>
        <v/>
      </c>
      <c r="H381" s="76" t="str">
        <f>IF(AND(Main[[#This Row],[In Stock Date]]&lt;&gt;"",Main[[#This Row],[Revised Due Date]]&lt;&gt;""),Main[[#This Row],[In Stock Date]]-Main[[#This Row],[Revised Due Date]],"")</f>
        <v/>
      </c>
      <c r="I381" s="72" t="s">
        <v>4</v>
      </c>
      <c r="J381" s="72" t="s">
        <v>28</v>
      </c>
      <c r="K381" s="72" t="s">
        <v>4</v>
      </c>
      <c r="L381" s="74"/>
      <c r="M381" s="77" t="str">
        <f>IF(Main[[#This Row],[Tech Start Date]]&lt;1/1/1990,"",IF(Main[[#This Row],[Class]]="C",WORKDAY(Main[[#This Row],[Tech Start Date]],9),IF(Main[[#This Row],[Class]]="B", WORKDAY(Main[[#This Row],[Tech Start Date]],6),IF(Main[[#This Row],[Class]]="A",WORKDAY(Main[[#This Row],[Tech Start Date]],2),""))))</f>
        <v/>
      </c>
      <c r="N381" s="77" t="str">
        <f>IF(Main[[#This Row],[Tech Start Date]]&lt;1/1/1990,"",IF(Main[[#This Row],[Class]]="C",WORKDAY(Main[[#This Row],[Tech Start Date]],19),IF(Main[[#This Row],[Class]]="B", WORKDAY(Main[[#This Row],[Tech Start Date]],12),IF(Main[[#This Row],[Class]]="A",WORKDAY(Main[[#This Row],[Tech Start Date]],4),""))))</f>
        <v/>
      </c>
      <c r="O381" s="77" t="str">
        <f>IF(Main[[#This Row],[Tech Start Date]]&lt;1/1/1990,"",IF(Main[[#This Row],[Class]]="C",WORKDAY(Main[[#This Row],[Tech Start Date]],23),IF(Main[[#This Row],[Class]]="B", WORKDAY(Main[[#This Row],[Tech Start Date]],15),IF(Main[[#This Row],[Class]]="A",WORKDAY(Main[[#This Row],[Tech Start Date]],5),""))))</f>
        <v/>
      </c>
      <c r="P381" s="77" t="str">
        <f>IF(Main[[#This Row],[Tech Start Date]]&lt;1/1/1990,"",IF(Main[[#This Row],[Class]]="C",WORKDAY(Main[[#This Row],[Tech Start Date]],28),IF(Main[[#This Row],[Class]]="B", WORKDAY(Main[[#This Row],[Tech Start Date]],19),IF(Main[[#This Row],[Class]]="A",WORKDAY(Main[[#This Row],[Tech Start Date]],9),""))))</f>
        <v/>
      </c>
      <c r="Q381" s="74">
        <v>40471</v>
      </c>
      <c r="R381" s="74"/>
      <c r="S381" s="72" t="s">
        <v>6</v>
      </c>
      <c r="T381" s="80" t="s">
        <v>4</v>
      </c>
      <c r="U381" s="72" t="s">
        <v>14</v>
      </c>
      <c r="V381" s="72" t="s">
        <v>1947</v>
      </c>
      <c r="W381" s="72" t="s">
        <v>1939</v>
      </c>
      <c r="X381" s="72" t="s">
        <v>2999</v>
      </c>
      <c r="Y381" s="72" t="s">
        <v>3136</v>
      </c>
      <c r="Z381" s="72" t="s">
        <v>536</v>
      </c>
    </row>
    <row r="382" spans="1:26" ht="18.600000000000001" customHeight="1">
      <c r="A382" s="142" t="str">
        <f>IF(priority(Main[[#This Row],[Comments]])&lt;&gt;0, priority(Main[[#This Row],[Comments]]),"")</f>
        <v/>
      </c>
      <c r="B382" s="90" t="s">
        <v>1250</v>
      </c>
      <c r="C382" s="72" t="s">
        <v>4</v>
      </c>
      <c r="D382" s="73" t="s">
        <v>97</v>
      </c>
      <c r="E382" s="74"/>
      <c r="F382" s="74"/>
      <c r="G382" s="75" t="str">
        <f>IF(stdProdLT(Main[[#This Row],[Comments]])=0.1,"N/A",IF(stdProdLT(Main[[#This Row],[Comments]])=0,"",stdProdLT(Main[[#This Row],[Comments]])))</f>
        <v/>
      </c>
      <c r="H382" s="76" t="str">
        <f>IF(AND(Main[[#This Row],[In Stock Date]]&lt;&gt;"",Main[[#This Row],[Revised Due Date]]&lt;&gt;""),Main[[#This Row],[In Stock Date]]-Main[[#This Row],[Revised Due Date]],"")</f>
        <v/>
      </c>
      <c r="I382" s="72" t="s">
        <v>4</v>
      </c>
      <c r="J382" s="72" t="s">
        <v>4</v>
      </c>
      <c r="K382" s="72" t="s">
        <v>4</v>
      </c>
      <c r="L382" s="74"/>
      <c r="M382" s="77" t="str">
        <f>IF(Main[[#This Row],[Tech Start Date]]&lt;1/1/1990,"",IF(Main[[#This Row],[Class]]="C",WORKDAY(Main[[#This Row],[Tech Start Date]],9),IF(Main[[#This Row],[Class]]="B", WORKDAY(Main[[#This Row],[Tech Start Date]],6),IF(Main[[#This Row],[Class]]="A",WORKDAY(Main[[#This Row],[Tech Start Date]],2),""))))</f>
        <v/>
      </c>
      <c r="N382" s="77" t="str">
        <f>IF(Main[[#This Row],[Tech Start Date]]&lt;1/1/1990,"",IF(Main[[#This Row],[Class]]="C",WORKDAY(Main[[#This Row],[Tech Start Date]],19),IF(Main[[#This Row],[Class]]="B", WORKDAY(Main[[#This Row],[Tech Start Date]],12),IF(Main[[#This Row],[Class]]="A",WORKDAY(Main[[#This Row],[Tech Start Date]],4),""))))</f>
        <v/>
      </c>
      <c r="O382" s="77" t="str">
        <f>IF(Main[[#This Row],[Tech Start Date]]&lt;1/1/1990,"",IF(Main[[#This Row],[Class]]="C",WORKDAY(Main[[#This Row],[Tech Start Date]],23),IF(Main[[#This Row],[Class]]="B", WORKDAY(Main[[#This Row],[Tech Start Date]],15),IF(Main[[#This Row],[Class]]="A",WORKDAY(Main[[#This Row],[Tech Start Date]],5),""))))</f>
        <v/>
      </c>
      <c r="P382" s="77" t="str">
        <f>IF(Main[[#This Row],[Tech Start Date]]&lt;1/1/1990,"",IF(Main[[#This Row],[Class]]="C",WORKDAY(Main[[#This Row],[Tech Start Date]],28),IF(Main[[#This Row],[Class]]="B", WORKDAY(Main[[#This Row],[Tech Start Date]],19),IF(Main[[#This Row],[Class]]="A",WORKDAY(Main[[#This Row],[Tech Start Date]],9),""))))</f>
        <v/>
      </c>
      <c r="Q382" s="74">
        <v>40858</v>
      </c>
      <c r="R382" s="74"/>
      <c r="S382" s="72" t="s">
        <v>17</v>
      </c>
      <c r="T382" s="80" t="s">
        <v>4</v>
      </c>
      <c r="U382" s="72" t="s">
        <v>14</v>
      </c>
      <c r="V382" s="72" t="s">
        <v>1937</v>
      </c>
      <c r="W382" s="72" t="s">
        <v>1942</v>
      </c>
      <c r="X382" s="72" t="s">
        <v>50</v>
      </c>
      <c r="Y382" s="72" t="s">
        <v>3117</v>
      </c>
      <c r="Z382" s="72" t="s">
        <v>4</v>
      </c>
    </row>
    <row r="383" spans="1:26" ht="18.600000000000001" customHeight="1">
      <c r="A383" s="143" t="str">
        <f>IF(priority(Main[[#This Row],[Comments]])&lt;&gt;0, priority(Main[[#This Row],[Comments]]),"")</f>
        <v/>
      </c>
      <c r="B383" s="90" t="s">
        <v>1252</v>
      </c>
      <c r="C383" s="83" t="s">
        <v>4</v>
      </c>
      <c r="D383" s="84" t="s">
        <v>300</v>
      </c>
      <c r="E383" s="85"/>
      <c r="F383" s="85"/>
      <c r="G383" s="83" t="str">
        <f>IF(stdProdLT(Main[[#This Row],[Comments]])=0.1,"N/A",IF(stdProdLT(Main[[#This Row],[Comments]])=0,"",stdProdLT(Main[[#This Row],[Comments]])))</f>
        <v/>
      </c>
      <c r="H383" s="86" t="str">
        <f>IF(AND(Main[[#This Row],[In Stock Date]]&lt;&gt;"",Main[[#This Row],[Revised Due Date]]&lt;&gt;""),Main[[#This Row],[In Stock Date]]-Main[[#This Row],[Revised Due Date]],"")</f>
        <v/>
      </c>
      <c r="I383" s="83" t="s">
        <v>4</v>
      </c>
      <c r="J383" s="83" t="s">
        <v>28</v>
      </c>
      <c r="K383" s="83" t="s">
        <v>4</v>
      </c>
      <c r="L383" s="85"/>
      <c r="M383" s="87" t="str">
        <f>IF(Main[[#This Row],[Tech Start Date]]&lt;1/1/1990,"",IF(Main[[#This Row],[Class]]="C",WORKDAY(Main[[#This Row],[Tech Start Date]],9),IF(Main[[#This Row],[Class]]="B", WORKDAY(Main[[#This Row],[Tech Start Date]],6),IF(Main[[#This Row],[Class]]="A",WORKDAY(Main[[#This Row],[Tech Start Date]],2),""))))</f>
        <v/>
      </c>
      <c r="N383" s="87" t="str">
        <f>IF(Main[[#This Row],[Tech Start Date]]&lt;1/1/1990,"",IF(Main[[#This Row],[Class]]="C",WORKDAY(Main[[#This Row],[Tech Start Date]],19),IF(Main[[#This Row],[Class]]="B", WORKDAY(Main[[#This Row],[Tech Start Date]],12),IF(Main[[#This Row],[Class]]="A",WORKDAY(Main[[#This Row],[Tech Start Date]],4),""))))</f>
        <v/>
      </c>
      <c r="O383" s="87" t="str">
        <f>IF(Main[[#This Row],[Tech Start Date]]&lt;1/1/1990,"",IF(Main[[#This Row],[Class]]="C",WORKDAY(Main[[#This Row],[Tech Start Date]],23),IF(Main[[#This Row],[Class]]="B", WORKDAY(Main[[#This Row],[Tech Start Date]],15),IF(Main[[#This Row],[Class]]="A",WORKDAY(Main[[#This Row],[Tech Start Date]],5),""))))</f>
        <v/>
      </c>
      <c r="P383" s="87" t="str">
        <f>IF(Main[[#This Row],[Tech Start Date]]&lt;1/1/1990,"",IF(Main[[#This Row],[Class]]="C",WORKDAY(Main[[#This Row],[Tech Start Date]],28),IF(Main[[#This Row],[Class]]="B", WORKDAY(Main[[#This Row],[Tech Start Date]],19),IF(Main[[#This Row],[Class]]="A",WORKDAY(Main[[#This Row],[Tech Start Date]],9),""))))</f>
        <v/>
      </c>
      <c r="Q383" s="85">
        <v>40471</v>
      </c>
      <c r="R383" s="85"/>
      <c r="S383" s="83" t="s">
        <v>301</v>
      </c>
      <c r="T383" s="88" t="s">
        <v>4</v>
      </c>
      <c r="U383" s="83" t="s">
        <v>14</v>
      </c>
      <c r="V383" s="83" t="s">
        <v>1947</v>
      </c>
      <c r="W383" s="83" t="s">
        <v>1939</v>
      </c>
      <c r="X383" s="83" t="s">
        <v>2999</v>
      </c>
      <c r="Y383" s="83" t="s">
        <v>3136</v>
      </c>
      <c r="Z383" s="83" t="s">
        <v>536</v>
      </c>
    </row>
    <row r="384" spans="1:26" ht="18.600000000000001" customHeight="1">
      <c r="A384" s="142" t="str">
        <f>IF(priority(Main[[#This Row],[Comments]])&lt;&gt;0, priority(Main[[#This Row],[Comments]]),"")</f>
        <v/>
      </c>
      <c r="B384" s="90" t="s">
        <v>1253</v>
      </c>
      <c r="C384" s="72" t="s">
        <v>93</v>
      </c>
      <c r="D384" s="73" t="s">
        <v>302</v>
      </c>
      <c r="E384" s="74"/>
      <c r="F384" s="74">
        <v>40210</v>
      </c>
      <c r="G384" s="75" t="str">
        <f>IF(stdProdLT(Main[[#This Row],[Comments]])=0.1,"N/A",IF(stdProdLT(Main[[#This Row],[Comments]])=0,"",stdProdLT(Main[[#This Row],[Comments]])))</f>
        <v/>
      </c>
      <c r="H384" s="76" t="str">
        <f>IF(AND(Main[[#This Row],[In Stock Date]]&lt;&gt;"",Main[[#This Row],[Revised Due Date]]&lt;&gt;""),Main[[#This Row],[In Stock Date]]-Main[[#This Row],[Revised Due Date]],"")</f>
        <v/>
      </c>
      <c r="I384" s="72" t="s">
        <v>4</v>
      </c>
      <c r="J384" s="72" t="s">
        <v>4</v>
      </c>
      <c r="K384" s="72" t="s">
        <v>4</v>
      </c>
      <c r="L384" s="74"/>
      <c r="M384" s="77" t="str">
        <f>IF(Main[[#This Row],[Tech Start Date]]&lt;1/1/1990,"",IF(Main[[#This Row],[Class]]="C",WORKDAY(Main[[#This Row],[Tech Start Date]],9),IF(Main[[#This Row],[Class]]="B", WORKDAY(Main[[#This Row],[Tech Start Date]],6),IF(Main[[#This Row],[Class]]="A",WORKDAY(Main[[#This Row],[Tech Start Date]],2),""))))</f>
        <v/>
      </c>
      <c r="N384" s="77" t="str">
        <f>IF(Main[[#This Row],[Tech Start Date]]&lt;1/1/1990,"",IF(Main[[#This Row],[Class]]="C",WORKDAY(Main[[#This Row],[Tech Start Date]],19),IF(Main[[#This Row],[Class]]="B", WORKDAY(Main[[#This Row],[Tech Start Date]],12),IF(Main[[#This Row],[Class]]="A",WORKDAY(Main[[#This Row],[Tech Start Date]],4),""))))</f>
        <v/>
      </c>
      <c r="O384" s="77" t="str">
        <f>IF(Main[[#This Row],[Tech Start Date]]&lt;1/1/1990,"",IF(Main[[#This Row],[Class]]="C",WORKDAY(Main[[#This Row],[Tech Start Date]],23),IF(Main[[#This Row],[Class]]="B", WORKDAY(Main[[#This Row],[Tech Start Date]],15),IF(Main[[#This Row],[Class]]="A",WORKDAY(Main[[#This Row],[Tech Start Date]],5),""))))</f>
        <v/>
      </c>
      <c r="P384" s="77" t="str">
        <f>IF(Main[[#This Row],[Tech Start Date]]&lt;1/1/1990,"",IF(Main[[#This Row],[Class]]="C",WORKDAY(Main[[#This Row],[Tech Start Date]],28),IF(Main[[#This Row],[Class]]="B", WORKDAY(Main[[#This Row],[Tech Start Date]],19),IF(Main[[#This Row],[Class]]="A",WORKDAY(Main[[#This Row],[Tech Start Date]],9),""))))</f>
        <v/>
      </c>
      <c r="Q384" s="74">
        <v>40145</v>
      </c>
      <c r="R384" s="74"/>
      <c r="S384" s="72" t="s">
        <v>11</v>
      </c>
      <c r="T384" s="80" t="s">
        <v>4</v>
      </c>
      <c r="U384" s="72" t="s">
        <v>14</v>
      </c>
      <c r="V384" s="72" t="s">
        <v>1937</v>
      </c>
      <c r="W384" s="72" t="s">
        <v>1943</v>
      </c>
      <c r="X384" s="72" t="s">
        <v>3023</v>
      </c>
      <c r="Y384" s="72" t="s">
        <v>4</v>
      </c>
      <c r="Z384" s="72" t="s">
        <v>4</v>
      </c>
    </row>
    <row r="385" spans="1:26" ht="18.600000000000001" customHeight="1">
      <c r="A385" s="142" t="str">
        <f>IF(priority(Main[[#This Row],[Comments]])&lt;&gt;0, priority(Main[[#This Row],[Comments]]),"")</f>
        <v/>
      </c>
      <c r="B385" s="90" t="s">
        <v>1254</v>
      </c>
      <c r="C385" s="72" t="s">
        <v>63</v>
      </c>
      <c r="D385" s="73" t="s">
        <v>303</v>
      </c>
      <c r="E385" s="74"/>
      <c r="F385" s="74">
        <v>40513</v>
      </c>
      <c r="G385" s="75" t="str">
        <f>IF(stdProdLT(Main[[#This Row],[Comments]])=0.1,"N/A",IF(stdProdLT(Main[[#This Row],[Comments]])=0,"",stdProdLT(Main[[#This Row],[Comments]])))</f>
        <v/>
      </c>
      <c r="H385" s="76" t="str">
        <f>IF(AND(Main[[#This Row],[In Stock Date]]&lt;&gt;"",Main[[#This Row],[Revised Due Date]]&lt;&gt;""),Main[[#This Row],[In Stock Date]]-Main[[#This Row],[Revised Due Date]],"")</f>
        <v/>
      </c>
      <c r="I385" s="72" t="s">
        <v>65</v>
      </c>
      <c r="J385" s="72" t="s">
        <v>28</v>
      </c>
      <c r="K385" s="72" t="s">
        <v>4</v>
      </c>
      <c r="L385" s="74"/>
      <c r="M385" s="77" t="str">
        <f>IF(Main[[#This Row],[Tech Start Date]]&lt;1/1/1990,"",IF(Main[[#This Row],[Class]]="C",WORKDAY(Main[[#This Row],[Tech Start Date]],9),IF(Main[[#This Row],[Class]]="B", WORKDAY(Main[[#This Row],[Tech Start Date]],6),IF(Main[[#This Row],[Class]]="A",WORKDAY(Main[[#This Row],[Tech Start Date]],2),""))))</f>
        <v/>
      </c>
      <c r="N385" s="77" t="str">
        <f>IF(Main[[#This Row],[Tech Start Date]]&lt;1/1/1990,"",IF(Main[[#This Row],[Class]]="C",WORKDAY(Main[[#This Row],[Tech Start Date]],19),IF(Main[[#This Row],[Class]]="B", WORKDAY(Main[[#This Row],[Tech Start Date]],12),IF(Main[[#This Row],[Class]]="A",WORKDAY(Main[[#This Row],[Tech Start Date]],4),""))))</f>
        <v/>
      </c>
      <c r="O385" s="77" t="str">
        <f>IF(Main[[#This Row],[Tech Start Date]]&lt;1/1/1990,"",IF(Main[[#This Row],[Class]]="C",WORKDAY(Main[[#This Row],[Tech Start Date]],23),IF(Main[[#This Row],[Class]]="B", WORKDAY(Main[[#This Row],[Tech Start Date]],15),IF(Main[[#This Row],[Class]]="A",WORKDAY(Main[[#This Row],[Tech Start Date]],5),""))))</f>
        <v/>
      </c>
      <c r="P385" s="77" t="str">
        <f>IF(Main[[#This Row],[Tech Start Date]]&lt;1/1/1990,"",IF(Main[[#This Row],[Class]]="C",WORKDAY(Main[[#This Row],[Tech Start Date]],28),IF(Main[[#This Row],[Class]]="B", WORKDAY(Main[[#This Row],[Tech Start Date]],19),IF(Main[[#This Row],[Class]]="A",WORKDAY(Main[[#This Row],[Tech Start Date]],9),""))))</f>
        <v/>
      </c>
      <c r="Q385" s="74">
        <v>40513</v>
      </c>
      <c r="R385" s="74"/>
      <c r="S385" s="72" t="s">
        <v>11</v>
      </c>
      <c r="T385" s="80" t="s">
        <v>4</v>
      </c>
      <c r="U385" s="72" t="s">
        <v>14</v>
      </c>
      <c r="V385" s="72" t="s">
        <v>1940</v>
      </c>
      <c r="W385" s="72" t="s">
        <v>1945</v>
      </c>
      <c r="X385" s="72" t="s">
        <v>2966</v>
      </c>
      <c r="Y385" s="72" t="s">
        <v>3084</v>
      </c>
      <c r="Z385" s="72" t="s">
        <v>536</v>
      </c>
    </row>
    <row r="386" spans="1:26" ht="18.600000000000001" customHeight="1">
      <c r="A386" s="142" t="str">
        <f>IF(priority(Main[[#This Row],[Comments]])&lt;&gt;0, priority(Main[[#This Row],[Comments]]),"")</f>
        <v/>
      </c>
      <c r="B386" s="90" t="s">
        <v>1255</v>
      </c>
      <c r="C386" s="72" t="s">
        <v>4</v>
      </c>
      <c r="D386" s="73" t="s">
        <v>305</v>
      </c>
      <c r="E386" s="74"/>
      <c r="F386" s="74"/>
      <c r="G386" s="75" t="str">
        <f>IF(stdProdLT(Main[[#This Row],[Comments]])=0.1,"N/A",IF(stdProdLT(Main[[#This Row],[Comments]])=0,"",stdProdLT(Main[[#This Row],[Comments]])))</f>
        <v/>
      </c>
      <c r="H386" s="76" t="str">
        <f>IF(AND(Main[[#This Row],[In Stock Date]]&lt;&gt;"",Main[[#This Row],[Revised Due Date]]&lt;&gt;""),Main[[#This Row],[In Stock Date]]-Main[[#This Row],[Revised Due Date]],"")</f>
        <v/>
      </c>
      <c r="I386" s="72" t="s">
        <v>4</v>
      </c>
      <c r="J386" s="72" t="s">
        <v>28</v>
      </c>
      <c r="K386" s="72" t="s">
        <v>1946</v>
      </c>
      <c r="L386" s="74"/>
      <c r="M386" s="77" t="str">
        <f>IF(Main[[#This Row],[Tech Start Date]]&lt;1/1/1990,"",IF(Main[[#This Row],[Class]]="C",WORKDAY(Main[[#This Row],[Tech Start Date]],9),IF(Main[[#This Row],[Class]]="B", WORKDAY(Main[[#This Row],[Tech Start Date]],6),IF(Main[[#This Row],[Class]]="A",WORKDAY(Main[[#This Row],[Tech Start Date]],2),""))))</f>
        <v/>
      </c>
      <c r="N386" s="77" t="str">
        <f>IF(Main[[#This Row],[Tech Start Date]]&lt;1/1/1990,"",IF(Main[[#This Row],[Class]]="C",WORKDAY(Main[[#This Row],[Tech Start Date]],19),IF(Main[[#This Row],[Class]]="B", WORKDAY(Main[[#This Row],[Tech Start Date]],12),IF(Main[[#This Row],[Class]]="A",WORKDAY(Main[[#This Row],[Tech Start Date]],4),""))))</f>
        <v/>
      </c>
      <c r="O386" s="77" t="str">
        <f>IF(Main[[#This Row],[Tech Start Date]]&lt;1/1/1990,"",IF(Main[[#This Row],[Class]]="C",WORKDAY(Main[[#This Row],[Tech Start Date]],23),IF(Main[[#This Row],[Class]]="B", WORKDAY(Main[[#This Row],[Tech Start Date]],15),IF(Main[[#This Row],[Class]]="A",WORKDAY(Main[[#This Row],[Tech Start Date]],5),""))))</f>
        <v/>
      </c>
      <c r="P386" s="77" t="str">
        <f>IF(Main[[#This Row],[Tech Start Date]]&lt;1/1/1990,"",IF(Main[[#This Row],[Class]]="C",WORKDAY(Main[[#This Row],[Tech Start Date]],28),IF(Main[[#This Row],[Class]]="B", WORKDAY(Main[[#This Row],[Tech Start Date]],19),IF(Main[[#This Row],[Class]]="A",WORKDAY(Main[[#This Row],[Tech Start Date]],9),""))))</f>
        <v/>
      </c>
      <c r="Q386" s="74">
        <v>40661</v>
      </c>
      <c r="R386" s="74"/>
      <c r="S386" s="72" t="s">
        <v>6</v>
      </c>
      <c r="T386" s="80" t="s">
        <v>4</v>
      </c>
      <c r="U386" s="72" t="s">
        <v>14</v>
      </c>
      <c r="V386" s="72" t="s">
        <v>1940</v>
      </c>
      <c r="W386" s="72" t="s">
        <v>1941</v>
      </c>
      <c r="X386" s="72" t="s">
        <v>2974</v>
      </c>
      <c r="Y386" s="72" t="s">
        <v>3096</v>
      </c>
      <c r="Z386" s="72" t="s">
        <v>536</v>
      </c>
    </row>
    <row r="387" spans="1:26" ht="18.600000000000001" customHeight="1">
      <c r="A387" s="142" t="str">
        <f>IF(priority(Main[[#This Row],[Comments]])&lt;&gt;0, priority(Main[[#This Row],[Comments]]),"")</f>
        <v/>
      </c>
      <c r="B387" s="90" t="s">
        <v>1256</v>
      </c>
      <c r="C387" s="72" t="s">
        <v>4</v>
      </c>
      <c r="D387" s="73" t="s">
        <v>306</v>
      </c>
      <c r="E387" s="74"/>
      <c r="F387" s="74"/>
      <c r="G387" s="75" t="str">
        <f>IF(stdProdLT(Main[[#This Row],[Comments]])=0.1,"N/A",IF(stdProdLT(Main[[#This Row],[Comments]])=0,"",stdProdLT(Main[[#This Row],[Comments]])))</f>
        <v/>
      </c>
      <c r="H387" s="76" t="str">
        <f>IF(AND(Main[[#This Row],[In Stock Date]]&lt;&gt;"",Main[[#This Row],[Revised Due Date]]&lt;&gt;""),Main[[#This Row],[In Stock Date]]-Main[[#This Row],[Revised Due Date]],"")</f>
        <v/>
      </c>
      <c r="I387" s="72" t="s">
        <v>4</v>
      </c>
      <c r="J387" s="72" t="s">
        <v>4</v>
      </c>
      <c r="K387" s="72" t="s">
        <v>4</v>
      </c>
      <c r="L387" s="74"/>
      <c r="M387" s="77" t="str">
        <f>IF(Main[[#This Row],[Tech Start Date]]&lt;1/1/1990,"",IF(Main[[#This Row],[Class]]="C",WORKDAY(Main[[#This Row],[Tech Start Date]],9),IF(Main[[#This Row],[Class]]="B", WORKDAY(Main[[#This Row],[Tech Start Date]],6),IF(Main[[#This Row],[Class]]="A",WORKDAY(Main[[#This Row],[Tech Start Date]],2),""))))</f>
        <v/>
      </c>
      <c r="N387" s="77" t="str">
        <f>IF(Main[[#This Row],[Tech Start Date]]&lt;1/1/1990,"",IF(Main[[#This Row],[Class]]="C",WORKDAY(Main[[#This Row],[Tech Start Date]],19),IF(Main[[#This Row],[Class]]="B", WORKDAY(Main[[#This Row],[Tech Start Date]],12),IF(Main[[#This Row],[Class]]="A",WORKDAY(Main[[#This Row],[Tech Start Date]],4),""))))</f>
        <v/>
      </c>
      <c r="O387" s="77" t="str">
        <f>IF(Main[[#This Row],[Tech Start Date]]&lt;1/1/1990,"",IF(Main[[#This Row],[Class]]="C",WORKDAY(Main[[#This Row],[Tech Start Date]],23),IF(Main[[#This Row],[Class]]="B", WORKDAY(Main[[#This Row],[Tech Start Date]],15),IF(Main[[#This Row],[Class]]="A",WORKDAY(Main[[#This Row],[Tech Start Date]],5),""))))</f>
        <v/>
      </c>
      <c r="P387" s="77" t="str">
        <f>IF(Main[[#This Row],[Tech Start Date]]&lt;1/1/1990,"",IF(Main[[#This Row],[Class]]="C",WORKDAY(Main[[#This Row],[Tech Start Date]],28),IF(Main[[#This Row],[Class]]="B", WORKDAY(Main[[#This Row],[Tech Start Date]],19),IF(Main[[#This Row],[Class]]="A",WORKDAY(Main[[#This Row],[Tech Start Date]],9),""))))</f>
        <v/>
      </c>
      <c r="Q387" s="74">
        <v>40287</v>
      </c>
      <c r="R387" s="74"/>
      <c r="S387" s="72" t="s">
        <v>11</v>
      </c>
      <c r="T387" s="80" t="s">
        <v>4</v>
      </c>
      <c r="U387" s="72" t="s">
        <v>14</v>
      </c>
      <c r="V387" s="72" t="s">
        <v>1937</v>
      </c>
      <c r="W387" s="72" t="s">
        <v>1943</v>
      </c>
      <c r="X387" s="72" t="s">
        <v>897</v>
      </c>
      <c r="Y387" s="72" t="s">
        <v>3121</v>
      </c>
      <c r="Z387" s="72" t="s">
        <v>4</v>
      </c>
    </row>
    <row r="388" spans="1:26" ht="18.600000000000001" customHeight="1">
      <c r="A388" s="142" t="str">
        <f>IF(priority(Main[[#This Row],[Comments]])&lt;&gt;0, priority(Main[[#This Row],[Comments]]),"")</f>
        <v/>
      </c>
      <c r="B388" s="90" t="s">
        <v>1257</v>
      </c>
      <c r="C388" s="72" t="s">
        <v>93</v>
      </c>
      <c r="D388" s="73" t="s">
        <v>307</v>
      </c>
      <c r="E388" s="74"/>
      <c r="F388" s="74">
        <v>40210</v>
      </c>
      <c r="G388" s="75" t="str">
        <f>IF(stdProdLT(Main[[#This Row],[Comments]])=0.1,"N/A",IF(stdProdLT(Main[[#This Row],[Comments]])=0,"",stdProdLT(Main[[#This Row],[Comments]])))</f>
        <v/>
      </c>
      <c r="H388" s="76" t="str">
        <f>IF(AND(Main[[#This Row],[In Stock Date]]&lt;&gt;"",Main[[#This Row],[Revised Due Date]]&lt;&gt;""),Main[[#This Row],[In Stock Date]]-Main[[#This Row],[Revised Due Date]],"")</f>
        <v/>
      </c>
      <c r="I388" s="72" t="s">
        <v>4</v>
      </c>
      <c r="J388" s="72" t="s">
        <v>4</v>
      </c>
      <c r="K388" s="72" t="s">
        <v>4</v>
      </c>
      <c r="L388" s="74"/>
      <c r="M388" s="77" t="str">
        <f>IF(Main[[#This Row],[Tech Start Date]]&lt;1/1/1990,"",IF(Main[[#This Row],[Class]]="C",WORKDAY(Main[[#This Row],[Tech Start Date]],9),IF(Main[[#This Row],[Class]]="B", WORKDAY(Main[[#This Row],[Tech Start Date]],6),IF(Main[[#This Row],[Class]]="A",WORKDAY(Main[[#This Row],[Tech Start Date]],2),""))))</f>
        <v/>
      </c>
      <c r="N388" s="77" t="str">
        <f>IF(Main[[#This Row],[Tech Start Date]]&lt;1/1/1990,"",IF(Main[[#This Row],[Class]]="C",WORKDAY(Main[[#This Row],[Tech Start Date]],19),IF(Main[[#This Row],[Class]]="B", WORKDAY(Main[[#This Row],[Tech Start Date]],12),IF(Main[[#This Row],[Class]]="A",WORKDAY(Main[[#This Row],[Tech Start Date]],4),""))))</f>
        <v/>
      </c>
      <c r="O388" s="77" t="str">
        <f>IF(Main[[#This Row],[Tech Start Date]]&lt;1/1/1990,"",IF(Main[[#This Row],[Class]]="C",WORKDAY(Main[[#This Row],[Tech Start Date]],23),IF(Main[[#This Row],[Class]]="B", WORKDAY(Main[[#This Row],[Tech Start Date]],15),IF(Main[[#This Row],[Class]]="A",WORKDAY(Main[[#This Row],[Tech Start Date]],5),""))))</f>
        <v/>
      </c>
      <c r="P388" s="77" t="str">
        <f>IF(Main[[#This Row],[Tech Start Date]]&lt;1/1/1990,"",IF(Main[[#This Row],[Class]]="C",WORKDAY(Main[[#This Row],[Tech Start Date]],28),IF(Main[[#This Row],[Class]]="B", WORKDAY(Main[[#This Row],[Tech Start Date]],19),IF(Main[[#This Row],[Class]]="A",WORKDAY(Main[[#This Row],[Tech Start Date]],9),""))))</f>
        <v/>
      </c>
      <c r="Q388" s="74">
        <v>40210</v>
      </c>
      <c r="R388" s="74"/>
      <c r="S388" s="72" t="s">
        <v>11</v>
      </c>
      <c r="T388" s="80" t="s">
        <v>4</v>
      </c>
      <c r="U388" s="72" t="s">
        <v>12</v>
      </c>
      <c r="V388" s="72" t="s">
        <v>1947</v>
      </c>
      <c r="W388" s="72" t="s">
        <v>1948</v>
      </c>
      <c r="X388" s="72" t="s">
        <v>2997</v>
      </c>
      <c r="Y388" s="72" t="s">
        <v>4</v>
      </c>
      <c r="Z388" s="72" t="s">
        <v>4</v>
      </c>
    </row>
    <row r="389" spans="1:26" ht="18.600000000000001" customHeight="1">
      <c r="A389" s="142" t="str">
        <f>IF(priority(Main[[#This Row],[Comments]])&lt;&gt;0, priority(Main[[#This Row],[Comments]]),"")</f>
        <v/>
      </c>
      <c r="B389" s="90" t="s">
        <v>2793</v>
      </c>
      <c r="C389" s="72" t="s">
        <v>4</v>
      </c>
      <c r="D389" s="73" t="s">
        <v>2794</v>
      </c>
      <c r="E389" s="74">
        <v>40897.76525462963</v>
      </c>
      <c r="F389" s="74"/>
      <c r="G389" s="75" t="str">
        <f>IF(stdProdLT(Main[[#This Row],[Comments]])=0.1,"N/A",IF(stdProdLT(Main[[#This Row],[Comments]])=0,"",stdProdLT(Main[[#This Row],[Comments]])))</f>
        <v/>
      </c>
      <c r="H389" s="76" t="str">
        <f>IF(AND(Main[[#This Row],[In Stock Date]]&lt;&gt;"",Main[[#This Row],[Revised Due Date]]&lt;&gt;""),Main[[#This Row],[In Stock Date]]-Main[[#This Row],[Revised Due Date]],"")</f>
        <v/>
      </c>
      <c r="I389" s="72" t="s">
        <v>4</v>
      </c>
      <c r="J389" s="72" t="s">
        <v>4</v>
      </c>
      <c r="K389" s="81" t="s">
        <v>4</v>
      </c>
      <c r="L389" s="74"/>
      <c r="M389" s="77" t="str">
        <f>IF(Main[[#This Row],[Tech Start Date]]&lt;1/1/1990,"",IF(Main[[#This Row],[Class]]="C",WORKDAY(Main[[#This Row],[Tech Start Date]],9),IF(Main[[#This Row],[Class]]="B", WORKDAY(Main[[#This Row],[Tech Start Date]],6),IF(Main[[#This Row],[Class]]="A",WORKDAY(Main[[#This Row],[Tech Start Date]],2),""))))</f>
        <v/>
      </c>
      <c r="N389" s="77" t="str">
        <f>IF(Main[[#This Row],[Tech Start Date]]&lt;1/1/1990,"",IF(Main[[#This Row],[Class]]="C",WORKDAY(Main[[#This Row],[Tech Start Date]],19),IF(Main[[#This Row],[Class]]="B", WORKDAY(Main[[#This Row],[Tech Start Date]],12),IF(Main[[#This Row],[Class]]="A",WORKDAY(Main[[#This Row],[Tech Start Date]],4),""))))</f>
        <v/>
      </c>
      <c r="O389" s="77" t="str">
        <f>IF(Main[[#This Row],[Tech Start Date]]&lt;1/1/1990,"",IF(Main[[#This Row],[Class]]="C",WORKDAY(Main[[#This Row],[Tech Start Date]],23),IF(Main[[#This Row],[Class]]="B", WORKDAY(Main[[#This Row],[Tech Start Date]],15),IF(Main[[#This Row],[Class]]="A",WORKDAY(Main[[#This Row],[Tech Start Date]],5),""))))</f>
        <v/>
      </c>
      <c r="P389" s="77" t="str">
        <f>IF(Main[[#This Row],[Tech Start Date]]&lt;1/1/1990,"",IF(Main[[#This Row],[Class]]="C",WORKDAY(Main[[#This Row],[Tech Start Date]],28),IF(Main[[#This Row],[Class]]="B", WORKDAY(Main[[#This Row],[Tech Start Date]],19),IF(Main[[#This Row],[Class]]="A",WORKDAY(Main[[#This Row],[Tech Start Date]],9),""))))</f>
        <v/>
      </c>
      <c r="Q389" s="74">
        <v>40907</v>
      </c>
      <c r="R389" s="74"/>
      <c r="S389" s="72" t="s">
        <v>6</v>
      </c>
      <c r="T389" s="80" t="s">
        <v>4</v>
      </c>
      <c r="U389" s="72" t="s">
        <v>7</v>
      </c>
      <c r="V389" s="72" t="s">
        <v>1937</v>
      </c>
      <c r="W389" s="72" t="s">
        <v>4</v>
      </c>
      <c r="X389" s="72" t="s">
        <v>2971</v>
      </c>
      <c r="Y389" s="72" t="s">
        <v>3090</v>
      </c>
      <c r="Z389" s="72" t="s">
        <v>4</v>
      </c>
    </row>
    <row r="390" spans="1:26" ht="18.600000000000001" customHeight="1">
      <c r="A390" s="142" t="str">
        <f>IF(priority(Main[[#This Row],[Comments]])&lt;&gt;0, priority(Main[[#This Row],[Comments]]),"")</f>
        <v/>
      </c>
      <c r="B390" s="90" t="s">
        <v>1258</v>
      </c>
      <c r="C390" s="72" t="s">
        <v>31</v>
      </c>
      <c r="D390" s="73" t="s">
        <v>308</v>
      </c>
      <c r="E390" s="74"/>
      <c r="F390" s="74">
        <v>40269</v>
      </c>
      <c r="G390" s="75" t="str">
        <f>IF(stdProdLT(Main[[#This Row],[Comments]])=0.1,"N/A",IF(stdProdLT(Main[[#This Row],[Comments]])=0,"",stdProdLT(Main[[#This Row],[Comments]])))</f>
        <v/>
      </c>
      <c r="H390" s="76" t="str">
        <f>IF(AND(Main[[#This Row],[In Stock Date]]&lt;&gt;"",Main[[#This Row],[Revised Due Date]]&lt;&gt;""),Main[[#This Row],[In Stock Date]]-Main[[#This Row],[Revised Due Date]],"")</f>
        <v/>
      </c>
      <c r="I390" s="72" t="s">
        <v>4</v>
      </c>
      <c r="J390" s="72" t="s">
        <v>4</v>
      </c>
      <c r="K390" s="72" t="s">
        <v>4</v>
      </c>
      <c r="L390" s="74"/>
      <c r="M390" s="77" t="str">
        <f>IF(Main[[#This Row],[Tech Start Date]]&lt;1/1/1990,"",IF(Main[[#This Row],[Class]]="C",WORKDAY(Main[[#This Row],[Tech Start Date]],9),IF(Main[[#This Row],[Class]]="B", WORKDAY(Main[[#This Row],[Tech Start Date]],6),IF(Main[[#This Row],[Class]]="A",WORKDAY(Main[[#This Row],[Tech Start Date]],2),""))))</f>
        <v/>
      </c>
      <c r="N390" s="77" t="str">
        <f>IF(Main[[#This Row],[Tech Start Date]]&lt;1/1/1990,"",IF(Main[[#This Row],[Class]]="C",WORKDAY(Main[[#This Row],[Tech Start Date]],19),IF(Main[[#This Row],[Class]]="B", WORKDAY(Main[[#This Row],[Tech Start Date]],12),IF(Main[[#This Row],[Class]]="A",WORKDAY(Main[[#This Row],[Tech Start Date]],4),""))))</f>
        <v/>
      </c>
      <c r="O390" s="77" t="str">
        <f>IF(Main[[#This Row],[Tech Start Date]]&lt;1/1/1990,"",IF(Main[[#This Row],[Class]]="C",WORKDAY(Main[[#This Row],[Tech Start Date]],23),IF(Main[[#This Row],[Class]]="B", WORKDAY(Main[[#This Row],[Tech Start Date]],15),IF(Main[[#This Row],[Class]]="A",WORKDAY(Main[[#This Row],[Tech Start Date]],5),""))))</f>
        <v/>
      </c>
      <c r="P390" s="77" t="str">
        <f>IF(Main[[#This Row],[Tech Start Date]]&lt;1/1/1990,"",IF(Main[[#This Row],[Class]]="C",WORKDAY(Main[[#This Row],[Tech Start Date]],28),IF(Main[[#This Row],[Class]]="B", WORKDAY(Main[[#This Row],[Tech Start Date]],19),IF(Main[[#This Row],[Class]]="A",WORKDAY(Main[[#This Row],[Tech Start Date]],9),""))))</f>
        <v/>
      </c>
      <c r="Q390" s="74">
        <v>40274</v>
      </c>
      <c r="R390" s="74"/>
      <c r="S390" s="72" t="s">
        <v>11</v>
      </c>
      <c r="T390" s="80" t="s">
        <v>4</v>
      </c>
      <c r="U390" s="72" t="s">
        <v>14</v>
      </c>
      <c r="V390" s="72" t="s">
        <v>1937</v>
      </c>
      <c r="W390" s="72" t="s">
        <v>1943</v>
      </c>
      <c r="X390" s="72" t="s">
        <v>3023</v>
      </c>
      <c r="Y390" s="72" t="s">
        <v>4</v>
      </c>
      <c r="Z390" s="72" t="s">
        <v>4</v>
      </c>
    </row>
    <row r="391" spans="1:26" ht="18.600000000000001" customHeight="1">
      <c r="A391" s="142" t="str">
        <f>IF(priority(Main[[#This Row],[Comments]])&lt;&gt;0, priority(Main[[#This Row],[Comments]]),"")</f>
        <v/>
      </c>
      <c r="B391" s="90" t="s">
        <v>1259</v>
      </c>
      <c r="C391" s="72" t="s">
        <v>4</v>
      </c>
      <c r="D391" s="73" t="s">
        <v>309</v>
      </c>
      <c r="E391" s="74"/>
      <c r="F391" s="74">
        <v>40390</v>
      </c>
      <c r="G391" s="75" t="str">
        <f>IF(stdProdLT(Main[[#This Row],[Comments]])=0.1,"N/A",IF(stdProdLT(Main[[#This Row],[Comments]])=0,"",stdProdLT(Main[[#This Row],[Comments]])))</f>
        <v/>
      </c>
      <c r="H391" s="76" t="str">
        <f>IF(AND(Main[[#This Row],[In Stock Date]]&lt;&gt;"",Main[[#This Row],[Revised Due Date]]&lt;&gt;""),Main[[#This Row],[In Stock Date]]-Main[[#This Row],[Revised Due Date]],"")</f>
        <v/>
      </c>
      <c r="I391" s="72" t="s">
        <v>4</v>
      </c>
      <c r="J391" s="72" t="s">
        <v>4</v>
      </c>
      <c r="K391" s="72" t="s">
        <v>4</v>
      </c>
      <c r="L391" s="74"/>
      <c r="M391" s="77" t="str">
        <f>IF(Main[[#This Row],[Tech Start Date]]&lt;1/1/1990,"",IF(Main[[#This Row],[Class]]="C",WORKDAY(Main[[#This Row],[Tech Start Date]],9),IF(Main[[#This Row],[Class]]="B", WORKDAY(Main[[#This Row],[Tech Start Date]],6),IF(Main[[#This Row],[Class]]="A",WORKDAY(Main[[#This Row],[Tech Start Date]],2),""))))</f>
        <v/>
      </c>
      <c r="N391" s="77" t="str">
        <f>IF(Main[[#This Row],[Tech Start Date]]&lt;1/1/1990,"",IF(Main[[#This Row],[Class]]="C",WORKDAY(Main[[#This Row],[Tech Start Date]],19),IF(Main[[#This Row],[Class]]="B", WORKDAY(Main[[#This Row],[Tech Start Date]],12),IF(Main[[#This Row],[Class]]="A",WORKDAY(Main[[#This Row],[Tech Start Date]],4),""))))</f>
        <v/>
      </c>
      <c r="O391" s="77" t="str">
        <f>IF(Main[[#This Row],[Tech Start Date]]&lt;1/1/1990,"",IF(Main[[#This Row],[Class]]="C",WORKDAY(Main[[#This Row],[Tech Start Date]],23),IF(Main[[#This Row],[Class]]="B", WORKDAY(Main[[#This Row],[Tech Start Date]],15),IF(Main[[#This Row],[Class]]="A",WORKDAY(Main[[#This Row],[Tech Start Date]],5),""))))</f>
        <v/>
      </c>
      <c r="P391" s="77" t="str">
        <f>IF(Main[[#This Row],[Tech Start Date]]&lt;1/1/1990,"",IF(Main[[#This Row],[Class]]="C",WORKDAY(Main[[#This Row],[Tech Start Date]],28),IF(Main[[#This Row],[Class]]="B", WORKDAY(Main[[#This Row],[Tech Start Date]],19),IF(Main[[#This Row],[Class]]="A",WORKDAY(Main[[#This Row],[Tech Start Date]],9),""))))</f>
        <v/>
      </c>
      <c r="Q391" s="74">
        <v>40329</v>
      </c>
      <c r="R391" s="74"/>
      <c r="S391" s="72" t="s">
        <v>11</v>
      </c>
      <c r="T391" s="80" t="s">
        <v>4</v>
      </c>
      <c r="U391" s="72" t="s">
        <v>12</v>
      </c>
      <c r="V391" s="72" t="s">
        <v>1947</v>
      </c>
      <c r="W391" s="72" t="s">
        <v>1943</v>
      </c>
      <c r="X391" s="72" t="s">
        <v>3024</v>
      </c>
      <c r="Y391" s="72" t="s">
        <v>3154</v>
      </c>
      <c r="Z391" s="72" t="s">
        <v>4</v>
      </c>
    </row>
    <row r="392" spans="1:26" ht="18.600000000000001" customHeight="1">
      <c r="A392" s="142" t="str">
        <f>IF(priority(Main[[#This Row],[Comments]])&lt;&gt;0, priority(Main[[#This Row],[Comments]]),"")</f>
        <v/>
      </c>
      <c r="B392" s="90" t="s">
        <v>1260</v>
      </c>
      <c r="C392" s="72" t="s">
        <v>4</v>
      </c>
      <c r="D392" s="73" t="s">
        <v>310</v>
      </c>
      <c r="E392" s="74"/>
      <c r="F392" s="74">
        <v>40574</v>
      </c>
      <c r="G392" s="75" t="str">
        <f>IF(stdProdLT(Main[[#This Row],[Comments]])=0.1,"N/A",IF(stdProdLT(Main[[#This Row],[Comments]])=0,"",stdProdLT(Main[[#This Row],[Comments]])))</f>
        <v/>
      </c>
      <c r="H392" s="76" t="str">
        <f>IF(AND(Main[[#This Row],[In Stock Date]]&lt;&gt;"",Main[[#This Row],[Revised Due Date]]&lt;&gt;""),Main[[#This Row],[In Stock Date]]-Main[[#This Row],[Revised Due Date]],"")</f>
        <v/>
      </c>
      <c r="I392" s="72" t="s">
        <v>311</v>
      </c>
      <c r="J392" s="72" t="s">
        <v>75</v>
      </c>
      <c r="K392" s="72" t="s">
        <v>1946</v>
      </c>
      <c r="L392" s="74"/>
      <c r="M392" s="77" t="str">
        <f>IF(Main[[#This Row],[Tech Start Date]]&lt;1/1/1990,"",IF(Main[[#This Row],[Class]]="C",WORKDAY(Main[[#This Row],[Tech Start Date]],9),IF(Main[[#This Row],[Class]]="B", WORKDAY(Main[[#This Row],[Tech Start Date]],6),IF(Main[[#This Row],[Class]]="A",WORKDAY(Main[[#This Row],[Tech Start Date]],2),""))))</f>
        <v/>
      </c>
      <c r="N392" s="77" t="str">
        <f>IF(Main[[#This Row],[Tech Start Date]]&lt;1/1/1990,"",IF(Main[[#This Row],[Class]]="C",WORKDAY(Main[[#This Row],[Tech Start Date]],19),IF(Main[[#This Row],[Class]]="B", WORKDAY(Main[[#This Row],[Tech Start Date]],12),IF(Main[[#This Row],[Class]]="A",WORKDAY(Main[[#This Row],[Tech Start Date]],4),""))))</f>
        <v/>
      </c>
      <c r="O392" s="77" t="str">
        <f>IF(Main[[#This Row],[Tech Start Date]]&lt;1/1/1990,"",IF(Main[[#This Row],[Class]]="C",WORKDAY(Main[[#This Row],[Tech Start Date]],23),IF(Main[[#This Row],[Class]]="B", WORKDAY(Main[[#This Row],[Tech Start Date]],15),IF(Main[[#This Row],[Class]]="A",WORKDAY(Main[[#This Row],[Tech Start Date]],5),""))))</f>
        <v/>
      </c>
      <c r="P392" s="77" t="str">
        <f>IF(Main[[#This Row],[Tech Start Date]]&lt;1/1/1990,"",IF(Main[[#This Row],[Class]]="C",WORKDAY(Main[[#This Row],[Tech Start Date]],28),IF(Main[[#This Row],[Class]]="B", WORKDAY(Main[[#This Row],[Tech Start Date]],19),IF(Main[[#This Row],[Class]]="A",WORKDAY(Main[[#This Row],[Tech Start Date]],9),""))))</f>
        <v/>
      </c>
      <c r="Q392" s="74">
        <v>40574</v>
      </c>
      <c r="R392" s="74"/>
      <c r="S392" s="72" t="s">
        <v>6</v>
      </c>
      <c r="T392" s="80" t="s">
        <v>4</v>
      </c>
      <c r="U392" s="72" t="s">
        <v>14</v>
      </c>
      <c r="V392" s="72" t="s">
        <v>1947</v>
      </c>
      <c r="W392" s="72" t="s">
        <v>1939</v>
      </c>
      <c r="X392" s="72" t="s">
        <v>2970</v>
      </c>
      <c r="Y392" s="72" t="s">
        <v>3087</v>
      </c>
      <c r="Z392" s="72" t="s">
        <v>30</v>
      </c>
    </row>
    <row r="393" spans="1:26" ht="18.600000000000001" customHeight="1">
      <c r="A393" s="142" t="str">
        <f>IF(priority(Main[[#This Row],[Comments]])&lt;&gt;0, priority(Main[[#This Row],[Comments]]),"")</f>
        <v/>
      </c>
      <c r="B393" s="90" t="s">
        <v>1261</v>
      </c>
      <c r="C393" s="72" t="s">
        <v>171</v>
      </c>
      <c r="D393" s="73" t="s">
        <v>312</v>
      </c>
      <c r="E393" s="74"/>
      <c r="F393" s="74">
        <v>40237</v>
      </c>
      <c r="G393" s="75" t="str">
        <f>IF(stdProdLT(Main[[#This Row],[Comments]])=0.1,"N/A",IF(stdProdLT(Main[[#This Row],[Comments]])=0,"",stdProdLT(Main[[#This Row],[Comments]])))</f>
        <v/>
      </c>
      <c r="H393" s="76" t="str">
        <f>IF(AND(Main[[#This Row],[In Stock Date]]&lt;&gt;"",Main[[#This Row],[Revised Due Date]]&lt;&gt;""),Main[[#This Row],[In Stock Date]]-Main[[#This Row],[Revised Due Date]],"")</f>
        <v/>
      </c>
      <c r="I393" s="72" t="s">
        <v>4</v>
      </c>
      <c r="J393" s="72" t="s">
        <v>4</v>
      </c>
      <c r="K393" s="72" t="s">
        <v>4</v>
      </c>
      <c r="L393" s="74"/>
      <c r="M393" s="77" t="str">
        <f>IF(Main[[#This Row],[Tech Start Date]]&lt;1/1/1990,"",IF(Main[[#This Row],[Class]]="C",WORKDAY(Main[[#This Row],[Tech Start Date]],9),IF(Main[[#This Row],[Class]]="B", WORKDAY(Main[[#This Row],[Tech Start Date]],6),IF(Main[[#This Row],[Class]]="A",WORKDAY(Main[[#This Row],[Tech Start Date]],2),""))))</f>
        <v/>
      </c>
      <c r="N393" s="77" t="str">
        <f>IF(Main[[#This Row],[Tech Start Date]]&lt;1/1/1990,"",IF(Main[[#This Row],[Class]]="C",WORKDAY(Main[[#This Row],[Tech Start Date]],19),IF(Main[[#This Row],[Class]]="B", WORKDAY(Main[[#This Row],[Tech Start Date]],12),IF(Main[[#This Row],[Class]]="A",WORKDAY(Main[[#This Row],[Tech Start Date]],4),""))))</f>
        <v/>
      </c>
      <c r="O393" s="77" t="str">
        <f>IF(Main[[#This Row],[Tech Start Date]]&lt;1/1/1990,"",IF(Main[[#This Row],[Class]]="C",WORKDAY(Main[[#This Row],[Tech Start Date]],23),IF(Main[[#This Row],[Class]]="B", WORKDAY(Main[[#This Row],[Tech Start Date]],15),IF(Main[[#This Row],[Class]]="A",WORKDAY(Main[[#This Row],[Tech Start Date]],5),""))))</f>
        <v/>
      </c>
      <c r="P393" s="77" t="str">
        <f>IF(Main[[#This Row],[Tech Start Date]]&lt;1/1/1990,"",IF(Main[[#This Row],[Class]]="C",WORKDAY(Main[[#This Row],[Tech Start Date]],28),IF(Main[[#This Row],[Class]]="B", WORKDAY(Main[[#This Row],[Tech Start Date]],19),IF(Main[[#This Row],[Class]]="A",WORKDAY(Main[[#This Row],[Tech Start Date]],9),""))))</f>
        <v/>
      </c>
      <c r="Q393" s="74">
        <v>40132</v>
      </c>
      <c r="R393" s="74"/>
      <c r="S393" s="72" t="s">
        <v>11</v>
      </c>
      <c r="T393" s="80" t="s">
        <v>4</v>
      </c>
      <c r="U393" s="72" t="s">
        <v>14</v>
      </c>
      <c r="V393" s="72" t="s">
        <v>1937</v>
      </c>
      <c r="W393" s="72" t="s">
        <v>1942</v>
      </c>
      <c r="X393" s="72" t="s">
        <v>3010</v>
      </c>
      <c r="Y393" s="72" t="s">
        <v>4</v>
      </c>
      <c r="Z393" s="72" t="s">
        <v>4</v>
      </c>
    </row>
    <row r="394" spans="1:26" ht="18.600000000000001" customHeight="1">
      <c r="A394" s="142" t="str">
        <f>IF(priority(Main[[#This Row],[Comments]])&lt;&gt;0, priority(Main[[#This Row],[Comments]]),"")</f>
        <v/>
      </c>
      <c r="B394" s="90" t="s">
        <v>1262</v>
      </c>
      <c r="C394" s="72" t="s">
        <v>4</v>
      </c>
      <c r="D394" s="73" t="s">
        <v>313</v>
      </c>
      <c r="E394" s="74"/>
      <c r="F394" s="74"/>
      <c r="G394" s="75" t="str">
        <f>IF(stdProdLT(Main[[#This Row],[Comments]])=0.1,"N/A",IF(stdProdLT(Main[[#This Row],[Comments]])=0,"",stdProdLT(Main[[#This Row],[Comments]])))</f>
        <v/>
      </c>
      <c r="H394" s="76" t="str">
        <f>IF(AND(Main[[#This Row],[In Stock Date]]&lt;&gt;"",Main[[#This Row],[Revised Due Date]]&lt;&gt;""),Main[[#This Row],[In Stock Date]]-Main[[#This Row],[Revised Due Date]],"")</f>
        <v/>
      </c>
      <c r="I394" s="72" t="s">
        <v>4</v>
      </c>
      <c r="J394" s="72" t="s">
        <v>4</v>
      </c>
      <c r="K394" s="81" t="s">
        <v>4</v>
      </c>
      <c r="L394" s="74"/>
      <c r="M394" s="77" t="str">
        <f>IF(Main[[#This Row],[Tech Start Date]]&lt;1/1/1990,"",IF(Main[[#This Row],[Class]]="C",WORKDAY(Main[[#This Row],[Tech Start Date]],9),IF(Main[[#This Row],[Class]]="B", WORKDAY(Main[[#This Row],[Tech Start Date]],6),IF(Main[[#This Row],[Class]]="A",WORKDAY(Main[[#This Row],[Tech Start Date]],2),""))))</f>
        <v/>
      </c>
      <c r="N394" s="77" t="str">
        <f>IF(Main[[#This Row],[Tech Start Date]]&lt;1/1/1990,"",IF(Main[[#This Row],[Class]]="C",WORKDAY(Main[[#This Row],[Tech Start Date]],19),IF(Main[[#This Row],[Class]]="B", WORKDAY(Main[[#This Row],[Tech Start Date]],12),IF(Main[[#This Row],[Class]]="A",WORKDAY(Main[[#This Row],[Tech Start Date]],4),""))))</f>
        <v/>
      </c>
      <c r="O394" s="77" t="str">
        <f>IF(Main[[#This Row],[Tech Start Date]]&lt;1/1/1990,"",IF(Main[[#This Row],[Class]]="C",WORKDAY(Main[[#This Row],[Tech Start Date]],23),IF(Main[[#This Row],[Class]]="B", WORKDAY(Main[[#This Row],[Tech Start Date]],15),IF(Main[[#This Row],[Class]]="A",WORKDAY(Main[[#This Row],[Tech Start Date]],5),""))))</f>
        <v/>
      </c>
      <c r="P394" s="77" t="str">
        <f>IF(Main[[#This Row],[Tech Start Date]]&lt;1/1/1990,"",IF(Main[[#This Row],[Class]]="C",WORKDAY(Main[[#This Row],[Tech Start Date]],28),IF(Main[[#This Row],[Class]]="B", WORKDAY(Main[[#This Row],[Tech Start Date]],19),IF(Main[[#This Row],[Class]]="A",WORKDAY(Main[[#This Row],[Tech Start Date]],9),""))))</f>
        <v/>
      </c>
      <c r="Q394" s="74">
        <v>40390</v>
      </c>
      <c r="R394" s="74"/>
      <c r="S394" s="72" t="s">
        <v>6</v>
      </c>
      <c r="T394" s="80" t="s">
        <v>4</v>
      </c>
      <c r="U394" s="72" t="s">
        <v>14</v>
      </c>
      <c r="V394" s="72" t="s">
        <v>1940</v>
      </c>
      <c r="W394" s="72" t="s">
        <v>4</v>
      </c>
      <c r="X394" s="72" t="s">
        <v>2971</v>
      </c>
      <c r="Y394" s="72" t="s">
        <v>3090</v>
      </c>
      <c r="Z394" s="72" t="s">
        <v>4</v>
      </c>
    </row>
    <row r="395" spans="1:26" ht="18.600000000000001" customHeight="1">
      <c r="A395" s="142" t="str">
        <f>IF(priority(Main[[#This Row],[Comments]])&lt;&gt;0, priority(Main[[#This Row],[Comments]]),"")</f>
        <v/>
      </c>
      <c r="B395" s="90" t="s">
        <v>1264</v>
      </c>
      <c r="C395" s="72" t="s">
        <v>315</v>
      </c>
      <c r="D395" s="73" t="s">
        <v>316</v>
      </c>
      <c r="E395" s="74"/>
      <c r="F395" s="74">
        <v>40179</v>
      </c>
      <c r="G395" s="75" t="str">
        <f>IF(stdProdLT(Main[[#This Row],[Comments]])=0.1,"N/A",IF(stdProdLT(Main[[#This Row],[Comments]])=0,"",stdProdLT(Main[[#This Row],[Comments]])))</f>
        <v/>
      </c>
      <c r="H395" s="76" t="str">
        <f>IF(AND(Main[[#This Row],[In Stock Date]]&lt;&gt;"",Main[[#This Row],[Revised Due Date]]&lt;&gt;""),Main[[#This Row],[In Stock Date]]-Main[[#This Row],[Revised Due Date]],"")</f>
        <v/>
      </c>
      <c r="I395" s="72" t="s">
        <v>4</v>
      </c>
      <c r="J395" s="72" t="s">
        <v>4</v>
      </c>
      <c r="K395" s="72" t="s">
        <v>4</v>
      </c>
      <c r="L395" s="74"/>
      <c r="M395" s="77" t="str">
        <f>IF(Main[[#This Row],[Tech Start Date]]&lt;1/1/1990,"",IF(Main[[#This Row],[Class]]="C",WORKDAY(Main[[#This Row],[Tech Start Date]],9),IF(Main[[#This Row],[Class]]="B", WORKDAY(Main[[#This Row],[Tech Start Date]],6),IF(Main[[#This Row],[Class]]="A",WORKDAY(Main[[#This Row],[Tech Start Date]],2),""))))</f>
        <v/>
      </c>
      <c r="N395" s="77" t="str">
        <f>IF(Main[[#This Row],[Tech Start Date]]&lt;1/1/1990,"",IF(Main[[#This Row],[Class]]="C",WORKDAY(Main[[#This Row],[Tech Start Date]],19),IF(Main[[#This Row],[Class]]="B", WORKDAY(Main[[#This Row],[Tech Start Date]],12),IF(Main[[#This Row],[Class]]="A",WORKDAY(Main[[#This Row],[Tech Start Date]],4),""))))</f>
        <v/>
      </c>
      <c r="O395" s="77" t="str">
        <f>IF(Main[[#This Row],[Tech Start Date]]&lt;1/1/1990,"",IF(Main[[#This Row],[Class]]="C",WORKDAY(Main[[#This Row],[Tech Start Date]],23),IF(Main[[#This Row],[Class]]="B", WORKDAY(Main[[#This Row],[Tech Start Date]],15),IF(Main[[#This Row],[Class]]="A",WORKDAY(Main[[#This Row],[Tech Start Date]],5),""))))</f>
        <v/>
      </c>
      <c r="P395" s="77" t="str">
        <f>IF(Main[[#This Row],[Tech Start Date]]&lt;1/1/1990,"",IF(Main[[#This Row],[Class]]="C",WORKDAY(Main[[#This Row],[Tech Start Date]],28),IF(Main[[#This Row],[Class]]="B", WORKDAY(Main[[#This Row],[Tech Start Date]],19),IF(Main[[#This Row],[Class]]="A",WORKDAY(Main[[#This Row],[Tech Start Date]],9),""))))</f>
        <v/>
      </c>
      <c r="Q395" s="74">
        <v>40174</v>
      </c>
      <c r="R395" s="74"/>
      <c r="S395" s="72" t="s">
        <v>11</v>
      </c>
      <c r="T395" s="80" t="s">
        <v>4</v>
      </c>
      <c r="U395" s="72" t="s">
        <v>12</v>
      </c>
      <c r="V395" s="72" t="s">
        <v>1937</v>
      </c>
      <c r="W395" s="72" t="s">
        <v>1945</v>
      </c>
      <c r="X395" s="72" t="s">
        <v>3025</v>
      </c>
      <c r="Y395" s="72" t="s">
        <v>4</v>
      </c>
      <c r="Z395" s="72" t="s">
        <v>4</v>
      </c>
    </row>
    <row r="396" spans="1:26" ht="18.600000000000001" customHeight="1">
      <c r="A396" s="142" t="str">
        <f>IF(priority(Main[[#This Row],[Comments]])&lt;&gt;0, priority(Main[[#This Row],[Comments]]),"")</f>
        <v/>
      </c>
      <c r="B396" s="90" t="s">
        <v>1265</v>
      </c>
      <c r="C396" s="72" t="s">
        <v>4</v>
      </c>
      <c r="D396" s="73" t="s">
        <v>317</v>
      </c>
      <c r="E396" s="74">
        <v>40701.550486111111</v>
      </c>
      <c r="F396" s="74"/>
      <c r="G396" s="75" t="str">
        <f>IF(stdProdLT(Main[[#This Row],[Comments]])=0.1,"N/A",IF(stdProdLT(Main[[#This Row],[Comments]])=0,"",stdProdLT(Main[[#This Row],[Comments]])))</f>
        <v/>
      </c>
      <c r="H396" s="76" t="str">
        <f>IF(AND(Main[[#This Row],[In Stock Date]]&lt;&gt;"",Main[[#This Row],[Revised Due Date]]&lt;&gt;""),Main[[#This Row],[In Stock Date]]-Main[[#This Row],[Revised Due Date]],"")</f>
        <v/>
      </c>
      <c r="I396" s="72" t="s">
        <v>4</v>
      </c>
      <c r="J396" s="72" t="s">
        <v>4</v>
      </c>
      <c r="K396" s="72" t="s">
        <v>4</v>
      </c>
      <c r="L396" s="74"/>
      <c r="M396" s="77" t="str">
        <f>IF(Main[[#This Row],[Tech Start Date]]&lt;1/1/1990,"",IF(Main[[#This Row],[Class]]="C",WORKDAY(Main[[#This Row],[Tech Start Date]],9),IF(Main[[#This Row],[Class]]="B", WORKDAY(Main[[#This Row],[Tech Start Date]],6),IF(Main[[#This Row],[Class]]="A",WORKDAY(Main[[#This Row],[Tech Start Date]],2),""))))</f>
        <v/>
      </c>
      <c r="N396" s="77" t="str">
        <f>IF(Main[[#This Row],[Tech Start Date]]&lt;1/1/1990,"",IF(Main[[#This Row],[Class]]="C",WORKDAY(Main[[#This Row],[Tech Start Date]],19),IF(Main[[#This Row],[Class]]="B", WORKDAY(Main[[#This Row],[Tech Start Date]],12),IF(Main[[#This Row],[Class]]="A",WORKDAY(Main[[#This Row],[Tech Start Date]],4),""))))</f>
        <v/>
      </c>
      <c r="O396" s="77" t="str">
        <f>IF(Main[[#This Row],[Tech Start Date]]&lt;1/1/1990,"",IF(Main[[#This Row],[Class]]="C",WORKDAY(Main[[#This Row],[Tech Start Date]],23),IF(Main[[#This Row],[Class]]="B", WORKDAY(Main[[#This Row],[Tech Start Date]],15),IF(Main[[#This Row],[Class]]="A",WORKDAY(Main[[#This Row],[Tech Start Date]],5),""))))</f>
        <v/>
      </c>
      <c r="P396" s="77" t="str">
        <f>IF(Main[[#This Row],[Tech Start Date]]&lt;1/1/1990,"",IF(Main[[#This Row],[Class]]="C",WORKDAY(Main[[#This Row],[Tech Start Date]],28),IF(Main[[#This Row],[Class]]="B", WORKDAY(Main[[#This Row],[Tech Start Date]],19),IF(Main[[#This Row],[Class]]="A",WORKDAY(Main[[#This Row],[Tech Start Date]],9),""))))</f>
        <v/>
      </c>
      <c r="Q396" s="74"/>
      <c r="R396" s="74"/>
      <c r="S396" s="72" t="s">
        <v>6</v>
      </c>
      <c r="T396" s="80" t="s">
        <v>4</v>
      </c>
      <c r="U396" s="72" t="s">
        <v>7</v>
      </c>
      <c r="V396" s="72" t="s">
        <v>1937</v>
      </c>
      <c r="W396" s="72" t="s">
        <v>4</v>
      </c>
      <c r="X396" s="72" t="s">
        <v>922</v>
      </c>
      <c r="Y396" s="72" t="s">
        <v>3175</v>
      </c>
      <c r="Z396" s="72" t="s">
        <v>4</v>
      </c>
    </row>
    <row r="397" spans="1:26" ht="18.600000000000001" customHeight="1">
      <c r="A397" s="142" t="str">
        <f>IF(priority(Main[[#This Row],[Comments]])&lt;&gt;0, priority(Main[[#This Row],[Comments]]),"")</f>
        <v/>
      </c>
      <c r="B397" s="90" t="s">
        <v>1266</v>
      </c>
      <c r="C397" s="72" t="s">
        <v>4</v>
      </c>
      <c r="D397" s="73" t="s">
        <v>318</v>
      </c>
      <c r="E397" s="74"/>
      <c r="F397" s="74"/>
      <c r="G397" s="75" t="str">
        <f>IF(stdProdLT(Main[[#This Row],[Comments]])=0.1,"N/A",IF(stdProdLT(Main[[#This Row],[Comments]])=0,"",stdProdLT(Main[[#This Row],[Comments]])))</f>
        <v/>
      </c>
      <c r="H397" s="76" t="str">
        <f>IF(AND(Main[[#This Row],[In Stock Date]]&lt;&gt;"",Main[[#This Row],[Revised Due Date]]&lt;&gt;""),Main[[#This Row],[In Stock Date]]-Main[[#This Row],[Revised Due Date]],"")</f>
        <v/>
      </c>
      <c r="I397" s="72" t="s">
        <v>4</v>
      </c>
      <c r="J397" s="72" t="s">
        <v>4</v>
      </c>
      <c r="K397" s="81" t="s">
        <v>4</v>
      </c>
      <c r="L397" s="74"/>
      <c r="M397" s="77" t="str">
        <f>IF(Main[[#This Row],[Tech Start Date]]&lt;1/1/1990,"",IF(Main[[#This Row],[Class]]="C",WORKDAY(Main[[#This Row],[Tech Start Date]],9),IF(Main[[#This Row],[Class]]="B", WORKDAY(Main[[#This Row],[Tech Start Date]],6),IF(Main[[#This Row],[Class]]="A",WORKDAY(Main[[#This Row],[Tech Start Date]],2),""))))</f>
        <v/>
      </c>
      <c r="N397" s="77" t="str">
        <f>IF(Main[[#This Row],[Tech Start Date]]&lt;1/1/1990,"",IF(Main[[#This Row],[Class]]="C",WORKDAY(Main[[#This Row],[Tech Start Date]],19),IF(Main[[#This Row],[Class]]="B", WORKDAY(Main[[#This Row],[Tech Start Date]],12),IF(Main[[#This Row],[Class]]="A",WORKDAY(Main[[#This Row],[Tech Start Date]],4),""))))</f>
        <v/>
      </c>
      <c r="O397" s="77" t="str">
        <f>IF(Main[[#This Row],[Tech Start Date]]&lt;1/1/1990,"",IF(Main[[#This Row],[Class]]="C",WORKDAY(Main[[#This Row],[Tech Start Date]],23),IF(Main[[#This Row],[Class]]="B", WORKDAY(Main[[#This Row],[Tech Start Date]],15),IF(Main[[#This Row],[Class]]="A",WORKDAY(Main[[#This Row],[Tech Start Date]],5),""))))</f>
        <v/>
      </c>
      <c r="P397" s="77" t="str">
        <f>IF(Main[[#This Row],[Tech Start Date]]&lt;1/1/1990,"",IF(Main[[#This Row],[Class]]="C",WORKDAY(Main[[#This Row],[Tech Start Date]],28),IF(Main[[#This Row],[Class]]="B", WORKDAY(Main[[#This Row],[Tech Start Date]],19),IF(Main[[#This Row],[Class]]="A",WORKDAY(Main[[#This Row],[Tech Start Date]],9),""))))</f>
        <v/>
      </c>
      <c r="Q397" s="74">
        <v>40374</v>
      </c>
      <c r="R397" s="74"/>
      <c r="S397" s="72" t="s">
        <v>11</v>
      </c>
      <c r="T397" s="80" t="s">
        <v>4</v>
      </c>
      <c r="U397" s="72" t="s">
        <v>12</v>
      </c>
      <c r="V397" s="72" t="s">
        <v>1938</v>
      </c>
      <c r="W397" s="72" t="s">
        <v>1939</v>
      </c>
      <c r="X397" s="72" t="s">
        <v>3024</v>
      </c>
      <c r="Y397" s="72" t="s">
        <v>3154</v>
      </c>
      <c r="Z397" s="72" t="s">
        <v>4</v>
      </c>
    </row>
    <row r="398" spans="1:26" ht="18.600000000000001" customHeight="1">
      <c r="A398" s="142" t="str">
        <f>IF(priority(Main[[#This Row],[Comments]])&lt;&gt;0, priority(Main[[#This Row],[Comments]]),"")</f>
        <v/>
      </c>
      <c r="B398" s="90" t="s">
        <v>1267</v>
      </c>
      <c r="C398" s="72" t="s">
        <v>4</v>
      </c>
      <c r="D398" s="73" t="s">
        <v>319</v>
      </c>
      <c r="E398" s="74"/>
      <c r="F398" s="74"/>
      <c r="G398" s="75" t="str">
        <f>IF(stdProdLT(Main[[#This Row],[Comments]])=0.1,"N/A",IF(stdProdLT(Main[[#This Row],[Comments]])=0,"",stdProdLT(Main[[#This Row],[Comments]])))</f>
        <v/>
      </c>
      <c r="H398" s="76" t="str">
        <f>IF(AND(Main[[#This Row],[In Stock Date]]&lt;&gt;"",Main[[#This Row],[Revised Due Date]]&lt;&gt;""),Main[[#This Row],[In Stock Date]]-Main[[#This Row],[Revised Due Date]],"")</f>
        <v/>
      </c>
      <c r="I398" s="72" t="s">
        <v>4</v>
      </c>
      <c r="J398" s="72" t="s">
        <v>4</v>
      </c>
      <c r="K398" s="72" t="s">
        <v>4</v>
      </c>
      <c r="L398" s="74"/>
      <c r="M398" s="77" t="str">
        <f>IF(Main[[#This Row],[Tech Start Date]]&lt;1/1/1990,"",IF(Main[[#This Row],[Class]]="C",WORKDAY(Main[[#This Row],[Tech Start Date]],9),IF(Main[[#This Row],[Class]]="B", WORKDAY(Main[[#This Row],[Tech Start Date]],6),IF(Main[[#This Row],[Class]]="A",WORKDAY(Main[[#This Row],[Tech Start Date]],2),""))))</f>
        <v/>
      </c>
      <c r="N398" s="77" t="str">
        <f>IF(Main[[#This Row],[Tech Start Date]]&lt;1/1/1990,"",IF(Main[[#This Row],[Class]]="C",WORKDAY(Main[[#This Row],[Tech Start Date]],19),IF(Main[[#This Row],[Class]]="B", WORKDAY(Main[[#This Row],[Tech Start Date]],12),IF(Main[[#This Row],[Class]]="A",WORKDAY(Main[[#This Row],[Tech Start Date]],4),""))))</f>
        <v/>
      </c>
      <c r="O398" s="77" t="str">
        <f>IF(Main[[#This Row],[Tech Start Date]]&lt;1/1/1990,"",IF(Main[[#This Row],[Class]]="C",WORKDAY(Main[[#This Row],[Tech Start Date]],23),IF(Main[[#This Row],[Class]]="B", WORKDAY(Main[[#This Row],[Tech Start Date]],15),IF(Main[[#This Row],[Class]]="A",WORKDAY(Main[[#This Row],[Tech Start Date]],5),""))))</f>
        <v/>
      </c>
      <c r="P398" s="77" t="str">
        <f>IF(Main[[#This Row],[Tech Start Date]]&lt;1/1/1990,"",IF(Main[[#This Row],[Class]]="C",WORKDAY(Main[[#This Row],[Tech Start Date]],28),IF(Main[[#This Row],[Class]]="B", WORKDAY(Main[[#This Row],[Tech Start Date]],19),IF(Main[[#This Row],[Class]]="A",WORKDAY(Main[[#This Row],[Tech Start Date]],9),""))))</f>
        <v/>
      </c>
      <c r="Q398" s="74"/>
      <c r="R398" s="74"/>
      <c r="S398" s="72" t="s">
        <v>6</v>
      </c>
      <c r="T398" s="80" t="s">
        <v>4</v>
      </c>
      <c r="U398" s="72" t="s">
        <v>14</v>
      </c>
      <c r="V398" s="72" t="s">
        <v>1938</v>
      </c>
      <c r="W398" s="72" t="s">
        <v>1939</v>
      </c>
      <c r="X398" s="72" t="s">
        <v>3014</v>
      </c>
      <c r="Y398" s="72" t="s">
        <v>3164</v>
      </c>
      <c r="Z398" s="72" t="s">
        <v>4</v>
      </c>
    </row>
    <row r="399" spans="1:26" ht="18.600000000000001" customHeight="1">
      <c r="A399" s="142" t="str">
        <f>IF(priority(Main[[#This Row],[Comments]])&lt;&gt;0, priority(Main[[#This Row],[Comments]]),"")</f>
        <v/>
      </c>
      <c r="B399" s="90" t="s">
        <v>1268</v>
      </c>
      <c r="C399" s="72" t="s">
        <v>200</v>
      </c>
      <c r="D399" s="73" t="s">
        <v>320</v>
      </c>
      <c r="E399" s="74"/>
      <c r="F399" s="74"/>
      <c r="G399" s="75" t="str">
        <f>IF(stdProdLT(Main[[#This Row],[Comments]])=0.1,"N/A",IF(stdProdLT(Main[[#This Row],[Comments]])=0,"",stdProdLT(Main[[#This Row],[Comments]])))</f>
        <v/>
      </c>
      <c r="H399" s="76" t="str">
        <f>IF(AND(Main[[#This Row],[In Stock Date]]&lt;&gt;"",Main[[#This Row],[Revised Due Date]]&lt;&gt;""),Main[[#This Row],[In Stock Date]]-Main[[#This Row],[Revised Due Date]],"")</f>
        <v/>
      </c>
      <c r="I399" s="72" t="s">
        <v>4</v>
      </c>
      <c r="J399" s="72" t="s">
        <v>4</v>
      </c>
      <c r="K399" s="72" t="s">
        <v>4</v>
      </c>
      <c r="L399" s="74"/>
      <c r="M399" s="77" t="str">
        <f>IF(Main[[#This Row],[Tech Start Date]]&lt;1/1/1990,"",IF(Main[[#This Row],[Class]]="C",WORKDAY(Main[[#This Row],[Tech Start Date]],9),IF(Main[[#This Row],[Class]]="B", WORKDAY(Main[[#This Row],[Tech Start Date]],6),IF(Main[[#This Row],[Class]]="A",WORKDAY(Main[[#This Row],[Tech Start Date]],2),""))))</f>
        <v/>
      </c>
      <c r="N399" s="77" t="str">
        <f>IF(Main[[#This Row],[Tech Start Date]]&lt;1/1/1990,"",IF(Main[[#This Row],[Class]]="C",WORKDAY(Main[[#This Row],[Tech Start Date]],19),IF(Main[[#This Row],[Class]]="B", WORKDAY(Main[[#This Row],[Tech Start Date]],12),IF(Main[[#This Row],[Class]]="A",WORKDAY(Main[[#This Row],[Tech Start Date]],4),""))))</f>
        <v/>
      </c>
      <c r="O399" s="77" t="str">
        <f>IF(Main[[#This Row],[Tech Start Date]]&lt;1/1/1990,"",IF(Main[[#This Row],[Class]]="C",WORKDAY(Main[[#This Row],[Tech Start Date]],23),IF(Main[[#This Row],[Class]]="B", WORKDAY(Main[[#This Row],[Tech Start Date]],15),IF(Main[[#This Row],[Class]]="A",WORKDAY(Main[[#This Row],[Tech Start Date]],5),""))))</f>
        <v/>
      </c>
      <c r="P399" s="77" t="str">
        <f>IF(Main[[#This Row],[Tech Start Date]]&lt;1/1/1990,"",IF(Main[[#This Row],[Class]]="C",WORKDAY(Main[[#This Row],[Tech Start Date]],28),IF(Main[[#This Row],[Class]]="B", WORKDAY(Main[[#This Row],[Tech Start Date]],19),IF(Main[[#This Row],[Class]]="A",WORKDAY(Main[[#This Row],[Tech Start Date]],9),""))))</f>
        <v/>
      </c>
      <c r="Q399" s="74">
        <v>40165</v>
      </c>
      <c r="R399" s="74"/>
      <c r="S399" s="72" t="s">
        <v>11</v>
      </c>
      <c r="T399" s="80" t="s">
        <v>4</v>
      </c>
      <c r="U399" s="72" t="s">
        <v>14</v>
      </c>
      <c r="V399" s="72" t="s">
        <v>1947</v>
      </c>
      <c r="W399" s="72" t="s">
        <v>1943</v>
      </c>
      <c r="X399" s="72" t="s">
        <v>311</v>
      </c>
      <c r="Y399" s="72" t="s">
        <v>3121</v>
      </c>
      <c r="Z399" s="72" t="s">
        <v>4</v>
      </c>
    </row>
    <row r="400" spans="1:26" ht="18.600000000000001" customHeight="1">
      <c r="A400" s="142" t="str">
        <f>IF(priority(Main[[#This Row],[Comments]])&lt;&gt;0, priority(Main[[#This Row],[Comments]]),"")</f>
        <v/>
      </c>
      <c r="B400" s="90" t="s">
        <v>1270</v>
      </c>
      <c r="C400" s="72" t="s">
        <v>4</v>
      </c>
      <c r="D400" s="73" t="s">
        <v>322</v>
      </c>
      <c r="E400" s="74">
        <v>40275.49355324074</v>
      </c>
      <c r="F400" s="74"/>
      <c r="G400" s="75" t="str">
        <f>IF(stdProdLT(Main[[#This Row],[Comments]])=0.1,"N/A",IF(stdProdLT(Main[[#This Row],[Comments]])=0,"",stdProdLT(Main[[#This Row],[Comments]])))</f>
        <v/>
      </c>
      <c r="H400" s="76" t="str">
        <f>IF(AND(Main[[#This Row],[In Stock Date]]&lt;&gt;"",Main[[#This Row],[Revised Due Date]]&lt;&gt;""),Main[[#This Row],[In Stock Date]]-Main[[#This Row],[Revised Due Date]],"")</f>
        <v/>
      </c>
      <c r="I400" s="72" t="s">
        <v>4</v>
      </c>
      <c r="J400" s="72" t="s">
        <v>4</v>
      </c>
      <c r="K400" s="72" t="s">
        <v>4</v>
      </c>
      <c r="L400" s="74"/>
      <c r="M400" s="77" t="str">
        <f>IF(Main[[#This Row],[Tech Start Date]]&lt;1/1/1990,"",IF(Main[[#This Row],[Class]]="C",WORKDAY(Main[[#This Row],[Tech Start Date]],9),IF(Main[[#This Row],[Class]]="B", WORKDAY(Main[[#This Row],[Tech Start Date]],6),IF(Main[[#This Row],[Class]]="A",WORKDAY(Main[[#This Row],[Tech Start Date]],2),""))))</f>
        <v/>
      </c>
      <c r="N400" s="77" t="str">
        <f>IF(Main[[#This Row],[Tech Start Date]]&lt;1/1/1990,"",IF(Main[[#This Row],[Class]]="C",WORKDAY(Main[[#This Row],[Tech Start Date]],19),IF(Main[[#This Row],[Class]]="B", WORKDAY(Main[[#This Row],[Tech Start Date]],12),IF(Main[[#This Row],[Class]]="A",WORKDAY(Main[[#This Row],[Tech Start Date]],4),""))))</f>
        <v/>
      </c>
      <c r="O400" s="77" t="str">
        <f>IF(Main[[#This Row],[Tech Start Date]]&lt;1/1/1990,"",IF(Main[[#This Row],[Class]]="C",WORKDAY(Main[[#This Row],[Tech Start Date]],23),IF(Main[[#This Row],[Class]]="B", WORKDAY(Main[[#This Row],[Tech Start Date]],15),IF(Main[[#This Row],[Class]]="A",WORKDAY(Main[[#This Row],[Tech Start Date]],5),""))))</f>
        <v/>
      </c>
      <c r="P400" s="77" t="str">
        <f>IF(Main[[#This Row],[Tech Start Date]]&lt;1/1/1990,"",IF(Main[[#This Row],[Class]]="C",WORKDAY(Main[[#This Row],[Tech Start Date]],28),IF(Main[[#This Row],[Class]]="B", WORKDAY(Main[[#This Row],[Tech Start Date]],19),IF(Main[[#This Row],[Class]]="A",WORKDAY(Main[[#This Row],[Tech Start Date]],9),""))))</f>
        <v/>
      </c>
      <c r="Q400" s="74">
        <v>40289</v>
      </c>
      <c r="R400" s="74"/>
      <c r="S400" s="72" t="s">
        <v>323</v>
      </c>
      <c r="T400" s="80" t="s">
        <v>4</v>
      </c>
      <c r="U400" s="72" t="s">
        <v>7</v>
      </c>
      <c r="V400" s="72" t="s">
        <v>1937</v>
      </c>
      <c r="W400" s="72" t="s">
        <v>1939</v>
      </c>
      <c r="X400" s="72" t="s">
        <v>2973</v>
      </c>
      <c r="Y400" s="72" t="s">
        <v>3094</v>
      </c>
      <c r="Z400" s="72" t="s">
        <v>4</v>
      </c>
    </row>
    <row r="401" spans="1:26" ht="18.600000000000001" customHeight="1">
      <c r="A401" s="142" t="str">
        <f>IF(priority(Main[[#This Row],[Comments]])&lt;&gt;0, priority(Main[[#This Row],[Comments]]),"")</f>
        <v/>
      </c>
      <c r="B401" s="90" t="s">
        <v>1272</v>
      </c>
      <c r="C401" s="72" t="s">
        <v>4</v>
      </c>
      <c r="D401" s="73" t="s">
        <v>325</v>
      </c>
      <c r="E401" s="74"/>
      <c r="F401" s="74"/>
      <c r="G401" s="75" t="str">
        <f>IF(stdProdLT(Main[[#This Row],[Comments]])=0.1,"N/A",IF(stdProdLT(Main[[#This Row],[Comments]])=0,"",stdProdLT(Main[[#This Row],[Comments]])))</f>
        <v/>
      </c>
      <c r="H401" s="76" t="str">
        <f>IF(AND(Main[[#This Row],[In Stock Date]]&lt;&gt;"",Main[[#This Row],[Revised Due Date]]&lt;&gt;""),Main[[#This Row],[In Stock Date]]-Main[[#This Row],[Revised Due Date]],"")</f>
        <v/>
      </c>
      <c r="I401" s="72" t="s">
        <v>4</v>
      </c>
      <c r="J401" s="72" t="s">
        <v>28</v>
      </c>
      <c r="K401" s="72" t="s">
        <v>4</v>
      </c>
      <c r="L401" s="74"/>
      <c r="M401" s="77" t="str">
        <f>IF(Main[[#This Row],[Tech Start Date]]&lt;1/1/1990,"",IF(Main[[#This Row],[Class]]="C",WORKDAY(Main[[#This Row],[Tech Start Date]],9),IF(Main[[#This Row],[Class]]="B", WORKDAY(Main[[#This Row],[Tech Start Date]],6),IF(Main[[#This Row],[Class]]="A",WORKDAY(Main[[#This Row],[Tech Start Date]],2),""))))</f>
        <v/>
      </c>
      <c r="N401" s="77" t="str">
        <f>IF(Main[[#This Row],[Tech Start Date]]&lt;1/1/1990,"",IF(Main[[#This Row],[Class]]="C",WORKDAY(Main[[#This Row],[Tech Start Date]],19),IF(Main[[#This Row],[Class]]="B", WORKDAY(Main[[#This Row],[Tech Start Date]],12),IF(Main[[#This Row],[Class]]="A",WORKDAY(Main[[#This Row],[Tech Start Date]],4),""))))</f>
        <v/>
      </c>
      <c r="O401" s="77" t="str">
        <f>IF(Main[[#This Row],[Tech Start Date]]&lt;1/1/1990,"",IF(Main[[#This Row],[Class]]="C",WORKDAY(Main[[#This Row],[Tech Start Date]],23),IF(Main[[#This Row],[Class]]="B", WORKDAY(Main[[#This Row],[Tech Start Date]],15),IF(Main[[#This Row],[Class]]="A",WORKDAY(Main[[#This Row],[Tech Start Date]],5),""))))</f>
        <v/>
      </c>
      <c r="P401" s="77" t="str">
        <f>IF(Main[[#This Row],[Tech Start Date]]&lt;1/1/1990,"",IF(Main[[#This Row],[Class]]="C",WORKDAY(Main[[#This Row],[Tech Start Date]],28),IF(Main[[#This Row],[Class]]="B", WORKDAY(Main[[#This Row],[Tech Start Date]],19),IF(Main[[#This Row],[Class]]="A",WORKDAY(Main[[#This Row],[Tech Start Date]],9),""))))</f>
        <v/>
      </c>
      <c r="Q401" s="74"/>
      <c r="R401" s="74"/>
      <c r="S401" s="72" t="s">
        <v>17</v>
      </c>
      <c r="T401" s="80" t="s">
        <v>4</v>
      </c>
      <c r="U401" s="72" t="s">
        <v>14</v>
      </c>
      <c r="V401" s="72" t="s">
        <v>1937</v>
      </c>
      <c r="W401" s="72" t="s">
        <v>1941</v>
      </c>
      <c r="X401" s="72" t="s">
        <v>129</v>
      </c>
      <c r="Y401" s="72" t="s">
        <v>4</v>
      </c>
      <c r="Z401" s="72" t="s">
        <v>129</v>
      </c>
    </row>
    <row r="402" spans="1:26" ht="18.600000000000001" customHeight="1">
      <c r="A402" s="142" t="str">
        <f>IF(priority(Main[[#This Row],[Comments]])&lt;&gt;0, priority(Main[[#This Row],[Comments]]),"")</f>
        <v/>
      </c>
      <c r="B402" s="90" t="s">
        <v>1273</v>
      </c>
      <c r="C402" s="72" t="s">
        <v>4</v>
      </c>
      <c r="D402" s="73" t="s">
        <v>326</v>
      </c>
      <c r="E402" s="74"/>
      <c r="F402" s="74"/>
      <c r="G402" s="75" t="str">
        <f>IF(stdProdLT(Main[[#This Row],[Comments]])=0.1,"N/A",IF(stdProdLT(Main[[#This Row],[Comments]])=0,"",stdProdLT(Main[[#This Row],[Comments]])))</f>
        <v/>
      </c>
      <c r="H402" s="76" t="str">
        <f>IF(AND(Main[[#This Row],[In Stock Date]]&lt;&gt;"",Main[[#This Row],[Revised Due Date]]&lt;&gt;""),Main[[#This Row],[In Stock Date]]-Main[[#This Row],[Revised Due Date]],"")</f>
        <v/>
      </c>
      <c r="I402" s="72" t="s">
        <v>4</v>
      </c>
      <c r="J402" s="72" t="s">
        <v>4</v>
      </c>
      <c r="K402" s="72" t="s">
        <v>4</v>
      </c>
      <c r="L402" s="74"/>
      <c r="M402" s="77" t="str">
        <f>IF(Main[[#This Row],[Tech Start Date]]&lt;1/1/1990,"",IF(Main[[#This Row],[Class]]="C",WORKDAY(Main[[#This Row],[Tech Start Date]],9),IF(Main[[#This Row],[Class]]="B", WORKDAY(Main[[#This Row],[Tech Start Date]],6),IF(Main[[#This Row],[Class]]="A",WORKDAY(Main[[#This Row],[Tech Start Date]],2),""))))</f>
        <v/>
      </c>
      <c r="N402" s="77" t="str">
        <f>IF(Main[[#This Row],[Tech Start Date]]&lt;1/1/1990,"",IF(Main[[#This Row],[Class]]="C",WORKDAY(Main[[#This Row],[Tech Start Date]],19),IF(Main[[#This Row],[Class]]="B", WORKDAY(Main[[#This Row],[Tech Start Date]],12),IF(Main[[#This Row],[Class]]="A",WORKDAY(Main[[#This Row],[Tech Start Date]],4),""))))</f>
        <v/>
      </c>
      <c r="O402" s="77" t="str">
        <f>IF(Main[[#This Row],[Tech Start Date]]&lt;1/1/1990,"",IF(Main[[#This Row],[Class]]="C",WORKDAY(Main[[#This Row],[Tech Start Date]],23),IF(Main[[#This Row],[Class]]="B", WORKDAY(Main[[#This Row],[Tech Start Date]],15),IF(Main[[#This Row],[Class]]="A",WORKDAY(Main[[#This Row],[Tech Start Date]],5),""))))</f>
        <v/>
      </c>
      <c r="P402" s="77" t="str">
        <f>IF(Main[[#This Row],[Tech Start Date]]&lt;1/1/1990,"",IF(Main[[#This Row],[Class]]="C",WORKDAY(Main[[#This Row],[Tech Start Date]],28),IF(Main[[#This Row],[Class]]="B", WORKDAY(Main[[#This Row],[Tech Start Date]],19),IF(Main[[#This Row],[Class]]="A",WORKDAY(Main[[#This Row],[Tech Start Date]],9),""))))</f>
        <v/>
      </c>
      <c r="Q402" s="74">
        <v>40725</v>
      </c>
      <c r="R402" s="74"/>
      <c r="S402" s="72" t="s">
        <v>17</v>
      </c>
      <c r="T402" s="80" t="s">
        <v>4</v>
      </c>
      <c r="U402" s="72" t="s">
        <v>14</v>
      </c>
      <c r="V402" s="72" t="s">
        <v>1937</v>
      </c>
      <c r="W402" s="72" t="s">
        <v>1939</v>
      </c>
      <c r="X402" s="72" t="s">
        <v>922</v>
      </c>
      <c r="Y402" s="72" t="s">
        <v>3175</v>
      </c>
      <c r="Z402" s="72" t="s">
        <v>4</v>
      </c>
    </row>
    <row r="403" spans="1:26" ht="18.600000000000001" customHeight="1">
      <c r="A403" s="142" t="str">
        <f>IF(priority(Main[[#This Row],[Comments]])&lt;&gt;0, priority(Main[[#This Row],[Comments]]),"")</f>
        <v/>
      </c>
      <c r="B403" s="90" t="s">
        <v>1274</v>
      </c>
      <c r="C403" s="72" t="s">
        <v>93</v>
      </c>
      <c r="D403" s="73" t="s">
        <v>327</v>
      </c>
      <c r="E403" s="74"/>
      <c r="F403" s="74">
        <v>40168</v>
      </c>
      <c r="G403" s="75" t="str">
        <f>IF(stdProdLT(Main[[#This Row],[Comments]])=0.1,"N/A",IF(stdProdLT(Main[[#This Row],[Comments]])=0,"",stdProdLT(Main[[#This Row],[Comments]])))</f>
        <v/>
      </c>
      <c r="H403" s="76" t="str">
        <f>IF(AND(Main[[#This Row],[In Stock Date]]&lt;&gt;"",Main[[#This Row],[Revised Due Date]]&lt;&gt;""),Main[[#This Row],[In Stock Date]]-Main[[#This Row],[Revised Due Date]],"")</f>
        <v/>
      </c>
      <c r="I403" s="72" t="s">
        <v>4</v>
      </c>
      <c r="J403" s="72" t="s">
        <v>4</v>
      </c>
      <c r="K403" s="72" t="s">
        <v>4</v>
      </c>
      <c r="L403" s="74"/>
      <c r="M403" s="77" t="str">
        <f>IF(Main[[#This Row],[Tech Start Date]]&lt;1/1/1990,"",IF(Main[[#This Row],[Class]]="C",WORKDAY(Main[[#This Row],[Tech Start Date]],9),IF(Main[[#This Row],[Class]]="B", WORKDAY(Main[[#This Row],[Tech Start Date]],6),IF(Main[[#This Row],[Class]]="A",WORKDAY(Main[[#This Row],[Tech Start Date]],2),""))))</f>
        <v/>
      </c>
      <c r="N403" s="77" t="str">
        <f>IF(Main[[#This Row],[Tech Start Date]]&lt;1/1/1990,"",IF(Main[[#This Row],[Class]]="C",WORKDAY(Main[[#This Row],[Tech Start Date]],19),IF(Main[[#This Row],[Class]]="B", WORKDAY(Main[[#This Row],[Tech Start Date]],12),IF(Main[[#This Row],[Class]]="A",WORKDAY(Main[[#This Row],[Tech Start Date]],4),""))))</f>
        <v/>
      </c>
      <c r="O403" s="77" t="str">
        <f>IF(Main[[#This Row],[Tech Start Date]]&lt;1/1/1990,"",IF(Main[[#This Row],[Class]]="C",WORKDAY(Main[[#This Row],[Tech Start Date]],23),IF(Main[[#This Row],[Class]]="B", WORKDAY(Main[[#This Row],[Tech Start Date]],15),IF(Main[[#This Row],[Class]]="A",WORKDAY(Main[[#This Row],[Tech Start Date]],5),""))))</f>
        <v/>
      </c>
      <c r="P403" s="77" t="str">
        <f>IF(Main[[#This Row],[Tech Start Date]]&lt;1/1/1990,"",IF(Main[[#This Row],[Class]]="C",WORKDAY(Main[[#This Row],[Tech Start Date]],28),IF(Main[[#This Row],[Class]]="B", WORKDAY(Main[[#This Row],[Tech Start Date]],19),IF(Main[[#This Row],[Class]]="A",WORKDAY(Main[[#This Row],[Tech Start Date]],9),""))))</f>
        <v/>
      </c>
      <c r="Q403" s="74">
        <v>39993</v>
      </c>
      <c r="R403" s="74"/>
      <c r="S403" s="72" t="s">
        <v>11</v>
      </c>
      <c r="T403" s="80" t="s">
        <v>4</v>
      </c>
      <c r="U403" s="72" t="s">
        <v>14</v>
      </c>
      <c r="V403" s="72" t="s">
        <v>1938</v>
      </c>
      <c r="W403" s="72" t="s">
        <v>1945</v>
      </c>
      <c r="X403" s="72" t="s">
        <v>3005</v>
      </c>
      <c r="Y403" s="72" t="s">
        <v>3149</v>
      </c>
      <c r="Z403" s="72" t="s">
        <v>4</v>
      </c>
    </row>
    <row r="404" spans="1:26" ht="18.600000000000001" customHeight="1">
      <c r="A404" s="142" t="str">
        <f>IF(priority(Main[[#This Row],[Comments]])&lt;&gt;0, priority(Main[[#This Row],[Comments]]),"")</f>
        <v/>
      </c>
      <c r="B404" s="90" t="s">
        <v>1275</v>
      </c>
      <c r="C404" s="72" t="s">
        <v>93</v>
      </c>
      <c r="D404" s="73" t="s">
        <v>328</v>
      </c>
      <c r="E404" s="74"/>
      <c r="F404" s="74">
        <v>40299</v>
      </c>
      <c r="G404" s="75" t="str">
        <f>IF(stdProdLT(Main[[#This Row],[Comments]])=0.1,"N/A",IF(stdProdLT(Main[[#This Row],[Comments]])=0,"",stdProdLT(Main[[#This Row],[Comments]])))</f>
        <v/>
      </c>
      <c r="H404" s="76" t="str">
        <f>IF(AND(Main[[#This Row],[In Stock Date]]&lt;&gt;"",Main[[#This Row],[Revised Due Date]]&lt;&gt;""),Main[[#This Row],[In Stock Date]]-Main[[#This Row],[Revised Due Date]],"")</f>
        <v/>
      </c>
      <c r="I404" s="72" t="s">
        <v>4</v>
      </c>
      <c r="J404" s="72" t="s">
        <v>4</v>
      </c>
      <c r="K404" s="72" t="s">
        <v>4</v>
      </c>
      <c r="L404" s="74"/>
      <c r="M404" s="77" t="str">
        <f>IF(Main[[#This Row],[Tech Start Date]]&lt;1/1/1990,"",IF(Main[[#This Row],[Class]]="C",WORKDAY(Main[[#This Row],[Tech Start Date]],9),IF(Main[[#This Row],[Class]]="B", WORKDAY(Main[[#This Row],[Tech Start Date]],6),IF(Main[[#This Row],[Class]]="A",WORKDAY(Main[[#This Row],[Tech Start Date]],2),""))))</f>
        <v/>
      </c>
      <c r="N404" s="77" t="str">
        <f>IF(Main[[#This Row],[Tech Start Date]]&lt;1/1/1990,"",IF(Main[[#This Row],[Class]]="C",WORKDAY(Main[[#This Row],[Tech Start Date]],19),IF(Main[[#This Row],[Class]]="B", WORKDAY(Main[[#This Row],[Tech Start Date]],12),IF(Main[[#This Row],[Class]]="A",WORKDAY(Main[[#This Row],[Tech Start Date]],4),""))))</f>
        <v/>
      </c>
      <c r="O404" s="77" t="str">
        <f>IF(Main[[#This Row],[Tech Start Date]]&lt;1/1/1990,"",IF(Main[[#This Row],[Class]]="C",WORKDAY(Main[[#This Row],[Tech Start Date]],23),IF(Main[[#This Row],[Class]]="B", WORKDAY(Main[[#This Row],[Tech Start Date]],15),IF(Main[[#This Row],[Class]]="A",WORKDAY(Main[[#This Row],[Tech Start Date]],5),""))))</f>
        <v/>
      </c>
      <c r="P404" s="77" t="str">
        <f>IF(Main[[#This Row],[Tech Start Date]]&lt;1/1/1990,"",IF(Main[[#This Row],[Class]]="C",WORKDAY(Main[[#This Row],[Tech Start Date]],28),IF(Main[[#This Row],[Class]]="B", WORKDAY(Main[[#This Row],[Tech Start Date]],19),IF(Main[[#This Row],[Class]]="A",WORKDAY(Main[[#This Row],[Tech Start Date]],9),""))))</f>
        <v/>
      </c>
      <c r="Q404" s="74">
        <v>40214</v>
      </c>
      <c r="R404" s="74"/>
      <c r="S404" s="72" t="s">
        <v>11</v>
      </c>
      <c r="T404" s="80" t="s">
        <v>4</v>
      </c>
      <c r="U404" s="72" t="s">
        <v>12</v>
      </c>
      <c r="V404" s="72" t="s">
        <v>1937</v>
      </c>
      <c r="W404" s="72" t="s">
        <v>1943</v>
      </c>
      <c r="X404" s="72" t="s">
        <v>2997</v>
      </c>
      <c r="Y404" s="72" t="s">
        <v>4</v>
      </c>
      <c r="Z404" s="72" t="s">
        <v>4</v>
      </c>
    </row>
    <row r="405" spans="1:26" ht="18.600000000000001" customHeight="1">
      <c r="A405" s="142" t="str">
        <f>IF(priority(Main[[#This Row],[Comments]])&lt;&gt;0, priority(Main[[#This Row],[Comments]]),"")</f>
        <v/>
      </c>
      <c r="B405" s="90" t="s">
        <v>1276</v>
      </c>
      <c r="C405" s="72" t="s">
        <v>4</v>
      </c>
      <c r="D405" s="73" t="s">
        <v>333</v>
      </c>
      <c r="E405" s="74"/>
      <c r="F405" s="74"/>
      <c r="G405" s="75" t="str">
        <f>IF(stdProdLT(Main[[#This Row],[Comments]])=0.1,"N/A",IF(stdProdLT(Main[[#This Row],[Comments]])=0,"",stdProdLT(Main[[#This Row],[Comments]])))</f>
        <v/>
      </c>
      <c r="H405" s="76" t="str">
        <f>IF(AND(Main[[#This Row],[In Stock Date]]&lt;&gt;"",Main[[#This Row],[Revised Due Date]]&lt;&gt;""),Main[[#This Row],[In Stock Date]]-Main[[#This Row],[Revised Due Date]],"")</f>
        <v/>
      </c>
      <c r="I405" s="72" t="s">
        <v>4</v>
      </c>
      <c r="J405" s="72" t="s">
        <v>4</v>
      </c>
      <c r="K405" s="72" t="s">
        <v>4</v>
      </c>
      <c r="L405" s="74"/>
      <c r="M405" s="77" t="str">
        <f>IF(Main[[#This Row],[Tech Start Date]]&lt;1/1/1990,"",IF(Main[[#This Row],[Class]]="C",WORKDAY(Main[[#This Row],[Tech Start Date]],9),IF(Main[[#This Row],[Class]]="B", WORKDAY(Main[[#This Row],[Tech Start Date]],6),IF(Main[[#This Row],[Class]]="A",WORKDAY(Main[[#This Row],[Tech Start Date]],2),""))))</f>
        <v/>
      </c>
      <c r="N405" s="77" t="str">
        <f>IF(Main[[#This Row],[Tech Start Date]]&lt;1/1/1990,"",IF(Main[[#This Row],[Class]]="C",WORKDAY(Main[[#This Row],[Tech Start Date]],19),IF(Main[[#This Row],[Class]]="B", WORKDAY(Main[[#This Row],[Tech Start Date]],12),IF(Main[[#This Row],[Class]]="A",WORKDAY(Main[[#This Row],[Tech Start Date]],4),""))))</f>
        <v/>
      </c>
      <c r="O405" s="77" t="str">
        <f>IF(Main[[#This Row],[Tech Start Date]]&lt;1/1/1990,"",IF(Main[[#This Row],[Class]]="C",WORKDAY(Main[[#This Row],[Tech Start Date]],23),IF(Main[[#This Row],[Class]]="B", WORKDAY(Main[[#This Row],[Tech Start Date]],15),IF(Main[[#This Row],[Class]]="A",WORKDAY(Main[[#This Row],[Tech Start Date]],5),""))))</f>
        <v/>
      </c>
      <c r="P405" s="77" t="str">
        <f>IF(Main[[#This Row],[Tech Start Date]]&lt;1/1/1990,"",IF(Main[[#This Row],[Class]]="C",WORKDAY(Main[[#This Row],[Tech Start Date]],28),IF(Main[[#This Row],[Class]]="B", WORKDAY(Main[[#This Row],[Tech Start Date]],19),IF(Main[[#This Row],[Class]]="A",WORKDAY(Main[[#This Row],[Tech Start Date]],9),""))))</f>
        <v/>
      </c>
      <c r="Q405" s="74"/>
      <c r="R405" s="74"/>
      <c r="S405" s="72" t="s">
        <v>17</v>
      </c>
      <c r="T405" s="80" t="s">
        <v>4</v>
      </c>
      <c r="U405" s="72" t="s">
        <v>14</v>
      </c>
      <c r="V405" s="72" t="s">
        <v>1937</v>
      </c>
      <c r="W405" s="72" t="s">
        <v>1939</v>
      </c>
      <c r="X405" s="72" t="s">
        <v>922</v>
      </c>
      <c r="Y405" s="72" t="s">
        <v>3175</v>
      </c>
      <c r="Z405" s="72" t="s">
        <v>4</v>
      </c>
    </row>
    <row r="406" spans="1:26" ht="18.600000000000001" customHeight="1">
      <c r="A406" s="142" t="str">
        <f>IF(priority(Main[[#This Row],[Comments]])&lt;&gt;0, priority(Main[[#This Row],[Comments]]),"")</f>
        <v/>
      </c>
      <c r="B406" s="90" t="s">
        <v>1277</v>
      </c>
      <c r="C406" s="72" t="s">
        <v>4</v>
      </c>
      <c r="D406" s="73" t="s">
        <v>334</v>
      </c>
      <c r="E406" s="74">
        <v>40519.3518287037</v>
      </c>
      <c r="F406" s="74"/>
      <c r="G406" s="75" t="str">
        <f>IF(stdProdLT(Main[[#This Row],[Comments]])=0.1,"N/A",IF(stdProdLT(Main[[#This Row],[Comments]])=0,"",stdProdLT(Main[[#This Row],[Comments]])))</f>
        <v/>
      </c>
      <c r="H406" s="76" t="str">
        <f>IF(AND(Main[[#This Row],[In Stock Date]]&lt;&gt;"",Main[[#This Row],[Revised Due Date]]&lt;&gt;""),Main[[#This Row],[In Stock Date]]-Main[[#This Row],[Revised Due Date]],"")</f>
        <v/>
      </c>
      <c r="I406" s="72" t="s">
        <v>4</v>
      </c>
      <c r="J406" s="72" t="s">
        <v>4</v>
      </c>
      <c r="K406" s="72" t="s">
        <v>4</v>
      </c>
      <c r="L406" s="74"/>
      <c r="M406" s="77" t="str">
        <f>IF(Main[[#This Row],[Tech Start Date]]&lt;1/1/1990,"",IF(Main[[#This Row],[Class]]="C",WORKDAY(Main[[#This Row],[Tech Start Date]],9),IF(Main[[#This Row],[Class]]="B", WORKDAY(Main[[#This Row],[Tech Start Date]],6),IF(Main[[#This Row],[Class]]="A",WORKDAY(Main[[#This Row],[Tech Start Date]],2),""))))</f>
        <v/>
      </c>
      <c r="N406" s="77" t="str">
        <f>IF(Main[[#This Row],[Tech Start Date]]&lt;1/1/1990,"",IF(Main[[#This Row],[Class]]="C",WORKDAY(Main[[#This Row],[Tech Start Date]],19),IF(Main[[#This Row],[Class]]="B", WORKDAY(Main[[#This Row],[Tech Start Date]],12),IF(Main[[#This Row],[Class]]="A",WORKDAY(Main[[#This Row],[Tech Start Date]],4),""))))</f>
        <v/>
      </c>
      <c r="O406" s="77" t="str">
        <f>IF(Main[[#This Row],[Tech Start Date]]&lt;1/1/1990,"",IF(Main[[#This Row],[Class]]="C",WORKDAY(Main[[#This Row],[Tech Start Date]],23),IF(Main[[#This Row],[Class]]="B", WORKDAY(Main[[#This Row],[Tech Start Date]],15),IF(Main[[#This Row],[Class]]="A",WORKDAY(Main[[#This Row],[Tech Start Date]],5),""))))</f>
        <v/>
      </c>
      <c r="P406" s="77" t="str">
        <f>IF(Main[[#This Row],[Tech Start Date]]&lt;1/1/1990,"",IF(Main[[#This Row],[Class]]="C",WORKDAY(Main[[#This Row],[Tech Start Date]],28),IF(Main[[#This Row],[Class]]="B", WORKDAY(Main[[#This Row],[Tech Start Date]],19),IF(Main[[#This Row],[Class]]="A",WORKDAY(Main[[#This Row],[Tech Start Date]],9),""))))</f>
        <v/>
      </c>
      <c r="Q406" s="74">
        <v>40536</v>
      </c>
      <c r="R406" s="74"/>
      <c r="S406" s="72" t="s">
        <v>4</v>
      </c>
      <c r="T406" s="80" t="s">
        <v>4</v>
      </c>
      <c r="U406" s="72" t="s">
        <v>7</v>
      </c>
      <c r="V406" s="72" t="s">
        <v>1937</v>
      </c>
      <c r="W406" s="72" t="s">
        <v>4</v>
      </c>
      <c r="X406" s="72" t="s">
        <v>2970</v>
      </c>
      <c r="Y406" s="72" t="s">
        <v>3087</v>
      </c>
      <c r="Z406" s="72" t="s">
        <v>4</v>
      </c>
    </row>
    <row r="407" spans="1:26" ht="18.600000000000001" customHeight="1">
      <c r="A407" s="142" t="str">
        <f>IF(priority(Main[[#This Row],[Comments]])&lt;&gt;0, priority(Main[[#This Row],[Comments]]),"")</f>
        <v/>
      </c>
      <c r="B407" s="90" t="s">
        <v>1278</v>
      </c>
      <c r="C407" s="72" t="s">
        <v>72</v>
      </c>
      <c r="D407" s="73" t="s">
        <v>335</v>
      </c>
      <c r="E407" s="74"/>
      <c r="F407" s="74">
        <v>40313</v>
      </c>
      <c r="G407" s="75" t="str">
        <f>IF(stdProdLT(Main[[#This Row],[Comments]])=0.1,"N/A",IF(stdProdLT(Main[[#This Row],[Comments]])=0,"",stdProdLT(Main[[#This Row],[Comments]])))</f>
        <v/>
      </c>
      <c r="H407" s="76" t="str">
        <f>IF(AND(Main[[#This Row],[In Stock Date]]&lt;&gt;"",Main[[#This Row],[Revised Due Date]]&lt;&gt;""),Main[[#This Row],[In Stock Date]]-Main[[#This Row],[Revised Due Date]],"")</f>
        <v/>
      </c>
      <c r="I407" s="72" t="s">
        <v>4</v>
      </c>
      <c r="J407" s="72" t="s">
        <v>4</v>
      </c>
      <c r="K407" s="72" t="s">
        <v>4</v>
      </c>
      <c r="L407" s="74"/>
      <c r="M407" s="77" t="str">
        <f>IF(Main[[#This Row],[Tech Start Date]]&lt;1/1/1990,"",IF(Main[[#This Row],[Class]]="C",WORKDAY(Main[[#This Row],[Tech Start Date]],9),IF(Main[[#This Row],[Class]]="B", WORKDAY(Main[[#This Row],[Tech Start Date]],6),IF(Main[[#This Row],[Class]]="A",WORKDAY(Main[[#This Row],[Tech Start Date]],2),""))))</f>
        <v/>
      </c>
      <c r="N407" s="77" t="str">
        <f>IF(Main[[#This Row],[Tech Start Date]]&lt;1/1/1990,"",IF(Main[[#This Row],[Class]]="C",WORKDAY(Main[[#This Row],[Tech Start Date]],19),IF(Main[[#This Row],[Class]]="B", WORKDAY(Main[[#This Row],[Tech Start Date]],12),IF(Main[[#This Row],[Class]]="A",WORKDAY(Main[[#This Row],[Tech Start Date]],4),""))))</f>
        <v/>
      </c>
      <c r="O407" s="77" t="str">
        <f>IF(Main[[#This Row],[Tech Start Date]]&lt;1/1/1990,"",IF(Main[[#This Row],[Class]]="C",WORKDAY(Main[[#This Row],[Tech Start Date]],23),IF(Main[[#This Row],[Class]]="B", WORKDAY(Main[[#This Row],[Tech Start Date]],15),IF(Main[[#This Row],[Class]]="A",WORKDAY(Main[[#This Row],[Tech Start Date]],5),""))))</f>
        <v/>
      </c>
      <c r="P407" s="77" t="str">
        <f>IF(Main[[#This Row],[Tech Start Date]]&lt;1/1/1990,"",IF(Main[[#This Row],[Class]]="C",WORKDAY(Main[[#This Row],[Tech Start Date]],28),IF(Main[[#This Row],[Class]]="B", WORKDAY(Main[[#This Row],[Tech Start Date]],19),IF(Main[[#This Row],[Class]]="A",WORKDAY(Main[[#This Row],[Tech Start Date]],9),""))))</f>
        <v/>
      </c>
      <c r="Q407" s="74">
        <v>40233</v>
      </c>
      <c r="R407" s="74"/>
      <c r="S407" s="72" t="s">
        <v>11</v>
      </c>
      <c r="T407" s="80" t="s">
        <v>4</v>
      </c>
      <c r="U407" s="72" t="s">
        <v>14</v>
      </c>
      <c r="V407" s="72" t="s">
        <v>1940</v>
      </c>
      <c r="W407" s="72" t="s">
        <v>1945</v>
      </c>
      <c r="X407" s="72" t="s">
        <v>2976</v>
      </c>
      <c r="Y407" s="72" t="s">
        <v>3101</v>
      </c>
      <c r="Z407" s="72" t="s">
        <v>4</v>
      </c>
    </row>
    <row r="408" spans="1:26" ht="18.600000000000001" customHeight="1">
      <c r="A408" s="142" t="str">
        <f>IF(priority(Main[[#This Row],[Comments]])&lt;&gt;0, priority(Main[[#This Row],[Comments]]),"")</f>
        <v/>
      </c>
      <c r="B408" s="90" t="s">
        <v>1279</v>
      </c>
      <c r="C408" s="72" t="s">
        <v>4</v>
      </c>
      <c r="D408" s="73" t="s">
        <v>336</v>
      </c>
      <c r="E408" s="74"/>
      <c r="F408" s="74"/>
      <c r="G408" s="75" t="str">
        <f>IF(stdProdLT(Main[[#This Row],[Comments]])=0.1,"N/A",IF(stdProdLT(Main[[#This Row],[Comments]])=0,"",stdProdLT(Main[[#This Row],[Comments]])))</f>
        <v/>
      </c>
      <c r="H408" s="76" t="str">
        <f>IF(AND(Main[[#This Row],[In Stock Date]]&lt;&gt;"",Main[[#This Row],[Revised Due Date]]&lt;&gt;""),Main[[#This Row],[In Stock Date]]-Main[[#This Row],[Revised Due Date]],"")</f>
        <v/>
      </c>
      <c r="I408" s="72" t="s">
        <v>4</v>
      </c>
      <c r="J408" s="72" t="s">
        <v>4</v>
      </c>
      <c r="K408" s="72" t="s">
        <v>4</v>
      </c>
      <c r="L408" s="74"/>
      <c r="M408" s="77" t="str">
        <f>IF(Main[[#This Row],[Tech Start Date]]&lt;1/1/1990,"",IF(Main[[#This Row],[Class]]="C",WORKDAY(Main[[#This Row],[Tech Start Date]],9),IF(Main[[#This Row],[Class]]="B", WORKDAY(Main[[#This Row],[Tech Start Date]],6),IF(Main[[#This Row],[Class]]="A",WORKDAY(Main[[#This Row],[Tech Start Date]],2),""))))</f>
        <v/>
      </c>
      <c r="N408" s="77" t="str">
        <f>IF(Main[[#This Row],[Tech Start Date]]&lt;1/1/1990,"",IF(Main[[#This Row],[Class]]="C",WORKDAY(Main[[#This Row],[Tech Start Date]],19),IF(Main[[#This Row],[Class]]="B", WORKDAY(Main[[#This Row],[Tech Start Date]],12),IF(Main[[#This Row],[Class]]="A",WORKDAY(Main[[#This Row],[Tech Start Date]],4),""))))</f>
        <v/>
      </c>
      <c r="O408" s="77" t="str">
        <f>IF(Main[[#This Row],[Tech Start Date]]&lt;1/1/1990,"",IF(Main[[#This Row],[Class]]="C",WORKDAY(Main[[#This Row],[Tech Start Date]],23),IF(Main[[#This Row],[Class]]="B", WORKDAY(Main[[#This Row],[Tech Start Date]],15),IF(Main[[#This Row],[Class]]="A",WORKDAY(Main[[#This Row],[Tech Start Date]],5),""))))</f>
        <v/>
      </c>
      <c r="P408" s="77" t="str">
        <f>IF(Main[[#This Row],[Tech Start Date]]&lt;1/1/1990,"",IF(Main[[#This Row],[Class]]="C",WORKDAY(Main[[#This Row],[Tech Start Date]],28),IF(Main[[#This Row],[Class]]="B", WORKDAY(Main[[#This Row],[Tech Start Date]],19),IF(Main[[#This Row],[Class]]="A",WORKDAY(Main[[#This Row],[Tech Start Date]],9),""))))</f>
        <v/>
      </c>
      <c r="Q408" s="74"/>
      <c r="R408" s="74"/>
      <c r="S408" s="72" t="s">
        <v>11</v>
      </c>
      <c r="T408" s="80" t="s">
        <v>4</v>
      </c>
      <c r="U408" s="72" t="s">
        <v>12</v>
      </c>
      <c r="V408" s="72" t="s">
        <v>1937</v>
      </c>
      <c r="W408" s="72" t="s">
        <v>1951</v>
      </c>
      <c r="X408" s="72" t="s">
        <v>937</v>
      </c>
      <c r="Y408" s="72" t="s">
        <v>3140</v>
      </c>
      <c r="Z408" s="72" t="s">
        <v>4</v>
      </c>
    </row>
    <row r="409" spans="1:26" ht="18.600000000000001" customHeight="1">
      <c r="A409" s="142" t="str">
        <f>IF(priority(Main[[#This Row],[Comments]])&lt;&gt;0, priority(Main[[#This Row],[Comments]]),"")</f>
        <v/>
      </c>
      <c r="B409" s="90" t="s">
        <v>2795</v>
      </c>
      <c r="C409" s="72" t="s">
        <v>4</v>
      </c>
      <c r="D409" s="73" t="s">
        <v>2796</v>
      </c>
      <c r="E409" s="74">
        <v>40885.332013888888</v>
      </c>
      <c r="F409" s="74"/>
      <c r="G409" s="75" t="str">
        <f>IF(stdProdLT(Main[[#This Row],[Comments]])=0.1,"N/A",IF(stdProdLT(Main[[#This Row],[Comments]])=0,"",stdProdLT(Main[[#This Row],[Comments]])))</f>
        <v/>
      </c>
      <c r="H409" s="76" t="str">
        <f>IF(AND(Main[[#This Row],[In Stock Date]]&lt;&gt;"",Main[[#This Row],[Revised Due Date]]&lt;&gt;""),Main[[#This Row],[In Stock Date]]-Main[[#This Row],[Revised Due Date]],"")</f>
        <v/>
      </c>
      <c r="I409" s="72" t="s">
        <v>69</v>
      </c>
      <c r="J409" s="72" t="s">
        <v>70</v>
      </c>
      <c r="K409" s="72" t="s">
        <v>1946</v>
      </c>
      <c r="L409" s="74"/>
      <c r="M409" s="77" t="str">
        <f>IF(Main[[#This Row],[Tech Start Date]]&lt;1/1/1990,"",IF(Main[[#This Row],[Class]]="C",WORKDAY(Main[[#This Row],[Tech Start Date]],9),IF(Main[[#This Row],[Class]]="B", WORKDAY(Main[[#This Row],[Tech Start Date]],6),IF(Main[[#This Row],[Class]]="A",WORKDAY(Main[[#This Row],[Tech Start Date]],2),""))))</f>
        <v/>
      </c>
      <c r="N409" s="77" t="str">
        <f>IF(Main[[#This Row],[Tech Start Date]]&lt;1/1/1990,"",IF(Main[[#This Row],[Class]]="C",WORKDAY(Main[[#This Row],[Tech Start Date]],19),IF(Main[[#This Row],[Class]]="B", WORKDAY(Main[[#This Row],[Tech Start Date]],12),IF(Main[[#This Row],[Class]]="A",WORKDAY(Main[[#This Row],[Tech Start Date]],4),""))))</f>
        <v/>
      </c>
      <c r="O409" s="77" t="str">
        <f>IF(Main[[#This Row],[Tech Start Date]]&lt;1/1/1990,"",IF(Main[[#This Row],[Class]]="C",WORKDAY(Main[[#This Row],[Tech Start Date]],23),IF(Main[[#This Row],[Class]]="B", WORKDAY(Main[[#This Row],[Tech Start Date]],15),IF(Main[[#This Row],[Class]]="A",WORKDAY(Main[[#This Row],[Tech Start Date]],5),""))))</f>
        <v/>
      </c>
      <c r="P409" s="77" t="str">
        <f>IF(Main[[#This Row],[Tech Start Date]]&lt;1/1/1990,"",IF(Main[[#This Row],[Class]]="C",WORKDAY(Main[[#This Row],[Tech Start Date]],28),IF(Main[[#This Row],[Class]]="B", WORKDAY(Main[[#This Row],[Tech Start Date]],19),IF(Main[[#This Row],[Class]]="A",WORKDAY(Main[[#This Row],[Tech Start Date]],9),""))))</f>
        <v/>
      </c>
      <c r="Q409" s="74">
        <v>40916</v>
      </c>
      <c r="R409" s="74"/>
      <c r="S409" s="72" t="s">
        <v>6</v>
      </c>
      <c r="T409" s="80" t="s">
        <v>4</v>
      </c>
      <c r="U409" s="72" t="s">
        <v>29</v>
      </c>
      <c r="V409" s="72" t="s">
        <v>1940</v>
      </c>
      <c r="W409" s="72" t="s">
        <v>1941</v>
      </c>
      <c r="X409" s="72" t="s">
        <v>2974</v>
      </c>
      <c r="Y409" s="72" t="s">
        <v>3096</v>
      </c>
      <c r="Z409" s="72" t="s">
        <v>30</v>
      </c>
    </row>
    <row r="410" spans="1:26" ht="18.600000000000001" customHeight="1">
      <c r="A410" s="142" t="str">
        <f>IF(priority(Main[[#This Row],[Comments]])&lt;&gt;0, priority(Main[[#This Row],[Comments]]),"")</f>
        <v/>
      </c>
      <c r="B410" s="90" t="s">
        <v>1280</v>
      </c>
      <c r="C410" s="72" t="s">
        <v>4</v>
      </c>
      <c r="D410" s="73" t="s">
        <v>337</v>
      </c>
      <c r="E410" s="74">
        <v>40322.153738425928</v>
      </c>
      <c r="F410" s="74"/>
      <c r="G410" s="75" t="str">
        <f>IF(stdProdLT(Main[[#This Row],[Comments]])=0.1,"N/A",IF(stdProdLT(Main[[#This Row],[Comments]])=0,"",stdProdLT(Main[[#This Row],[Comments]])))</f>
        <v/>
      </c>
      <c r="H410" s="76" t="str">
        <f>IF(AND(Main[[#This Row],[In Stock Date]]&lt;&gt;"",Main[[#This Row],[Revised Due Date]]&lt;&gt;""),Main[[#This Row],[In Stock Date]]-Main[[#This Row],[Revised Due Date]],"")</f>
        <v/>
      </c>
      <c r="I410" s="72" t="s">
        <v>129</v>
      </c>
      <c r="J410" s="72" t="s">
        <v>4</v>
      </c>
      <c r="K410" s="72" t="s">
        <v>4</v>
      </c>
      <c r="L410" s="74"/>
      <c r="M410" s="77" t="str">
        <f>IF(Main[[#This Row],[Tech Start Date]]&lt;1/1/1990,"",IF(Main[[#This Row],[Class]]="C",WORKDAY(Main[[#This Row],[Tech Start Date]],9),IF(Main[[#This Row],[Class]]="B", WORKDAY(Main[[#This Row],[Tech Start Date]],6),IF(Main[[#This Row],[Class]]="A",WORKDAY(Main[[#This Row],[Tech Start Date]],2),""))))</f>
        <v/>
      </c>
      <c r="N410" s="77" t="str">
        <f>IF(Main[[#This Row],[Tech Start Date]]&lt;1/1/1990,"",IF(Main[[#This Row],[Class]]="C",WORKDAY(Main[[#This Row],[Tech Start Date]],19),IF(Main[[#This Row],[Class]]="B", WORKDAY(Main[[#This Row],[Tech Start Date]],12),IF(Main[[#This Row],[Class]]="A",WORKDAY(Main[[#This Row],[Tech Start Date]],4),""))))</f>
        <v/>
      </c>
      <c r="O410" s="77" t="str">
        <f>IF(Main[[#This Row],[Tech Start Date]]&lt;1/1/1990,"",IF(Main[[#This Row],[Class]]="C",WORKDAY(Main[[#This Row],[Tech Start Date]],23),IF(Main[[#This Row],[Class]]="B", WORKDAY(Main[[#This Row],[Tech Start Date]],15),IF(Main[[#This Row],[Class]]="A",WORKDAY(Main[[#This Row],[Tech Start Date]],5),""))))</f>
        <v/>
      </c>
      <c r="P410" s="77" t="str">
        <f>IF(Main[[#This Row],[Tech Start Date]]&lt;1/1/1990,"",IF(Main[[#This Row],[Class]]="C",WORKDAY(Main[[#This Row],[Tech Start Date]],28),IF(Main[[#This Row],[Class]]="B", WORKDAY(Main[[#This Row],[Tech Start Date]],19),IF(Main[[#This Row],[Class]]="A",WORKDAY(Main[[#This Row],[Tech Start Date]],9),""))))</f>
        <v/>
      </c>
      <c r="Q410" s="74">
        <v>40353</v>
      </c>
      <c r="R410" s="74"/>
      <c r="S410" s="72" t="s">
        <v>6</v>
      </c>
      <c r="T410" s="80" t="s">
        <v>4</v>
      </c>
      <c r="U410" s="72" t="s">
        <v>7</v>
      </c>
      <c r="V410" s="72" t="s">
        <v>1937</v>
      </c>
      <c r="W410" s="72" t="s">
        <v>1939</v>
      </c>
      <c r="X410" s="72" t="s">
        <v>2974</v>
      </c>
      <c r="Y410" s="72" t="s">
        <v>3096</v>
      </c>
      <c r="Z410" s="72" t="s">
        <v>4</v>
      </c>
    </row>
    <row r="411" spans="1:26" ht="18.600000000000001" customHeight="1">
      <c r="A411" s="142" t="str">
        <f>IF(priority(Main[[#This Row],[Comments]])&lt;&gt;0, priority(Main[[#This Row],[Comments]]),"")</f>
        <v/>
      </c>
      <c r="B411" s="90" t="s">
        <v>1281</v>
      </c>
      <c r="C411" s="72" t="s">
        <v>171</v>
      </c>
      <c r="D411" s="73" t="s">
        <v>338</v>
      </c>
      <c r="E411" s="74"/>
      <c r="F411" s="74">
        <v>40237</v>
      </c>
      <c r="G411" s="75" t="str">
        <f>IF(stdProdLT(Main[[#This Row],[Comments]])=0.1,"N/A",IF(stdProdLT(Main[[#This Row],[Comments]])=0,"",stdProdLT(Main[[#This Row],[Comments]])))</f>
        <v/>
      </c>
      <c r="H411" s="76" t="str">
        <f>IF(AND(Main[[#This Row],[In Stock Date]]&lt;&gt;"",Main[[#This Row],[Revised Due Date]]&lt;&gt;""),Main[[#This Row],[In Stock Date]]-Main[[#This Row],[Revised Due Date]],"")</f>
        <v/>
      </c>
      <c r="I411" s="72" t="s">
        <v>4</v>
      </c>
      <c r="J411" s="72" t="s">
        <v>4</v>
      </c>
      <c r="K411" s="72" t="s">
        <v>4</v>
      </c>
      <c r="L411" s="74"/>
      <c r="M411" s="77" t="str">
        <f>IF(Main[[#This Row],[Tech Start Date]]&lt;1/1/1990,"",IF(Main[[#This Row],[Class]]="C",WORKDAY(Main[[#This Row],[Tech Start Date]],9),IF(Main[[#This Row],[Class]]="B", WORKDAY(Main[[#This Row],[Tech Start Date]],6),IF(Main[[#This Row],[Class]]="A",WORKDAY(Main[[#This Row],[Tech Start Date]],2),""))))</f>
        <v/>
      </c>
      <c r="N411" s="77" t="str">
        <f>IF(Main[[#This Row],[Tech Start Date]]&lt;1/1/1990,"",IF(Main[[#This Row],[Class]]="C",WORKDAY(Main[[#This Row],[Tech Start Date]],19),IF(Main[[#This Row],[Class]]="B", WORKDAY(Main[[#This Row],[Tech Start Date]],12),IF(Main[[#This Row],[Class]]="A",WORKDAY(Main[[#This Row],[Tech Start Date]],4),""))))</f>
        <v/>
      </c>
      <c r="O411" s="77" t="str">
        <f>IF(Main[[#This Row],[Tech Start Date]]&lt;1/1/1990,"",IF(Main[[#This Row],[Class]]="C",WORKDAY(Main[[#This Row],[Tech Start Date]],23),IF(Main[[#This Row],[Class]]="B", WORKDAY(Main[[#This Row],[Tech Start Date]],15),IF(Main[[#This Row],[Class]]="A",WORKDAY(Main[[#This Row],[Tech Start Date]],5),""))))</f>
        <v/>
      </c>
      <c r="P411" s="77" t="str">
        <f>IF(Main[[#This Row],[Tech Start Date]]&lt;1/1/1990,"",IF(Main[[#This Row],[Class]]="C",WORKDAY(Main[[#This Row],[Tech Start Date]],28),IF(Main[[#This Row],[Class]]="B", WORKDAY(Main[[#This Row],[Tech Start Date]],19),IF(Main[[#This Row],[Class]]="A",WORKDAY(Main[[#This Row],[Tech Start Date]],9),""))))</f>
        <v/>
      </c>
      <c r="Q411" s="74">
        <v>40132</v>
      </c>
      <c r="R411" s="74"/>
      <c r="S411" s="72" t="s">
        <v>11</v>
      </c>
      <c r="T411" s="80" t="s">
        <v>4</v>
      </c>
      <c r="U411" s="72" t="s">
        <v>14</v>
      </c>
      <c r="V411" s="72" t="s">
        <v>1937</v>
      </c>
      <c r="W411" s="72" t="s">
        <v>1942</v>
      </c>
      <c r="X411" s="72" t="s">
        <v>3010</v>
      </c>
      <c r="Y411" s="72" t="s">
        <v>4</v>
      </c>
      <c r="Z411" s="72" t="s">
        <v>4</v>
      </c>
    </row>
    <row r="412" spans="1:26" ht="18.600000000000001" customHeight="1">
      <c r="A412" s="142" t="str">
        <f>IF(priority(Main[[#This Row],[Comments]])&lt;&gt;0, priority(Main[[#This Row],[Comments]]),"")</f>
        <v/>
      </c>
      <c r="B412" s="90" t="s">
        <v>1282</v>
      </c>
      <c r="C412" s="72" t="s">
        <v>4</v>
      </c>
      <c r="D412" s="73" t="s">
        <v>346</v>
      </c>
      <c r="E412" s="74"/>
      <c r="F412" s="74"/>
      <c r="G412" s="75" t="str">
        <f>IF(stdProdLT(Main[[#This Row],[Comments]])=0.1,"N/A",IF(stdProdLT(Main[[#This Row],[Comments]])=0,"",stdProdLT(Main[[#This Row],[Comments]])))</f>
        <v/>
      </c>
      <c r="H412" s="76" t="str">
        <f>IF(AND(Main[[#This Row],[In Stock Date]]&lt;&gt;"",Main[[#This Row],[Revised Due Date]]&lt;&gt;""),Main[[#This Row],[In Stock Date]]-Main[[#This Row],[Revised Due Date]],"")</f>
        <v/>
      </c>
      <c r="I412" s="72" t="s">
        <v>4</v>
      </c>
      <c r="J412" s="72" t="s">
        <v>4</v>
      </c>
      <c r="K412" s="72" t="s">
        <v>4</v>
      </c>
      <c r="L412" s="74"/>
      <c r="M412" s="77" t="str">
        <f>IF(Main[[#This Row],[Tech Start Date]]&lt;1/1/1990,"",IF(Main[[#This Row],[Class]]="C",WORKDAY(Main[[#This Row],[Tech Start Date]],9),IF(Main[[#This Row],[Class]]="B", WORKDAY(Main[[#This Row],[Tech Start Date]],6),IF(Main[[#This Row],[Class]]="A",WORKDAY(Main[[#This Row],[Tech Start Date]],2),""))))</f>
        <v/>
      </c>
      <c r="N412" s="77" t="str">
        <f>IF(Main[[#This Row],[Tech Start Date]]&lt;1/1/1990,"",IF(Main[[#This Row],[Class]]="C",WORKDAY(Main[[#This Row],[Tech Start Date]],19),IF(Main[[#This Row],[Class]]="B", WORKDAY(Main[[#This Row],[Tech Start Date]],12),IF(Main[[#This Row],[Class]]="A",WORKDAY(Main[[#This Row],[Tech Start Date]],4),""))))</f>
        <v/>
      </c>
      <c r="O412" s="77" t="str">
        <f>IF(Main[[#This Row],[Tech Start Date]]&lt;1/1/1990,"",IF(Main[[#This Row],[Class]]="C",WORKDAY(Main[[#This Row],[Tech Start Date]],23),IF(Main[[#This Row],[Class]]="B", WORKDAY(Main[[#This Row],[Tech Start Date]],15),IF(Main[[#This Row],[Class]]="A",WORKDAY(Main[[#This Row],[Tech Start Date]],5),""))))</f>
        <v/>
      </c>
      <c r="P412" s="77" t="str">
        <f>IF(Main[[#This Row],[Tech Start Date]]&lt;1/1/1990,"",IF(Main[[#This Row],[Class]]="C",WORKDAY(Main[[#This Row],[Tech Start Date]],28),IF(Main[[#This Row],[Class]]="B", WORKDAY(Main[[#This Row],[Tech Start Date]],19),IF(Main[[#This Row],[Class]]="A",WORKDAY(Main[[#This Row],[Tech Start Date]],9),""))))</f>
        <v/>
      </c>
      <c r="Q412" s="74"/>
      <c r="R412" s="74"/>
      <c r="S412" s="72" t="s">
        <v>11</v>
      </c>
      <c r="T412" s="80" t="s">
        <v>4</v>
      </c>
      <c r="U412" s="72" t="s">
        <v>14</v>
      </c>
      <c r="V412" s="72" t="s">
        <v>1938</v>
      </c>
      <c r="W412" s="72" t="s">
        <v>1945</v>
      </c>
      <c r="X412" s="72" t="s">
        <v>3014</v>
      </c>
      <c r="Y412" s="72" t="s">
        <v>3164</v>
      </c>
      <c r="Z412" s="72" t="s">
        <v>4</v>
      </c>
    </row>
    <row r="413" spans="1:26" ht="18.600000000000001" customHeight="1">
      <c r="A413" s="142" t="str">
        <f>IF(priority(Main[[#This Row],[Comments]])&lt;&gt;0, priority(Main[[#This Row],[Comments]]),"")</f>
        <v/>
      </c>
      <c r="B413" s="90" t="s">
        <v>1221</v>
      </c>
      <c r="C413" s="72" t="s">
        <v>4</v>
      </c>
      <c r="D413" s="73" t="s">
        <v>266</v>
      </c>
      <c r="E413" s="74"/>
      <c r="F413" s="74"/>
      <c r="G413" s="75" t="str">
        <f>IF(stdProdLT(Main[[#This Row],[Comments]])=0.1,"N/A",IF(stdProdLT(Main[[#This Row],[Comments]])=0,"",stdProdLT(Main[[#This Row],[Comments]])))</f>
        <v/>
      </c>
      <c r="H413" s="76" t="str">
        <f>IF(AND(Main[[#This Row],[In Stock Date]]&lt;&gt;"",Main[[#This Row],[Revised Due Date]]&lt;&gt;""),Main[[#This Row],[In Stock Date]]-Main[[#This Row],[Revised Due Date]],"")</f>
        <v/>
      </c>
      <c r="I413" s="72" t="s">
        <v>4</v>
      </c>
      <c r="J413" s="72" t="s">
        <v>4</v>
      </c>
      <c r="K413" s="72" t="s">
        <v>4</v>
      </c>
      <c r="L413" s="74"/>
      <c r="M413" s="77" t="str">
        <f>IF(Main[[#This Row],[Tech Start Date]]&lt;1/1/1990,"",IF(Main[[#This Row],[Class]]="C",WORKDAY(Main[[#This Row],[Tech Start Date]],9),IF(Main[[#This Row],[Class]]="B", WORKDAY(Main[[#This Row],[Tech Start Date]],6),IF(Main[[#This Row],[Class]]="A",WORKDAY(Main[[#This Row],[Tech Start Date]],2),""))))</f>
        <v/>
      </c>
      <c r="N413" s="77" t="str">
        <f>IF(Main[[#This Row],[Tech Start Date]]&lt;1/1/1990,"",IF(Main[[#This Row],[Class]]="C",WORKDAY(Main[[#This Row],[Tech Start Date]],19),IF(Main[[#This Row],[Class]]="B", WORKDAY(Main[[#This Row],[Tech Start Date]],12),IF(Main[[#This Row],[Class]]="A",WORKDAY(Main[[#This Row],[Tech Start Date]],4),""))))</f>
        <v/>
      </c>
      <c r="O413" s="77" t="str">
        <f>IF(Main[[#This Row],[Tech Start Date]]&lt;1/1/1990,"",IF(Main[[#This Row],[Class]]="C",WORKDAY(Main[[#This Row],[Tech Start Date]],23),IF(Main[[#This Row],[Class]]="B", WORKDAY(Main[[#This Row],[Tech Start Date]],15),IF(Main[[#This Row],[Class]]="A",WORKDAY(Main[[#This Row],[Tech Start Date]],5),""))))</f>
        <v/>
      </c>
      <c r="P413" s="77" t="str">
        <f>IF(Main[[#This Row],[Tech Start Date]]&lt;1/1/1990,"",IF(Main[[#This Row],[Class]]="C",WORKDAY(Main[[#This Row],[Tech Start Date]],28),IF(Main[[#This Row],[Class]]="B", WORKDAY(Main[[#This Row],[Tech Start Date]],19),IF(Main[[#This Row],[Class]]="A",WORKDAY(Main[[#This Row],[Tech Start Date]],9),""))))</f>
        <v/>
      </c>
      <c r="Q413" s="74">
        <v>40313</v>
      </c>
      <c r="R413" s="74"/>
      <c r="S413" s="72" t="s">
        <v>11</v>
      </c>
      <c r="T413" s="80" t="s">
        <v>4</v>
      </c>
      <c r="U413" s="72" t="s">
        <v>14</v>
      </c>
      <c r="V413" s="72" t="s">
        <v>1937</v>
      </c>
      <c r="W413" s="72" t="s">
        <v>1945</v>
      </c>
      <c r="X413" s="72" t="s">
        <v>129</v>
      </c>
      <c r="Y413" s="72" t="s">
        <v>3091</v>
      </c>
      <c r="Z413" s="72" t="s">
        <v>4</v>
      </c>
    </row>
    <row r="414" spans="1:26" ht="18.600000000000001" customHeight="1">
      <c r="A414" s="142" t="str">
        <f>IF(priority(Main[[#This Row],[Comments]])&lt;&gt;0, priority(Main[[#This Row],[Comments]]),"")</f>
        <v/>
      </c>
      <c r="B414" s="90" t="s">
        <v>1222</v>
      </c>
      <c r="C414" s="72" t="s">
        <v>4</v>
      </c>
      <c r="D414" s="73" t="s">
        <v>267</v>
      </c>
      <c r="E414" s="74"/>
      <c r="F414" s="74"/>
      <c r="G414" s="75" t="str">
        <f>IF(stdProdLT(Main[[#This Row],[Comments]])=0.1,"N/A",IF(stdProdLT(Main[[#This Row],[Comments]])=0,"",stdProdLT(Main[[#This Row],[Comments]])))</f>
        <v/>
      </c>
      <c r="H414" s="76" t="str">
        <f>IF(AND(Main[[#This Row],[In Stock Date]]&lt;&gt;"",Main[[#This Row],[Revised Due Date]]&lt;&gt;""),Main[[#This Row],[In Stock Date]]-Main[[#This Row],[Revised Due Date]],"")</f>
        <v/>
      </c>
      <c r="I414" s="72" t="s">
        <v>4</v>
      </c>
      <c r="J414" s="72" t="s">
        <v>4</v>
      </c>
      <c r="K414" s="72" t="s">
        <v>4</v>
      </c>
      <c r="L414" s="74"/>
      <c r="M414" s="77" t="str">
        <f>IF(Main[[#This Row],[Tech Start Date]]&lt;1/1/1990,"",IF(Main[[#This Row],[Class]]="C",WORKDAY(Main[[#This Row],[Tech Start Date]],9),IF(Main[[#This Row],[Class]]="B", WORKDAY(Main[[#This Row],[Tech Start Date]],6),IF(Main[[#This Row],[Class]]="A",WORKDAY(Main[[#This Row],[Tech Start Date]],2),""))))</f>
        <v/>
      </c>
      <c r="N414" s="77" t="str">
        <f>IF(Main[[#This Row],[Tech Start Date]]&lt;1/1/1990,"",IF(Main[[#This Row],[Class]]="C",WORKDAY(Main[[#This Row],[Tech Start Date]],19),IF(Main[[#This Row],[Class]]="B", WORKDAY(Main[[#This Row],[Tech Start Date]],12),IF(Main[[#This Row],[Class]]="A",WORKDAY(Main[[#This Row],[Tech Start Date]],4),""))))</f>
        <v/>
      </c>
      <c r="O414" s="77" t="str">
        <f>IF(Main[[#This Row],[Tech Start Date]]&lt;1/1/1990,"",IF(Main[[#This Row],[Class]]="C",WORKDAY(Main[[#This Row],[Tech Start Date]],23),IF(Main[[#This Row],[Class]]="B", WORKDAY(Main[[#This Row],[Tech Start Date]],15),IF(Main[[#This Row],[Class]]="A",WORKDAY(Main[[#This Row],[Tech Start Date]],5),""))))</f>
        <v/>
      </c>
      <c r="P414" s="77" t="str">
        <f>IF(Main[[#This Row],[Tech Start Date]]&lt;1/1/1990,"",IF(Main[[#This Row],[Class]]="C",WORKDAY(Main[[#This Row],[Tech Start Date]],28),IF(Main[[#This Row],[Class]]="B", WORKDAY(Main[[#This Row],[Tech Start Date]],19),IF(Main[[#This Row],[Class]]="A",WORKDAY(Main[[#This Row],[Tech Start Date]],9),""))))</f>
        <v/>
      </c>
      <c r="Q414" s="74"/>
      <c r="R414" s="74"/>
      <c r="S414" s="72" t="s">
        <v>11</v>
      </c>
      <c r="T414" s="80" t="s">
        <v>4</v>
      </c>
      <c r="U414" s="72" t="s">
        <v>12</v>
      </c>
      <c r="V414" s="72" t="s">
        <v>1938</v>
      </c>
      <c r="W414" s="72" t="s">
        <v>1941</v>
      </c>
      <c r="X414" s="72" t="s">
        <v>937</v>
      </c>
      <c r="Y414" s="72" t="s">
        <v>3140</v>
      </c>
      <c r="Z414" s="72" t="s">
        <v>4</v>
      </c>
    </row>
    <row r="415" spans="1:26" ht="18.600000000000001" customHeight="1">
      <c r="A415" s="142" t="str">
        <f>IF(priority(Main[[#This Row],[Comments]])&lt;&gt;0, priority(Main[[#This Row],[Comments]]),"")</f>
        <v/>
      </c>
      <c r="B415" s="90" t="s">
        <v>1998</v>
      </c>
      <c r="C415" s="72" t="s">
        <v>4</v>
      </c>
      <c r="D415" s="73" t="s">
        <v>1999</v>
      </c>
      <c r="E415" s="74">
        <v>40732.708599537036</v>
      </c>
      <c r="F415" s="74"/>
      <c r="G415" s="75" t="str">
        <f>IF(stdProdLT(Main[[#This Row],[Comments]])=0.1,"N/A",IF(stdProdLT(Main[[#This Row],[Comments]])=0,"",stdProdLT(Main[[#This Row],[Comments]])))</f>
        <v/>
      </c>
      <c r="H415" s="76" t="str">
        <f>IF(AND(Main[[#This Row],[In Stock Date]]&lt;&gt;"",Main[[#This Row],[Revised Due Date]]&lt;&gt;""),Main[[#This Row],[In Stock Date]]-Main[[#This Row],[Revised Due Date]],"")</f>
        <v/>
      </c>
      <c r="I415" s="72" t="s">
        <v>4</v>
      </c>
      <c r="J415" s="72" t="s">
        <v>4</v>
      </c>
      <c r="K415" s="72" t="s">
        <v>4</v>
      </c>
      <c r="L415" s="74"/>
      <c r="M415" s="77" t="str">
        <f>IF(Main[[#This Row],[Tech Start Date]]&lt;1/1/1990,"",IF(Main[[#This Row],[Class]]="C",WORKDAY(Main[[#This Row],[Tech Start Date]],9),IF(Main[[#This Row],[Class]]="B", WORKDAY(Main[[#This Row],[Tech Start Date]],6),IF(Main[[#This Row],[Class]]="A",WORKDAY(Main[[#This Row],[Tech Start Date]],2),""))))</f>
        <v/>
      </c>
      <c r="N415" s="77" t="str">
        <f>IF(Main[[#This Row],[Tech Start Date]]&lt;1/1/1990,"",IF(Main[[#This Row],[Class]]="C",WORKDAY(Main[[#This Row],[Tech Start Date]],19),IF(Main[[#This Row],[Class]]="B", WORKDAY(Main[[#This Row],[Tech Start Date]],12),IF(Main[[#This Row],[Class]]="A",WORKDAY(Main[[#This Row],[Tech Start Date]],4),""))))</f>
        <v/>
      </c>
      <c r="O415" s="77" t="str">
        <f>IF(Main[[#This Row],[Tech Start Date]]&lt;1/1/1990,"",IF(Main[[#This Row],[Class]]="C",WORKDAY(Main[[#This Row],[Tech Start Date]],23),IF(Main[[#This Row],[Class]]="B", WORKDAY(Main[[#This Row],[Tech Start Date]],15),IF(Main[[#This Row],[Class]]="A",WORKDAY(Main[[#This Row],[Tech Start Date]],5),""))))</f>
        <v/>
      </c>
      <c r="P415" s="77" t="str">
        <f>IF(Main[[#This Row],[Tech Start Date]]&lt;1/1/1990,"",IF(Main[[#This Row],[Class]]="C",WORKDAY(Main[[#This Row],[Tech Start Date]],28),IF(Main[[#This Row],[Class]]="B", WORKDAY(Main[[#This Row],[Tech Start Date]],19),IF(Main[[#This Row],[Class]]="A",WORKDAY(Main[[#This Row],[Tech Start Date]],9),""))))</f>
        <v/>
      </c>
      <c r="Q415" s="74">
        <v>40908</v>
      </c>
      <c r="R415" s="74"/>
      <c r="S415" s="72" t="s">
        <v>17</v>
      </c>
      <c r="T415" s="80" t="s">
        <v>4</v>
      </c>
      <c r="U415" s="72" t="s">
        <v>7</v>
      </c>
      <c r="V415" s="72" t="s">
        <v>1940</v>
      </c>
      <c r="W415" s="72" t="s">
        <v>1951</v>
      </c>
      <c r="X415" s="72" t="s">
        <v>560</v>
      </c>
      <c r="Y415" s="72" t="s">
        <v>3110</v>
      </c>
      <c r="Z415" s="72" t="s">
        <v>4</v>
      </c>
    </row>
    <row r="416" spans="1:26" ht="18.600000000000001" customHeight="1">
      <c r="A416" s="142" t="str">
        <f>IF(priority(Main[[#This Row],[Comments]])&lt;&gt;0, priority(Main[[#This Row],[Comments]]),"")</f>
        <v/>
      </c>
      <c r="B416" s="90" t="s">
        <v>1224</v>
      </c>
      <c r="C416" s="72" t="s">
        <v>4</v>
      </c>
      <c r="D416" s="73" t="s">
        <v>269</v>
      </c>
      <c r="E416" s="74">
        <v>40609.588946759257</v>
      </c>
      <c r="F416" s="74"/>
      <c r="G416" s="75" t="str">
        <f>IF(stdProdLT(Main[[#This Row],[Comments]])=0.1,"N/A",IF(stdProdLT(Main[[#This Row],[Comments]])=0,"",stdProdLT(Main[[#This Row],[Comments]])))</f>
        <v/>
      </c>
      <c r="H416" s="76" t="str">
        <f>IF(AND(Main[[#This Row],[In Stock Date]]&lt;&gt;"",Main[[#This Row],[Revised Due Date]]&lt;&gt;""),Main[[#This Row],[In Stock Date]]-Main[[#This Row],[Revised Due Date]],"")</f>
        <v/>
      </c>
      <c r="I416" s="72" t="s">
        <v>4</v>
      </c>
      <c r="J416" s="72" t="s">
        <v>28</v>
      </c>
      <c r="K416" s="72" t="s">
        <v>1946</v>
      </c>
      <c r="L416" s="74"/>
      <c r="M416" s="77" t="str">
        <f>IF(Main[[#This Row],[Tech Start Date]]&lt;1/1/1990,"",IF(Main[[#This Row],[Class]]="C",WORKDAY(Main[[#This Row],[Tech Start Date]],9),IF(Main[[#This Row],[Class]]="B", WORKDAY(Main[[#This Row],[Tech Start Date]],6),IF(Main[[#This Row],[Class]]="A",WORKDAY(Main[[#This Row],[Tech Start Date]],2),""))))</f>
        <v/>
      </c>
      <c r="N416" s="77" t="str">
        <f>IF(Main[[#This Row],[Tech Start Date]]&lt;1/1/1990,"",IF(Main[[#This Row],[Class]]="C",WORKDAY(Main[[#This Row],[Tech Start Date]],19),IF(Main[[#This Row],[Class]]="B", WORKDAY(Main[[#This Row],[Tech Start Date]],12),IF(Main[[#This Row],[Class]]="A",WORKDAY(Main[[#This Row],[Tech Start Date]],4),""))))</f>
        <v/>
      </c>
      <c r="O416" s="77" t="str">
        <f>IF(Main[[#This Row],[Tech Start Date]]&lt;1/1/1990,"",IF(Main[[#This Row],[Class]]="C",WORKDAY(Main[[#This Row],[Tech Start Date]],23),IF(Main[[#This Row],[Class]]="B", WORKDAY(Main[[#This Row],[Tech Start Date]],15),IF(Main[[#This Row],[Class]]="A",WORKDAY(Main[[#This Row],[Tech Start Date]],5),""))))</f>
        <v/>
      </c>
      <c r="P416" s="77" t="str">
        <f>IF(Main[[#This Row],[Tech Start Date]]&lt;1/1/1990,"",IF(Main[[#This Row],[Class]]="C",WORKDAY(Main[[#This Row],[Tech Start Date]],28),IF(Main[[#This Row],[Class]]="B", WORKDAY(Main[[#This Row],[Tech Start Date]],19),IF(Main[[#This Row],[Class]]="A",WORKDAY(Main[[#This Row],[Tech Start Date]],9),""))))</f>
        <v/>
      </c>
      <c r="Q416" s="74">
        <v>40640</v>
      </c>
      <c r="R416" s="74"/>
      <c r="S416" s="72" t="s">
        <v>6</v>
      </c>
      <c r="T416" s="80" t="s">
        <v>4</v>
      </c>
      <c r="U416" s="72" t="s">
        <v>7</v>
      </c>
      <c r="V416" s="72" t="s">
        <v>1937</v>
      </c>
      <c r="W416" s="72" t="s">
        <v>1939</v>
      </c>
      <c r="X416" s="72" t="s">
        <v>2971</v>
      </c>
      <c r="Y416" s="72" t="s">
        <v>3090</v>
      </c>
      <c r="Z416" s="72" t="s">
        <v>129</v>
      </c>
    </row>
    <row r="417" spans="1:26" ht="18.600000000000001" customHeight="1">
      <c r="A417" s="142" t="str">
        <f>IF(priority(Main[[#This Row],[Comments]])&lt;&gt;0, priority(Main[[#This Row],[Comments]]),"")</f>
        <v/>
      </c>
      <c r="B417" s="90" t="s">
        <v>1225</v>
      </c>
      <c r="C417" s="72" t="s">
        <v>270</v>
      </c>
      <c r="D417" s="73" t="s">
        <v>271</v>
      </c>
      <c r="E417" s="74"/>
      <c r="F417" s="74"/>
      <c r="G417" s="75" t="str">
        <f>IF(stdProdLT(Main[[#This Row],[Comments]])=0.1,"N/A",IF(stdProdLT(Main[[#This Row],[Comments]])=0,"",stdProdLT(Main[[#This Row],[Comments]])))</f>
        <v/>
      </c>
      <c r="H417" s="76" t="str">
        <f>IF(AND(Main[[#This Row],[In Stock Date]]&lt;&gt;"",Main[[#This Row],[Revised Due Date]]&lt;&gt;""),Main[[#This Row],[In Stock Date]]-Main[[#This Row],[Revised Due Date]],"")</f>
        <v/>
      </c>
      <c r="I417" s="72" t="s">
        <v>4</v>
      </c>
      <c r="J417" s="72" t="s">
        <v>4</v>
      </c>
      <c r="K417" s="72" t="s">
        <v>4</v>
      </c>
      <c r="L417" s="74"/>
      <c r="M417" s="77" t="str">
        <f>IF(Main[[#This Row],[Tech Start Date]]&lt;1/1/1990,"",IF(Main[[#This Row],[Class]]="C",WORKDAY(Main[[#This Row],[Tech Start Date]],9),IF(Main[[#This Row],[Class]]="B", WORKDAY(Main[[#This Row],[Tech Start Date]],6),IF(Main[[#This Row],[Class]]="A",WORKDAY(Main[[#This Row],[Tech Start Date]],2),""))))</f>
        <v/>
      </c>
      <c r="N417" s="77" t="str">
        <f>IF(Main[[#This Row],[Tech Start Date]]&lt;1/1/1990,"",IF(Main[[#This Row],[Class]]="C",WORKDAY(Main[[#This Row],[Tech Start Date]],19),IF(Main[[#This Row],[Class]]="B", WORKDAY(Main[[#This Row],[Tech Start Date]],12),IF(Main[[#This Row],[Class]]="A",WORKDAY(Main[[#This Row],[Tech Start Date]],4),""))))</f>
        <v/>
      </c>
      <c r="O417" s="77" t="str">
        <f>IF(Main[[#This Row],[Tech Start Date]]&lt;1/1/1990,"",IF(Main[[#This Row],[Class]]="C",WORKDAY(Main[[#This Row],[Tech Start Date]],23),IF(Main[[#This Row],[Class]]="B", WORKDAY(Main[[#This Row],[Tech Start Date]],15),IF(Main[[#This Row],[Class]]="A",WORKDAY(Main[[#This Row],[Tech Start Date]],5),""))))</f>
        <v/>
      </c>
      <c r="P417" s="77" t="str">
        <f>IF(Main[[#This Row],[Tech Start Date]]&lt;1/1/1990,"",IF(Main[[#This Row],[Class]]="C",WORKDAY(Main[[#This Row],[Tech Start Date]],28),IF(Main[[#This Row],[Class]]="B", WORKDAY(Main[[#This Row],[Tech Start Date]],19),IF(Main[[#This Row],[Class]]="A",WORKDAY(Main[[#This Row],[Tech Start Date]],9),""))))</f>
        <v/>
      </c>
      <c r="Q417" s="74">
        <v>40497</v>
      </c>
      <c r="R417" s="74"/>
      <c r="S417" s="72" t="s">
        <v>11</v>
      </c>
      <c r="T417" s="80" t="s">
        <v>4</v>
      </c>
      <c r="U417" s="72" t="s">
        <v>12</v>
      </c>
      <c r="V417" s="72" t="s">
        <v>1937</v>
      </c>
      <c r="W417" s="72" t="s">
        <v>1939</v>
      </c>
      <c r="X417" s="72" t="s">
        <v>3007</v>
      </c>
      <c r="Y417" s="72" t="s">
        <v>4</v>
      </c>
      <c r="Z417" s="72" t="s">
        <v>4</v>
      </c>
    </row>
    <row r="418" spans="1:26" ht="18.600000000000001" customHeight="1">
      <c r="A418" s="142" t="str">
        <f>IF(priority(Main[[#This Row],[Comments]])&lt;&gt;0, priority(Main[[#This Row],[Comments]]),"")</f>
        <v/>
      </c>
      <c r="B418" s="90" t="s">
        <v>1227</v>
      </c>
      <c r="C418" s="72" t="s">
        <v>273</v>
      </c>
      <c r="D418" s="73" t="s">
        <v>274</v>
      </c>
      <c r="E418" s="74"/>
      <c r="F418" s="74">
        <v>40399</v>
      </c>
      <c r="G418" s="75" t="str">
        <f>IF(stdProdLT(Main[[#This Row],[Comments]])=0.1,"N/A",IF(stdProdLT(Main[[#This Row],[Comments]])=0,"",stdProdLT(Main[[#This Row],[Comments]])))</f>
        <v/>
      </c>
      <c r="H418" s="76" t="str">
        <f>IF(AND(Main[[#This Row],[In Stock Date]]&lt;&gt;"",Main[[#This Row],[Revised Due Date]]&lt;&gt;""),Main[[#This Row],[In Stock Date]]-Main[[#This Row],[Revised Due Date]],"")</f>
        <v/>
      </c>
      <c r="I418" s="72" t="s">
        <v>129</v>
      </c>
      <c r="J418" s="72" t="s">
        <v>4</v>
      </c>
      <c r="K418" s="81" t="s">
        <v>4</v>
      </c>
      <c r="L418" s="74"/>
      <c r="M418" s="77" t="str">
        <f>IF(Main[[#This Row],[Tech Start Date]]&lt;1/1/1990,"",IF(Main[[#This Row],[Class]]="C",WORKDAY(Main[[#This Row],[Tech Start Date]],9),IF(Main[[#This Row],[Class]]="B", WORKDAY(Main[[#This Row],[Tech Start Date]],6),IF(Main[[#This Row],[Class]]="A",WORKDAY(Main[[#This Row],[Tech Start Date]],2),""))))</f>
        <v/>
      </c>
      <c r="N418" s="77" t="str">
        <f>IF(Main[[#This Row],[Tech Start Date]]&lt;1/1/1990,"",IF(Main[[#This Row],[Class]]="C",WORKDAY(Main[[#This Row],[Tech Start Date]],19),IF(Main[[#This Row],[Class]]="B", WORKDAY(Main[[#This Row],[Tech Start Date]],12),IF(Main[[#This Row],[Class]]="A",WORKDAY(Main[[#This Row],[Tech Start Date]],4),""))))</f>
        <v/>
      </c>
      <c r="O418" s="77" t="str">
        <f>IF(Main[[#This Row],[Tech Start Date]]&lt;1/1/1990,"",IF(Main[[#This Row],[Class]]="C",WORKDAY(Main[[#This Row],[Tech Start Date]],23),IF(Main[[#This Row],[Class]]="B", WORKDAY(Main[[#This Row],[Tech Start Date]],15),IF(Main[[#This Row],[Class]]="A",WORKDAY(Main[[#This Row],[Tech Start Date]],5),""))))</f>
        <v/>
      </c>
      <c r="P418" s="77" t="str">
        <f>IF(Main[[#This Row],[Tech Start Date]]&lt;1/1/1990,"",IF(Main[[#This Row],[Class]]="C",WORKDAY(Main[[#This Row],[Tech Start Date]],28),IF(Main[[#This Row],[Class]]="B", WORKDAY(Main[[#This Row],[Tech Start Date]],19),IF(Main[[#This Row],[Class]]="A",WORKDAY(Main[[#This Row],[Tech Start Date]],9),""))))</f>
        <v/>
      </c>
      <c r="Q418" s="74">
        <v>40344</v>
      </c>
      <c r="R418" s="74"/>
      <c r="S418" s="72" t="s">
        <v>11</v>
      </c>
      <c r="T418" s="80" t="s">
        <v>4</v>
      </c>
      <c r="U418" s="72" t="s">
        <v>14</v>
      </c>
      <c r="V418" s="72" t="s">
        <v>1937</v>
      </c>
      <c r="W418" s="72" t="s">
        <v>1942</v>
      </c>
      <c r="X418" s="72" t="s">
        <v>3006</v>
      </c>
      <c r="Y418" s="72" t="s">
        <v>4</v>
      </c>
      <c r="Z418" s="72" t="s">
        <v>4</v>
      </c>
    </row>
    <row r="419" spans="1:26" ht="18.600000000000001" customHeight="1">
      <c r="A419" s="142" t="str">
        <f>IF(priority(Main[[#This Row],[Comments]])&lt;&gt;0, priority(Main[[#This Row],[Comments]]),"")</f>
        <v/>
      </c>
      <c r="B419" s="90" t="s">
        <v>1403</v>
      </c>
      <c r="C419" s="72" t="s">
        <v>4</v>
      </c>
      <c r="D419" s="73" t="s">
        <v>2397</v>
      </c>
      <c r="E419" s="74">
        <v>40407.653564814813</v>
      </c>
      <c r="F419" s="74"/>
      <c r="G419" s="75" t="str">
        <f>IF(stdProdLT(Main[[#This Row],[Comments]])=0.1,"N/A",IF(stdProdLT(Main[[#This Row],[Comments]])=0,"",stdProdLT(Main[[#This Row],[Comments]])))</f>
        <v/>
      </c>
      <c r="H419" s="76" t="str">
        <f>IF(AND(Main[[#This Row],[In Stock Date]]&lt;&gt;"",Main[[#This Row],[Revised Due Date]]&lt;&gt;""),Main[[#This Row],[In Stock Date]]-Main[[#This Row],[Revised Due Date]],"")</f>
        <v/>
      </c>
      <c r="I419" s="72" t="s">
        <v>4</v>
      </c>
      <c r="J419" s="72" t="s">
        <v>28</v>
      </c>
      <c r="K419" s="72" t="s">
        <v>4</v>
      </c>
      <c r="L419" s="74"/>
      <c r="M419" s="77" t="str">
        <f>IF(Main[[#This Row],[Tech Start Date]]&lt;1/1/1990,"",IF(Main[[#This Row],[Class]]="C",WORKDAY(Main[[#This Row],[Tech Start Date]],9),IF(Main[[#This Row],[Class]]="B", WORKDAY(Main[[#This Row],[Tech Start Date]],6),IF(Main[[#This Row],[Class]]="A",WORKDAY(Main[[#This Row],[Tech Start Date]],2),""))))</f>
        <v/>
      </c>
      <c r="N419" s="77" t="str">
        <f>IF(Main[[#This Row],[Tech Start Date]]&lt;1/1/1990,"",IF(Main[[#This Row],[Class]]="C",WORKDAY(Main[[#This Row],[Tech Start Date]],19),IF(Main[[#This Row],[Class]]="B", WORKDAY(Main[[#This Row],[Tech Start Date]],12),IF(Main[[#This Row],[Class]]="A",WORKDAY(Main[[#This Row],[Tech Start Date]],4),""))))</f>
        <v/>
      </c>
      <c r="O419" s="77" t="str">
        <f>IF(Main[[#This Row],[Tech Start Date]]&lt;1/1/1990,"",IF(Main[[#This Row],[Class]]="C",WORKDAY(Main[[#This Row],[Tech Start Date]],23),IF(Main[[#This Row],[Class]]="B", WORKDAY(Main[[#This Row],[Tech Start Date]],15),IF(Main[[#This Row],[Class]]="A",WORKDAY(Main[[#This Row],[Tech Start Date]],5),""))))</f>
        <v/>
      </c>
      <c r="P419" s="77" t="str">
        <f>IF(Main[[#This Row],[Tech Start Date]]&lt;1/1/1990,"",IF(Main[[#This Row],[Class]]="C",WORKDAY(Main[[#This Row],[Tech Start Date]],28),IF(Main[[#This Row],[Class]]="B", WORKDAY(Main[[#This Row],[Tech Start Date]],19),IF(Main[[#This Row],[Class]]="A",WORKDAY(Main[[#This Row],[Tech Start Date]],9),""))))</f>
        <v/>
      </c>
      <c r="Q419" s="74"/>
      <c r="R419" s="74"/>
      <c r="S419" s="72" t="s">
        <v>6</v>
      </c>
      <c r="T419" s="80" t="s">
        <v>4</v>
      </c>
      <c r="U419" s="72" t="s">
        <v>7</v>
      </c>
      <c r="V419" s="72" t="s">
        <v>1937</v>
      </c>
      <c r="W419" s="72" t="s">
        <v>1939</v>
      </c>
      <c r="X419" s="72" t="s">
        <v>891</v>
      </c>
      <c r="Y419" s="72" t="s">
        <v>3176</v>
      </c>
      <c r="Z419" s="72" t="s">
        <v>129</v>
      </c>
    </row>
    <row r="420" spans="1:26" ht="18.600000000000001" customHeight="1">
      <c r="A420" s="142" t="str">
        <f>IF(priority(Main[[#This Row],[Comments]])&lt;&gt;0, priority(Main[[#This Row],[Comments]]),"")</f>
        <v/>
      </c>
      <c r="B420" s="90" t="s">
        <v>1228</v>
      </c>
      <c r="C420" s="72" t="s">
        <v>183</v>
      </c>
      <c r="D420" s="73" t="s">
        <v>275</v>
      </c>
      <c r="E420" s="74"/>
      <c r="F420" s="74">
        <v>40389</v>
      </c>
      <c r="G420" s="75" t="str">
        <f>IF(stdProdLT(Main[[#This Row],[Comments]])=0.1,"N/A",IF(stdProdLT(Main[[#This Row],[Comments]])=0,"",stdProdLT(Main[[#This Row],[Comments]])))</f>
        <v/>
      </c>
      <c r="H420" s="76" t="str">
        <f>IF(AND(Main[[#This Row],[In Stock Date]]&lt;&gt;"",Main[[#This Row],[Revised Due Date]]&lt;&gt;""),Main[[#This Row],[In Stock Date]]-Main[[#This Row],[Revised Due Date]],"")</f>
        <v/>
      </c>
      <c r="I420" s="72" t="s">
        <v>4</v>
      </c>
      <c r="J420" s="72" t="s">
        <v>4</v>
      </c>
      <c r="K420" s="72" t="s">
        <v>4</v>
      </c>
      <c r="L420" s="74"/>
      <c r="M420" s="77" t="str">
        <f>IF(Main[[#This Row],[Tech Start Date]]&lt;1/1/1990,"",IF(Main[[#This Row],[Class]]="C",WORKDAY(Main[[#This Row],[Tech Start Date]],9),IF(Main[[#This Row],[Class]]="B", WORKDAY(Main[[#This Row],[Tech Start Date]],6),IF(Main[[#This Row],[Class]]="A",WORKDAY(Main[[#This Row],[Tech Start Date]],2),""))))</f>
        <v/>
      </c>
      <c r="N420" s="77" t="str">
        <f>IF(Main[[#This Row],[Tech Start Date]]&lt;1/1/1990,"",IF(Main[[#This Row],[Class]]="C",WORKDAY(Main[[#This Row],[Tech Start Date]],19),IF(Main[[#This Row],[Class]]="B", WORKDAY(Main[[#This Row],[Tech Start Date]],12),IF(Main[[#This Row],[Class]]="A",WORKDAY(Main[[#This Row],[Tech Start Date]],4),""))))</f>
        <v/>
      </c>
      <c r="O420" s="77" t="str">
        <f>IF(Main[[#This Row],[Tech Start Date]]&lt;1/1/1990,"",IF(Main[[#This Row],[Class]]="C",WORKDAY(Main[[#This Row],[Tech Start Date]],23),IF(Main[[#This Row],[Class]]="B", WORKDAY(Main[[#This Row],[Tech Start Date]],15),IF(Main[[#This Row],[Class]]="A",WORKDAY(Main[[#This Row],[Tech Start Date]],5),""))))</f>
        <v/>
      </c>
      <c r="P420" s="77" t="str">
        <f>IF(Main[[#This Row],[Tech Start Date]]&lt;1/1/1990,"",IF(Main[[#This Row],[Class]]="C",WORKDAY(Main[[#This Row],[Tech Start Date]],28),IF(Main[[#This Row],[Class]]="B", WORKDAY(Main[[#This Row],[Tech Start Date]],19),IF(Main[[#This Row],[Class]]="A",WORKDAY(Main[[#This Row],[Tech Start Date]],9),""))))</f>
        <v/>
      </c>
      <c r="Q420" s="74">
        <v>40298</v>
      </c>
      <c r="R420" s="74"/>
      <c r="S420" s="72" t="s">
        <v>11</v>
      </c>
      <c r="T420" s="80" t="s">
        <v>4</v>
      </c>
      <c r="U420" s="72" t="s">
        <v>14</v>
      </c>
      <c r="V420" s="72" t="s">
        <v>1937</v>
      </c>
      <c r="W420" s="72" t="s">
        <v>1943</v>
      </c>
      <c r="X420" s="72" t="s">
        <v>2976</v>
      </c>
      <c r="Y420" s="72" t="s">
        <v>3101</v>
      </c>
      <c r="Z420" s="72" t="s">
        <v>4</v>
      </c>
    </row>
    <row r="421" spans="1:26" ht="18.600000000000001" customHeight="1">
      <c r="A421" s="142" t="str">
        <f>IF(priority(Main[[#This Row],[Comments]])&lt;&gt;0, priority(Main[[#This Row],[Comments]]),"")</f>
        <v/>
      </c>
      <c r="B421" s="90" t="s">
        <v>1230</v>
      </c>
      <c r="C421" s="72" t="s">
        <v>278</v>
      </c>
      <c r="D421" s="73" t="s">
        <v>279</v>
      </c>
      <c r="E421" s="74"/>
      <c r="F421" s="74">
        <v>40262</v>
      </c>
      <c r="G421" s="75" t="str">
        <f>IF(stdProdLT(Main[[#This Row],[Comments]])=0.1,"N/A",IF(stdProdLT(Main[[#This Row],[Comments]])=0,"",stdProdLT(Main[[#This Row],[Comments]])))</f>
        <v/>
      </c>
      <c r="H421" s="76" t="str">
        <f>IF(AND(Main[[#This Row],[In Stock Date]]&lt;&gt;"",Main[[#This Row],[Revised Due Date]]&lt;&gt;""),Main[[#This Row],[In Stock Date]]-Main[[#This Row],[Revised Due Date]],"")</f>
        <v/>
      </c>
      <c r="I421" s="72" t="s">
        <v>4</v>
      </c>
      <c r="J421" s="72" t="s">
        <v>4</v>
      </c>
      <c r="K421" s="72" t="s">
        <v>4</v>
      </c>
      <c r="L421" s="74"/>
      <c r="M421" s="77" t="str">
        <f>IF(Main[[#This Row],[Tech Start Date]]&lt;1/1/1990,"",IF(Main[[#This Row],[Class]]="C",WORKDAY(Main[[#This Row],[Tech Start Date]],9),IF(Main[[#This Row],[Class]]="B", WORKDAY(Main[[#This Row],[Tech Start Date]],6),IF(Main[[#This Row],[Class]]="A",WORKDAY(Main[[#This Row],[Tech Start Date]],2),""))))</f>
        <v/>
      </c>
      <c r="N421" s="77" t="str">
        <f>IF(Main[[#This Row],[Tech Start Date]]&lt;1/1/1990,"",IF(Main[[#This Row],[Class]]="C",WORKDAY(Main[[#This Row],[Tech Start Date]],19),IF(Main[[#This Row],[Class]]="B", WORKDAY(Main[[#This Row],[Tech Start Date]],12),IF(Main[[#This Row],[Class]]="A",WORKDAY(Main[[#This Row],[Tech Start Date]],4),""))))</f>
        <v/>
      </c>
      <c r="O421" s="77" t="str">
        <f>IF(Main[[#This Row],[Tech Start Date]]&lt;1/1/1990,"",IF(Main[[#This Row],[Class]]="C",WORKDAY(Main[[#This Row],[Tech Start Date]],23),IF(Main[[#This Row],[Class]]="B", WORKDAY(Main[[#This Row],[Tech Start Date]],15),IF(Main[[#This Row],[Class]]="A",WORKDAY(Main[[#This Row],[Tech Start Date]],5),""))))</f>
        <v/>
      </c>
      <c r="P421" s="77" t="str">
        <f>IF(Main[[#This Row],[Tech Start Date]]&lt;1/1/1990,"",IF(Main[[#This Row],[Class]]="C",WORKDAY(Main[[#This Row],[Tech Start Date]],28),IF(Main[[#This Row],[Class]]="B", WORKDAY(Main[[#This Row],[Tech Start Date]],19),IF(Main[[#This Row],[Class]]="A",WORKDAY(Main[[#This Row],[Tech Start Date]],9),""))))</f>
        <v/>
      </c>
      <c r="Q421" s="74">
        <v>40242</v>
      </c>
      <c r="R421" s="74"/>
      <c r="S421" s="72" t="s">
        <v>11</v>
      </c>
      <c r="T421" s="80" t="s">
        <v>4</v>
      </c>
      <c r="U421" s="72" t="s">
        <v>14</v>
      </c>
      <c r="V421" s="72" t="s">
        <v>1947</v>
      </c>
      <c r="W421" s="72" t="s">
        <v>1941</v>
      </c>
      <c r="X421" s="72" t="s">
        <v>3020</v>
      </c>
      <c r="Y421" s="72" t="s">
        <v>3170</v>
      </c>
      <c r="Z421" s="72" t="s">
        <v>4</v>
      </c>
    </row>
    <row r="422" spans="1:26" ht="18.600000000000001" customHeight="1">
      <c r="A422" s="142" t="str">
        <f>IF(priority(Main[[#This Row],[Comments]])&lt;&gt;0, priority(Main[[#This Row],[Comments]]),"")</f>
        <v/>
      </c>
      <c r="B422" s="90" t="s">
        <v>1231</v>
      </c>
      <c r="C422" s="72" t="s">
        <v>280</v>
      </c>
      <c r="D422" s="73" t="s">
        <v>281</v>
      </c>
      <c r="E422" s="74"/>
      <c r="F422" s="74">
        <v>40186</v>
      </c>
      <c r="G422" s="75" t="str">
        <f>IF(stdProdLT(Main[[#This Row],[Comments]])=0.1,"N/A",IF(stdProdLT(Main[[#This Row],[Comments]])=0,"",stdProdLT(Main[[#This Row],[Comments]])))</f>
        <v/>
      </c>
      <c r="H422" s="76" t="str">
        <f>IF(AND(Main[[#This Row],[In Stock Date]]&lt;&gt;"",Main[[#This Row],[Revised Due Date]]&lt;&gt;""),Main[[#This Row],[In Stock Date]]-Main[[#This Row],[Revised Due Date]],"")</f>
        <v/>
      </c>
      <c r="I422" s="72" t="s">
        <v>4</v>
      </c>
      <c r="J422" s="72" t="s">
        <v>4</v>
      </c>
      <c r="K422" s="72" t="s">
        <v>4</v>
      </c>
      <c r="L422" s="74"/>
      <c r="M422" s="77" t="str">
        <f>IF(Main[[#This Row],[Tech Start Date]]&lt;1/1/1990,"",IF(Main[[#This Row],[Class]]="C",WORKDAY(Main[[#This Row],[Tech Start Date]],9),IF(Main[[#This Row],[Class]]="B", WORKDAY(Main[[#This Row],[Tech Start Date]],6),IF(Main[[#This Row],[Class]]="A",WORKDAY(Main[[#This Row],[Tech Start Date]],2),""))))</f>
        <v/>
      </c>
      <c r="N422" s="77" t="str">
        <f>IF(Main[[#This Row],[Tech Start Date]]&lt;1/1/1990,"",IF(Main[[#This Row],[Class]]="C",WORKDAY(Main[[#This Row],[Tech Start Date]],19),IF(Main[[#This Row],[Class]]="B", WORKDAY(Main[[#This Row],[Tech Start Date]],12),IF(Main[[#This Row],[Class]]="A",WORKDAY(Main[[#This Row],[Tech Start Date]],4),""))))</f>
        <v/>
      </c>
      <c r="O422" s="77" t="str">
        <f>IF(Main[[#This Row],[Tech Start Date]]&lt;1/1/1990,"",IF(Main[[#This Row],[Class]]="C",WORKDAY(Main[[#This Row],[Tech Start Date]],23),IF(Main[[#This Row],[Class]]="B", WORKDAY(Main[[#This Row],[Tech Start Date]],15),IF(Main[[#This Row],[Class]]="A",WORKDAY(Main[[#This Row],[Tech Start Date]],5),""))))</f>
        <v/>
      </c>
      <c r="P422" s="77" t="str">
        <f>IF(Main[[#This Row],[Tech Start Date]]&lt;1/1/1990,"",IF(Main[[#This Row],[Class]]="C",WORKDAY(Main[[#This Row],[Tech Start Date]],28),IF(Main[[#This Row],[Class]]="B", WORKDAY(Main[[#This Row],[Tech Start Date]],19),IF(Main[[#This Row],[Class]]="A",WORKDAY(Main[[#This Row],[Tech Start Date]],9),""))))</f>
        <v/>
      </c>
      <c r="Q422" s="74">
        <v>40196</v>
      </c>
      <c r="R422" s="74"/>
      <c r="S422" s="72" t="s">
        <v>11</v>
      </c>
      <c r="T422" s="80" t="s">
        <v>4</v>
      </c>
      <c r="U422" s="72" t="s">
        <v>14</v>
      </c>
      <c r="V422" s="72" t="s">
        <v>1940</v>
      </c>
      <c r="W422" s="72" t="s">
        <v>1945</v>
      </c>
      <c r="X422" s="72" t="s">
        <v>2994</v>
      </c>
      <c r="Y422" s="72" t="s">
        <v>4</v>
      </c>
      <c r="Z422" s="72" t="s">
        <v>4</v>
      </c>
    </row>
    <row r="423" spans="1:26" ht="18.600000000000001" customHeight="1">
      <c r="A423" s="142" t="str">
        <f>IF(priority(Main[[#This Row],[Comments]])&lt;&gt;0, priority(Main[[#This Row],[Comments]]),"")</f>
        <v/>
      </c>
      <c r="B423" s="90" t="s">
        <v>2254</v>
      </c>
      <c r="C423" s="72" t="s">
        <v>4</v>
      </c>
      <c r="D423" s="73" t="s">
        <v>2255</v>
      </c>
      <c r="E423" s="74"/>
      <c r="F423" s="74"/>
      <c r="G423" s="75" t="str">
        <f>IF(stdProdLT(Main[[#This Row],[Comments]])=0.1,"N/A",IF(stdProdLT(Main[[#This Row],[Comments]])=0,"",stdProdLT(Main[[#This Row],[Comments]])))</f>
        <v/>
      </c>
      <c r="H423" s="76" t="str">
        <f>IF(AND(Main[[#This Row],[In Stock Date]]&lt;&gt;"",Main[[#This Row],[Revised Due Date]]&lt;&gt;""),Main[[#This Row],[In Stock Date]]-Main[[#This Row],[Revised Due Date]],"")</f>
        <v/>
      </c>
      <c r="I423" s="72" t="s">
        <v>4</v>
      </c>
      <c r="J423" s="72" t="s">
        <v>4</v>
      </c>
      <c r="K423" s="72" t="s">
        <v>4</v>
      </c>
      <c r="L423" s="74"/>
      <c r="M423" s="77" t="str">
        <f>IF(Main[[#This Row],[Tech Start Date]]&lt;1/1/1990,"",IF(Main[[#This Row],[Class]]="C",WORKDAY(Main[[#This Row],[Tech Start Date]],9),IF(Main[[#This Row],[Class]]="B", WORKDAY(Main[[#This Row],[Tech Start Date]],6),IF(Main[[#This Row],[Class]]="A",WORKDAY(Main[[#This Row],[Tech Start Date]],2),""))))</f>
        <v/>
      </c>
      <c r="N423" s="77" t="str">
        <f>IF(Main[[#This Row],[Tech Start Date]]&lt;1/1/1990,"",IF(Main[[#This Row],[Class]]="C",WORKDAY(Main[[#This Row],[Tech Start Date]],19),IF(Main[[#This Row],[Class]]="B", WORKDAY(Main[[#This Row],[Tech Start Date]],12),IF(Main[[#This Row],[Class]]="A",WORKDAY(Main[[#This Row],[Tech Start Date]],4),""))))</f>
        <v/>
      </c>
      <c r="O423" s="77" t="str">
        <f>IF(Main[[#This Row],[Tech Start Date]]&lt;1/1/1990,"",IF(Main[[#This Row],[Class]]="C",WORKDAY(Main[[#This Row],[Tech Start Date]],23),IF(Main[[#This Row],[Class]]="B", WORKDAY(Main[[#This Row],[Tech Start Date]],15),IF(Main[[#This Row],[Class]]="A",WORKDAY(Main[[#This Row],[Tech Start Date]],5),""))))</f>
        <v/>
      </c>
      <c r="P423" s="77" t="str">
        <f>IF(Main[[#This Row],[Tech Start Date]]&lt;1/1/1990,"",IF(Main[[#This Row],[Class]]="C",WORKDAY(Main[[#This Row],[Tech Start Date]],28),IF(Main[[#This Row],[Class]]="B", WORKDAY(Main[[#This Row],[Tech Start Date]],19),IF(Main[[#This Row],[Class]]="A",WORKDAY(Main[[#This Row],[Tech Start Date]],9),""))))</f>
        <v/>
      </c>
      <c r="Q423" s="74">
        <v>40837</v>
      </c>
      <c r="R423" s="74"/>
      <c r="S423" s="72" t="s">
        <v>6</v>
      </c>
      <c r="T423" s="80" t="s">
        <v>4</v>
      </c>
      <c r="U423" s="72" t="s">
        <v>14</v>
      </c>
      <c r="V423" s="72" t="s">
        <v>1940</v>
      </c>
      <c r="W423" s="72" t="s">
        <v>4</v>
      </c>
      <c r="X423" s="72" t="s">
        <v>2970</v>
      </c>
      <c r="Y423" s="72" t="s">
        <v>3087</v>
      </c>
      <c r="Z423" s="72" t="s">
        <v>4</v>
      </c>
    </row>
    <row r="424" spans="1:26" ht="18.600000000000001" customHeight="1">
      <c r="A424" s="142" t="str">
        <f>IF(priority(Main[[#This Row],[Comments]])&lt;&gt;0, priority(Main[[#This Row],[Comments]]),"")</f>
        <v/>
      </c>
      <c r="B424" s="90" t="s">
        <v>1423</v>
      </c>
      <c r="C424" s="72" t="s">
        <v>4</v>
      </c>
      <c r="D424" s="73" t="s">
        <v>493</v>
      </c>
      <c r="E424" s="74">
        <v>40704.65116898148</v>
      </c>
      <c r="F424" s="74"/>
      <c r="G424" s="75" t="str">
        <f>IF(stdProdLT(Main[[#This Row],[Comments]])=0.1,"N/A",IF(stdProdLT(Main[[#This Row],[Comments]])=0,"",stdProdLT(Main[[#This Row],[Comments]])))</f>
        <v/>
      </c>
      <c r="H424" s="76" t="str">
        <f>IF(AND(Main[[#This Row],[In Stock Date]]&lt;&gt;"",Main[[#This Row],[Revised Due Date]]&lt;&gt;""),Main[[#This Row],[In Stock Date]]-Main[[#This Row],[Revised Due Date]],"")</f>
        <v/>
      </c>
      <c r="I424" s="72" t="s">
        <v>4</v>
      </c>
      <c r="J424" s="72" t="s">
        <v>4</v>
      </c>
      <c r="K424" s="72" t="s">
        <v>4</v>
      </c>
      <c r="L424" s="74"/>
      <c r="M424" s="77" t="str">
        <f>IF(Main[[#This Row],[Tech Start Date]]&lt;1/1/1990,"",IF(Main[[#This Row],[Class]]="C",WORKDAY(Main[[#This Row],[Tech Start Date]],9),IF(Main[[#This Row],[Class]]="B", WORKDAY(Main[[#This Row],[Tech Start Date]],6),IF(Main[[#This Row],[Class]]="A",WORKDAY(Main[[#This Row],[Tech Start Date]],2),""))))</f>
        <v/>
      </c>
      <c r="N424" s="77" t="str">
        <f>IF(Main[[#This Row],[Tech Start Date]]&lt;1/1/1990,"",IF(Main[[#This Row],[Class]]="C",WORKDAY(Main[[#This Row],[Tech Start Date]],19),IF(Main[[#This Row],[Class]]="B", WORKDAY(Main[[#This Row],[Tech Start Date]],12),IF(Main[[#This Row],[Class]]="A",WORKDAY(Main[[#This Row],[Tech Start Date]],4),""))))</f>
        <v/>
      </c>
      <c r="O424" s="77" t="str">
        <f>IF(Main[[#This Row],[Tech Start Date]]&lt;1/1/1990,"",IF(Main[[#This Row],[Class]]="C",WORKDAY(Main[[#This Row],[Tech Start Date]],23),IF(Main[[#This Row],[Class]]="B", WORKDAY(Main[[#This Row],[Tech Start Date]],15),IF(Main[[#This Row],[Class]]="A",WORKDAY(Main[[#This Row],[Tech Start Date]],5),""))))</f>
        <v/>
      </c>
      <c r="P424" s="77" t="str">
        <f>IF(Main[[#This Row],[Tech Start Date]]&lt;1/1/1990,"",IF(Main[[#This Row],[Class]]="C",WORKDAY(Main[[#This Row],[Tech Start Date]],28),IF(Main[[#This Row],[Class]]="B", WORKDAY(Main[[#This Row],[Tech Start Date]],19),IF(Main[[#This Row],[Class]]="A",WORKDAY(Main[[#This Row],[Tech Start Date]],9),""))))</f>
        <v/>
      </c>
      <c r="Q424" s="74"/>
      <c r="R424" s="74"/>
      <c r="S424" s="72" t="s">
        <v>6</v>
      </c>
      <c r="T424" s="80" t="s">
        <v>4</v>
      </c>
      <c r="U424" s="72" t="s">
        <v>29</v>
      </c>
      <c r="V424" s="72" t="s">
        <v>1937</v>
      </c>
      <c r="W424" s="72" t="s">
        <v>1941</v>
      </c>
      <c r="X424" s="72" t="s">
        <v>404</v>
      </c>
      <c r="Y424" s="72" t="s">
        <v>4</v>
      </c>
      <c r="Z424" s="72" t="s">
        <v>4</v>
      </c>
    </row>
    <row r="425" spans="1:26" ht="18.600000000000001" customHeight="1">
      <c r="A425" s="142" t="str">
        <f>IF(priority(Main[[#This Row],[Comments]])&lt;&gt;0, priority(Main[[#This Row],[Comments]]),"")</f>
        <v/>
      </c>
      <c r="B425" s="90" t="s">
        <v>1232</v>
      </c>
      <c r="C425" s="72" t="s">
        <v>4</v>
      </c>
      <c r="D425" s="73" t="s">
        <v>286</v>
      </c>
      <c r="E425" s="74">
        <v>40297.413148148145</v>
      </c>
      <c r="F425" s="74"/>
      <c r="G425" s="75" t="str">
        <f>IF(stdProdLT(Main[[#This Row],[Comments]])=0.1,"N/A",IF(stdProdLT(Main[[#This Row],[Comments]])=0,"",stdProdLT(Main[[#This Row],[Comments]])))</f>
        <v/>
      </c>
      <c r="H425" s="76" t="str">
        <f>IF(AND(Main[[#This Row],[In Stock Date]]&lt;&gt;"",Main[[#This Row],[Revised Due Date]]&lt;&gt;""),Main[[#This Row],[In Stock Date]]-Main[[#This Row],[Revised Due Date]],"")</f>
        <v/>
      </c>
      <c r="I425" s="72" t="s">
        <v>4</v>
      </c>
      <c r="J425" s="72" t="s">
        <v>4</v>
      </c>
      <c r="K425" s="72" t="s">
        <v>4</v>
      </c>
      <c r="L425" s="74"/>
      <c r="M425" s="77" t="str">
        <f>IF(Main[[#This Row],[Tech Start Date]]&lt;1/1/1990,"",IF(Main[[#This Row],[Class]]="C",WORKDAY(Main[[#This Row],[Tech Start Date]],9),IF(Main[[#This Row],[Class]]="B", WORKDAY(Main[[#This Row],[Tech Start Date]],6),IF(Main[[#This Row],[Class]]="A",WORKDAY(Main[[#This Row],[Tech Start Date]],2),""))))</f>
        <v/>
      </c>
      <c r="N425" s="77" t="str">
        <f>IF(Main[[#This Row],[Tech Start Date]]&lt;1/1/1990,"",IF(Main[[#This Row],[Class]]="C",WORKDAY(Main[[#This Row],[Tech Start Date]],19),IF(Main[[#This Row],[Class]]="B", WORKDAY(Main[[#This Row],[Tech Start Date]],12),IF(Main[[#This Row],[Class]]="A",WORKDAY(Main[[#This Row],[Tech Start Date]],4),""))))</f>
        <v/>
      </c>
      <c r="O425" s="77" t="str">
        <f>IF(Main[[#This Row],[Tech Start Date]]&lt;1/1/1990,"",IF(Main[[#This Row],[Class]]="C",WORKDAY(Main[[#This Row],[Tech Start Date]],23),IF(Main[[#This Row],[Class]]="B", WORKDAY(Main[[#This Row],[Tech Start Date]],15),IF(Main[[#This Row],[Class]]="A",WORKDAY(Main[[#This Row],[Tech Start Date]],5),""))))</f>
        <v/>
      </c>
      <c r="P425" s="77" t="str">
        <f>IF(Main[[#This Row],[Tech Start Date]]&lt;1/1/1990,"",IF(Main[[#This Row],[Class]]="C",WORKDAY(Main[[#This Row],[Tech Start Date]],28),IF(Main[[#This Row],[Class]]="B", WORKDAY(Main[[#This Row],[Tech Start Date]],19),IF(Main[[#This Row],[Class]]="A",WORKDAY(Main[[#This Row],[Tech Start Date]],9),""))))</f>
        <v/>
      </c>
      <c r="Q425" s="74">
        <v>40319</v>
      </c>
      <c r="R425" s="74"/>
      <c r="S425" s="72" t="s">
        <v>17</v>
      </c>
      <c r="T425" s="80" t="s">
        <v>4</v>
      </c>
      <c r="U425" s="72" t="s">
        <v>29</v>
      </c>
      <c r="V425" s="72" t="s">
        <v>1938</v>
      </c>
      <c r="W425" s="72" t="s">
        <v>1941</v>
      </c>
      <c r="X425" s="72" t="s">
        <v>3014</v>
      </c>
      <c r="Y425" s="72" t="s">
        <v>4</v>
      </c>
      <c r="Z425" s="72" t="s">
        <v>4</v>
      </c>
    </row>
    <row r="426" spans="1:26" ht="18.600000000000001" customHeight="1">
      <c r="A426" s="142" t="str">
        <f>IF(priority(Main[[#This Row],[Comments]])&lt;&gt;0, priority(Main[[#This Row],[Comments]]),"")</f>
        <v/>
      </c>
      <c r="B426" s="90" t="s">
        <v>1233</v>
      </c>
      <c r="C426" s="72" t="s">
        <v>287</v>
      </c>
      <c r="D426" s="73" t="s">
        <v>288</v>
      </c>
      <c r="E426" s="74"/>
      <c r="F426" s="74">
        <v>40391</v>
      </c>
      <c r="G426" s="75" t="str">
        <f>IF(stdProdLT(Main[[#This Row],[Comments]])=0.1,"N/A",IF(stdProdLT(Main[[#This Row],[Comments]])=0,"",stdProdLT(Main[[#This Row],[Comments]])))</f>
        <v/>
      </c>
      <c r="H426" s="76" t="str">
        <f>IF(AND(Main[[#This Row],[In Stock Date]]&lt;&gt;"",Main[[#This Row],[Revised Due Date]]&lt;&gt;""),Main[[#This Row],[In Stock Date]]-Main[[#This Row],[Revised Due Date]],"")</f>
        <v/>
      </c>
      <c r="I426" s="72" t="s">
        <v>4</v>
      </c>
      <c r="J426" s="72" t="s">
        <v>4</v>
      </c>
      <c r="K426" s="72" t="s">
        <v>4</v>
      </c>
      <c r="L426" s="74"/>
      <c r="M426" s="77" t="str">
        <f>IF(Main[[#This Row],[Tech Start Date]]&lt;1/1/1990,"",IF(Main[[#This Row],[Class]]="C",WORKDAY(Main[[#This Row],[Tech Start Date]],9),IF(Main[[#This Row],[Class]]="B", WORKDAY(Main[[#This Row],[Tech Start Date]],6),IF(Main[[#This Row],[Class]]="A",WORKDAY(Main[[#This Row],[Tech Start Date]],2),""))))</f>
        <v/>
      </c>
      <c r="N426" s="77" t="str">
        <f>IF(Main[[#This Row],[Tech Start Date]]&lt;1/1/1990,"",IF(Main[[#This Row],[Class]]="C",WORKDAY(Main[[#This Row],[Tech Start Date]],19),IF(Main[[#This Row],[Class]]="B", WORKDAY(Main[[#This Row],[Tech Start Date]],12),IF(Main[[#This Row],[Class]]="A",WORKDAY(Main[[#This Row],[Tech Start Date]],4),""))))</f>
        <v/>
      </c>
      <c r="O426" s="77" t="str">
        <f>IF(Main[[#This Row],[Tech Start Date]]&lt;1/1/1990,"",IF(Main[[#This Row],[Class]]="C",WORKDAY(Main[[#This Row],[Tech Start Date]],23),IF(Main[[#This Row],[Class]]="B", WORKDAY(Main[[#This Row],[Tech Start Date]],15),IF(Main[[#This Row],[Class]]="A",WORKDAY(Main[[#This Row],[Tech Start Date]],5),""))))</f>
        <v/>
      </c>
      <c r="P426" s="77" t="str">
        <f>IF(Main[[#This Row],[Tech Start Date]]&lt;1/1/1990,"",IF(Main[[#This Row],[Class]]="C",WORKDAY(Main[[#This Row],[Tech Start Date]],28),IF(Main[[#This Row],[Class]]="B", WORKDAY(Main[[#This Row],[Tech Start Date]],19),IF(Main[[#This Row],[Class]]="A",WORKDAY(Main[[#This Row],[Tech Start Date]],9),""))))</f>
        <v/>
      </c>
      <c r="Q426" s="74">
        <v>40314</v>
      </c>
      <c r="R426" s="74"/>
      <c r="S426" s="72" t="s">
        <v>11</v>
      </c>
      <c r="T426" s="80" t="s">
        <v>4</v>
      </c>
      <c r="U426" s="72" t="s">
        <v>14</v>
      </c>
      <c r="V426" s="72" t="s">
        <v>1940</v>
      </c>
      <c r="W426" s="72" t="s">
        <v>1943</v>
      </c>
      <c r="X426" s="72" t="s">
        <v>3010</v>
      </c>
      <c r="Y426" s="72" t="s">
        <v>4</v>
      </c>
      <c r="Z426" s="72" t="s">
        <v>4</v>
      </c>
    </row>
    <row r="427" spans="1:26" ht="18.600000000000001" customHeight="1">
      <c r="A427" s="142" t="str">
        <f>IF(priority(Main[[#This Row],[Comments]])&lt;&gt;0, priority(Main[[#This Row],[Comments]]),"")</f>
        <v/>
      </c>
      <c r="B427" s="90" t="s">
        <v>1234</v>
      </c>
      <c r="C427" s="72" t="s">
        <v>289</v>
      </c>
      <c r="D427" s="73" t="s">
        <v>290</v>
      </c>
      <c r="E427" s="74"/>
      <c r="F427" s="74"/>
      <c r="G427" s="75" t="str">
        <f>IF(stdProdLT(Main[[#This Row],[Comments]])=0.1,"N/A",IF(stdProdLT(Main[[#This Row],[Comments]])=0,"",stdProdLT(Main[[#This Row],[Comments]])))</f>
        <v/>
      </c>
      <c r="H427" s="76" t="str">
        <f>IF(AND(Main[[#This Row],[In Stock Date]]&lt;&gt;"",Main[[#This Row],[Revised Due Date]]&lt;&gt;""),Main[[#This Row],[In Stock Date]]-Main[[#This Row],[Revised Due Date]],"")</f>
        <v/>
      </c>
      <c r="I427" s="72" t="s">
        <v>4</v>
      </c>
      <c r="J427" s="72" t="s">
        <v>4</v>
      </c>
      <c r="K427" s="72" t="s">
        <v>4</v>
      </c>
      <c r="L427" s="74"/>
      <c r="M427" s="77" t="str">
        <f>IF(Main[[#This Row],[Tech Start Date]]&lt;1/1/1990,"",IF(Main[[#This Row],[Class]]="C",WORKDAY(Main[[#This Row],[Tech Start Date]],9),IF(Main[[#This Row],[Class]]="B", WORKDAY(Main[[#This Row],[Tech Start Date]],6),IF(Main[[#This Row],[Class]]="A",WORKDAY(Main[[#This Row],[Tech Start Date]],2),""))))</f>
        <v/>
      </c>
      <c r="N427" s="77" t="str">
        <f>IF(Main[[#This Row],[Tech Start Date]]&lt;1/1/1990,"",IF(Main[[#This Row],[Class]]="C",WORKDAY(Main[[#This Row],[Tech Start Date]],19),IF(Main[[#This Row],[Class]]="B", WORKDAY(Main[[#This Row],[Tech Start Date]],12),IF(Main[[#This Row],[Class]]="A",WORKDAY(Main[[#This Row],[Tech Start Date]],4),""))))</f>
        <v/>
      </c>
      <c r="O427" s="77" t="str">
        <f>IF(Main[[#This Row],[Tech Start Date]]&lt;1/1/1990,"",IF(Main[[#This Row],[Class]]="C",WORKDAY(Main[[#This Row],[Tech Start Date]],23),IF(Main[[#This Row],[Class]]="B", WORKDAY(Main[[#This Row],[Tech Start Date]],15),IF(Main[[#This Row],[Class]]="A",WORKDAY(Main[[#This Row],[Tech Start Date]],5),""))))</f>
        <v/>
      </c>
      <c r="P427" s="77" t="str">
        <f>IF(Main[[#This Row],[Tech Start Date]]&lt;1/1/1990,"",IF(Main[[#This Row],[Class]]="C",WORKDAY(Main[[#This Row],[Tech Start Date]],28),IF(Main[[#This Row],[Class]]="B", WORKDAY(Main[[#This Row],[Tech Start Date]],19),IF(Main[[#This Row],[Class]]="A",WORKDAY(Main[[#This Row],[Tech Start Date]],9),""))))</f>
        <v/>
      </c>
      <c r="Q427" s="74">
        <v>40147</v>
      </c>
      <c r="R427" s="74"/>
      <c r="S427" s="72" t="s">
        <v>11</v>
      </c>
      <c r="T427" s="80" t="s">
        <v>4</v>
      </c>
      <c r="U427" s="72" t="s">
        <v>14</v>
      </c>
      <c r="V427" s="72" t="s">
        <v>1947</v>
      </c>
      <c r="W427" s="72" t="s">
        <v>1945</v>
      </c>
      <c r="X427" s="72" t="s">
        <v>2969</v>
      </c>
      <c r="Y427" s="72" t="s">
        <v>4</v>
      </c>
      <c r="Z427" s="72" t="s">
        <v>4</v>
      </c>
    </row>
    <row r="428" spans="1:26" ht="18.600000000000001" customHeight="1">
      <c r="A428" s="142" t="str">
        <f>IF(priority(Main[[#This Row],[Comments]])&lt;&gt;0, priority(Main[[#This Row],[Comments]]),"")</f>
        <v/>
      </c>
      <c r="B428" s="90" t="s">
        <v>1622</v>
      </c>
      <c r="C428" s="72" t="s">
        <v>280</v>
      </c>
      <c r="D428" s="73" t="s">
        <v>685</v>
      </c>
      <c r="E428" s="74">
        <v>40500.611724537041</v>
      </c>
      <c r="F428" s="74">
        <v>40444</v>
      </c>
      <c r="G428" s="75" t="str">
        <f>IF(stdProdLT(Main[[#This Row],[Comments]])=0.1,"N/A",IF(stdProdLT(Main[[#This Row],[Comments]])=0,"",stdProdLT(Main[[#This Row],[Comments]])))</f>
        <v/>
      </c>
      <c r="H428" s="76">
        <f>IF(AND(Main[[#This Row],[In Stock Date]]&lt;&gt;"",Main[[#This Row],[Revised Due Date]]&lt;&gt;""),Main[[#This Row],[In Stock Date]]-Main[[#This Row],[Revised Due Date]],"")</f>
        <v>-349</v>
      </c>
      <c r="I428" s="72" t="s">
        <v>4</v>
      </c>
      <c r="J428" s="72" t="s">
        <v>4</v>
      </c>
      <c r="K428" s="81" t="s">
        <v>4</v>
      </c>
      <c r="L428" s="74"/>
      <c r="M428" s="77" t="str">
        <f>IF(Main[[#This Row],[Tech Start Date]]&lt;1/1/1990,"",IF(Main[[#This Row],[Class]]="C",WORKDAY(Main[[#This Row],[Tech Start Date]],9),IF(Main[[#This Row],[Class]]="B", WORKDAY(Main[[#This Row],[Tech Start Date]],6),IF(Main[[#This Row],[Class]]="A",WORKDAY(Main[[#This Row],[Tech Start Date]],2),""))))</f>
        <v/>
      </c>
      <c r="N428" s="77" t="str">
        <f>IF(Main[[#This Row],[Tech Start Date]]&lt;1/1/1990,"",IF(Main[[#This Row],[Class]]="C",WORKDAY(Main[[#This Row],[Tech Start Date]],19),IF(Main[[#This Row],[Class]]="B", WORKDAY(Main[[#This Row],[Tech Start Date]],12),IF(Main[[#This Row],[Class]]="A",WORKDAY(Main[[#This Row],[Tech Start Date]],4),""))))</f>
        <v/>
      </c>
      <c r="O428" s="77" t="str">
        <f>IF(Main[[#This Row],[Tech Start Date]]&lt;1/1/1990,"",IF(Main[[#This Row],[Class]]="C",WORKDAY(Main[[#This Row],[Tech Start Date]],23),IF(Main[[#This Row],[Class]]="B", WORKDAY(Main[[#This Row],[Tech Start Date]],15),IF(Main[[#This Row],[Class]]="A",WORKDAY(Main[[#This Row],[Tech Start Date]],5),""))))</f>
        <v/>
      </c>
      <c r="P428" s="77" t="str">
        <f>IF(Main[[#This Row],[Tech Start Date]]&lt;1/1/1990,"",IF(Main[[#This Row],[Class]]="C",WORKDAY(Main[[#This Row],[Tech Start Date]],28),IF(Main[[#This Row],[Class]]="B", WORKDAY(Main[[#This Row],[Tech Start Date]],19),IF(Main[[#This Row],[Class]]="A",WORKDAY(Main[[#This Row],[Tech Start Date]],9),""))))</f>
        <v/>
      </c>
      <c r="Q428" s="74">
        <v>40262</v>
      </c>
      <c r="R428" s="74">
        <v>40793</v>
      </c>
      <c r="S428" s="72" t="s">
        <v>17</v>
      </c>
      <c r="T428" s="80" t="s">
        <v>4</v>
      </c>
      <c r="U428" s="72" t="s">
        <v>29</v>
      </c>
      <c r="V428" s="72" t="s">
        <v>1940</v>
      </c>
      <c r="W428" s="72" t="s">
        <v>1942</v>
      </c>
      <c r="X428" s="72" t="s">
        <v>311</v>
      </c>
      <c r="Y428" s="72" t="s">
        <v>4</v>
      </c>
      <c r="Z428" s="72" t="s">
        <v>4</v>
      </c>
    </row>
    <row r="429" spans="1:26" ht="18.600000000000001" customHeight="1">
      <c r="A429" s="142" t="str">
        <f>IF(priority(Main[[#This Row],[Comments]])&lt;&gt;0, priority(Main[[#This Row],[Comments]]),"")</f>
        <v/>
      </c>
      <c r="B429" s="90" t="s">
        <v>2103</v>
      </c>
      <c r="C429" s="72" t="s">
        <v>4</v>
      </c>
      <c r="D429" s="73" t="s">
        <v>2093</v>
      </c>
      <c r="E429" s="74"/>
      <c r="F429" s="74"/>
      <c r="G429" s="75" t="str">
        <f>IF(stdProdLT(Main[[#This Row],[Comments]])=0.1,"N/A",IF(stdProdLT(Main[[#This Row],[Comments]])=0,"",stdProdLT(Main[[#This Row],[Comments]])))</f>
        <v/>
      </c>
      <c r="H429" s="76" t="str">
        <f>IF(AND(Main[[#This Row],[In Stock Date]]&lt;&gt;"",Main[[#This Row],[Revised Due Date]]&lt;&gt;""),Main[[#This Row],[In Stock Date]]-Main[[#This Row],[Revised Due Date]],"")</f>
        <v/>
      </c>
      <c r="I429" s="72" t="s">
        <v>4</v>
      </c>
      <c r="J429" s="72" t="s">
        <v>4</v>
      </c>
      <c r="K429" s="72" t="s">
        <v>4</v>
      </c>
      <c r="L429" s="74"/>
      <c r="M429" s="77" t="str">
        <f>IF(Main[[#This Row],[Tech Start Date]]&lt;1/1/1990,"",IF(Main[[#This Row],[Class]]="C",WORKDAY(Main[[#This Row],[Tech Start Date]],9),IF(Main[[#This Row],[Class]]="B", WORKDAY(Main[[#This Row],[Tech Start Date]],6),IF(Main[[#This Row],[Class]]="A",WORKDAY(Main[[#This Row],[Tech Start Date]],2),""))))</f>
        <v/>
      </c>
      <c r="N429" s="77" t="str">
        <f>IF(Main[[#This Row],[Tech Start Date]]&lt;1/1/1990,"",IF(Main[[#This Row],[Class]]="C",WORKDAY(Main[[#This Row],[Tech Start Date]],19),IF(Main[[#This Row],[Class]]="B", WORKDAY(Main[[#This Row],[Tech Start Date]],12),IF(Main[[#This Row],[Class]]="A",WORKDAY(Main[[#This Row],[Tech Start Date]],4),""))))</f>
        <v/>
      </c>
      <c r="O429" s="77" t="str">
        <f>IF(Main[[#This Row],[Tech Start Date]]&lt;1/1/1990,"",IF(Main[[#This Row],[Class]]="C",WORKDAY(Main[[#This Row],[Tech Start Date]],23),IF(Main[[#This Row],[Class]]="B", WORKDAY(Main[[#This Row],[Tech Start Date]],15),IF(Main[[#This Row],[Class]]="A",WORKDAY(Main[[#This Row],[Tech Start Date]],5),""))))</f>
        <v/>
      </c>
      <c r="P429" s="77" t="str">
        <f>IF(Main[[#This Row],[Tech Start Date]]&lt;1/1/1990,"",IF(Main[[#This Row],[Class]]="C",WORKDAY(Main[[#This Row],[Tech Start Date]],28),IF(Main[[#This Row],[Class]]="B", WORKDAY(Main[[#This Row],[Tech Start Date]],19),IF(Main[[#This Row],[Class]]="A",WORKDAY(Main[[#This Row],[Tech Start Date]],9),""))))</f>
        <v/>
      </c>
      <c r="Q429" s="74">
        <v>40798</v>
      </c>
      <c r="R429" s="74"/>
      <c r="S429" s="72" t="s">
        <v>6</v>
      </c>
      <c r="T429" s="80" t="s">
        <v>4</v>
      </c>
      <c r="U429" s="72" t="s">
        <v>12</v>
      </c>
      <c r="V429" s="72" t="s">
        <v>1940</v>
      </c>
      <c r="W429" s="72" t="s">
        <v>4</v>
      </c>
      <c r="X429" s="72" t="s">
        <v>2971</v>
      </c>
      <c r="Y429" s="72" t="s">
        <v>3090</v>
      </c>
      <c r="Z429" s="72" t="s">
        <v>4</v>
      </c>
    </row>
    <row r="430" spans="1:26" ht="18.600000000000001" customHeight="1">
      <c r="A430" s="142" t="str">
        <f>IF(priority(Main[[#This Row],[Comments]])&lt;&gt;0, priority(Main[[#This Row],[Comments]]),"")</f>
        <v/>
      </c>
      <c r="B430" s="90" t="s">
        <v>1235</v>
      </c>
      <c r="C430" s="72" t="s">
        <v>291</v>
      </c>
      <c r="D430" s="73" t="s">
        <v>292</v>
      </c>
      <c r="E430" s="74"/>
      <c r="F430" s="74">
        <v>40421</v>
      </c>
      <c r="G430" s="75" t="str">
        <f>IF(stdProdLT(Main[[#This Row],[Comments]])=0.1,"N/A",IF(stdProdLT(Main[[#This Row],[Comments]])=0,"",stdProdLT(Main[[#This Row],[Comments]])))</f>
        <v/>
      </c>
      <c r="H430" s="76" t="str">
        <f>IF(AND(Main[[#This Row],[In Stock Date]]&lt;&gt;"",Main[[#This Row],[Revised Due Date]]&lt;&gt;""),Main[[#This Row],[In Stock Date]]-Main[[#This Row],[Revised Due Date]],"")</f>
        <v/>
      </c>
      <c r="I430" s="72" t="s">
        <v>4</v>
      </c>
      <c r="J430" s="72" t="s">
        <v>4</v>
      </c>
      <c r="K430" s="72" t="s">
        <v>4</v>
      </c>
      <c r="L430" s="74"/>
      <c r="M430" s="77" t="str">
        <f>IF(Main[[#This Row],[Tech Start Date]]&lt;1/1/1990,"",IF(Main[[#This Row],[Class]]="C",WORKDAY(Main[[#This Row],[Tech Start Date]],9),IF(Main[[#This Row],[Class]]="B", WORKDAY(Main[[#This Row],[Tech Start Date]],6),IF(Main[[#This Row],[Class]]="A",WORKDAY(Main[[#This Row],[Tech Start Date]],2),""))))</f>
        <v/>
      </c>
      <c r="N430" s="77" t="str">
        <f>IF(Main[[#This Row],[Tech Start Date]]&lt;1/1/1990,"",IF(Main[[#This Row],[Class]]="C",WORKDAY(Main[[#This Row],[Tech Start Date]],19),IF(Main[[#This Row],[Class]]="B", WORKDAY(Main[[#This Row],[Tech Start Date]],12),IF(Main[[#This Row],[Class]]="A",WORKDAY(Main[[#This Row],[Tech Start Date]],4),""))))</f>
        <v/>
      </c>
      <c r="O430" s="77" t="str">
        <f>IF(Main[[#This Row],[Tech Start Date]]&lt;1/1/1990,"",IF(Main[[#This Row],[Class]]="C",WORKDAY(Main[[#This Row],[Tech Start Date]],23),IF(Main[[#This Row],[Class]]="B", WORKDAY(Main[[#This Row],[Tech Start Date]],15),IF(Main[[#This Row],[Class]]="A",WORKDAY(Main[[#This Row],[Tech Start Date]],5),""))))</f>
        <v/>
      </c>
      <c r="P430" s="77" t="str">
        <f>IF(Main[[#This Row],[Tech Start Date]]&lt;1/1/1990,"",IF(Main[[#This Row],[Class]]="C",WORKDAY(Main[[#This Row],[Tech Start Date]],28),IF(Main[[#This Row],[Class]]="B", WORKDAY(Main[[#This Row],[Tech Start Date]],19),IF(Main[[#This Row],[Class]]="A",WORKDAY(Main[[#This Row],[Tech Start Date]],9),""))))</f>
        <v/>
      </c>
      <c r="Q430" s="74">
        <v>40360</v>
      </c>
      <c r="R430" s="74"/>
      <c r="S430" s="72" t="s">
        <v>11</v>
      </c>
      <c r="T430" s="80" t="s">
        <v>4</v>
      </c>
      <c r="U430" s="72" t="s">
        <v>12</v>
      </c>
      <c r="V430" s="72" t="s">
        <v>1938</v>
      </c>
      <c r="W430" s="72" t="s">
        <v>1942</v>
      </c>
      <c r="X430" s="72" t="s">
        <v>3026</v>
      </c>
      <c r="Y430" s="72" t="s">
        <v>3177</v>
      </c>
      <c r="Z430" s="72" t="s">
        <v>4</v>
      </c>
    </row>
    <row r="431" spans="1:26" ht="18.600000000000001" customHeight="1">
      <c r="A431" s="142" t="str">
        <f>IF(priority(Main[[#This Row],[Comments]])&lt;&gt;0, priority(Main[[#This Row],[Comments]]),"")</f>
        <v/>
      </c>
      <c r="B431" s="90" t="s">
        <v>1443</v>
      </c>
      <c r="C431" s="72" t="s">
        <v>4</v>
      </c>
      <c r="D431" s="73" t="s">
        <v>1976</v>
      </c>
      <c r="E431" s="74"/>
      <c r="F431" s="74"/>
      <c r="G431" s="75" t="str">
        <f>IF(stdProdLT(Main[[#This Row],[Comments]])=0.1,"N/A",IF(stdProdLT(Main[[#This Row],[Comments]])=0,"",stdProdLT(Main[[#This Row],[Comments]])))</f>
        <v/>
      </c>
      <c r="H431" s="76" t="str">
        <f>IF(AND(Main[[#This Row],[In Stock Date]]&lt;&gt;"",Main[[#This Row],[Revised Due Date]]&lt;&gt;""),Main[[#This Row],[In Stock Date]]-Main[[#This Row],[Revised Due Date]],"")</f>
        <v/>
      </c>
      <c r="I431" s="72" t="s">
        <v>4</v>
      </c>
      <c r="J431" s="72" t="s">
        <v>4</v>
      </c>
      <c r="K431" s="72" t="s">
        <v>4</v>
      </c>
      <c r="L431" s="74"/>
      <c r="M431" s="77" t="str">
        <f>IF(Main[[#This Row],[Tech Start Date]]&lt;1/1/1990,"",IF(Main[[#This Row],[Class]]="C",WORKDAY(Main[[#This Row],[Tech Start Date]],9),IF(Main[[#This Row],[Class]]="B", WORKDAY(Main[[#This Row],[Tech Start Date]],6),IF(Main[[#This Row],[Class]]="A",WORKDAY(Main[[#This Row],[Tech Start Date]],2),""))))</f>
        <v/>
      </c>
      <c r="N431" s="77" t="str">
        <f>IF(Main[[#This Row],[Tech Start Date]]&lt;1/1/1990,"",IF(Main[[#This Row],[Class]]="C",WORKDAY(Main[[#This Row],[Tech Start Date]],19),IF(Main[[#This Row],[Class]]="B", WORKDAY(Main[[#This Row],[Tech Start Date]],12),IF(Main[[#This Row],[Class]]="A",WORKDAY(Main[[#This Row],[Tech Start Date]],4),""))))</f>
        <v/>
      </c>
      <c r="O431" s="77" t="str">
        <f>IF(Main[[#This Row],[Tech Start Date]]&lt;1/1/1990,"",IF(Main[[#This Row],[Class]]="C",WORKDAY(Main[[#This Row],[Tech Start Date]],23),IF(Main[[#This Row],[Class]]="B", WORKDAY(Main[[#This Row],[Tech Start Date]],15),IF(Main[[#This Row],[Class]]="A",WORKDAY(Main[[#This Row],[Tech Start Date]],5),""))))</f>
        <v/>
      </c>
      <c r="P431" s="77" t="str">
        <f>IF(Main[[#This Row],[Tech Start Date]]&lt;1/1/1990,"",IF(Main[[#This Row],[Class]]="C",WORKDAY(Main[[#This Row],[Tech Start Date]],28),IF(Main[[#This Row],[Class]]="B", WORKDAY(Main[[#This Row],[Tech Start Date]],19),IF(Main[[#This Row],[Class]]="A",WORKDAY(Main[[#This Row],[Tech Start Date]],9),""))))</f>
        <v/>
      </c>
      <c r="Q431" s="74"/>
      <c r="R431" s="74"/>
      <c r="S431" s="72" t="s">
        <v>6</v>
      </c>
      <c r="T431" s="80" t="s">
        <v>4</v>
      </c>
      <c r="U431" s="72" t="s">
        <v>14</v>
      </c>
      <c r="V431" s="72" t="s">
        <v>1938</v>
      </c>
      <c r="W431" s="72" t="s">
        <v>1939</v>
      </c>
      <c r="X431" s="72" t="s">
        <v>937</v>
      </c>
      <c r="Y431" s="72" t="s">
        <v>3178</v>
      </c>
      <c r="Z431" s="72" t="s">
        <v>4</v>
      </c>
    </row>
    <row r="432" spans="1:26" ht="18.600000000000001" customHeight="1">
      <c r="A432" s="142" t="str">
        <f>IF(priority(Main[[#This Row],[Comments]])&lt;&gt;0, priority(Main[[#This Row],[Comments]]),"")</f>
        <v/>
      </c>
      <c r="B432" s="90" t="s">
        <v>1147</v>
      </c>
      <c r="C432" s="72" t="s">
        <v>4</v>
      </c>
      <c r="D432" s="73" t="s">
        <v>2398</v>
      </c>
      <c r="E432" s="74">
        <v>40574.415509259263</v>
      </c>
      <c r="F432" s="74">
        <v>40613</v>
      </c>
      <c r="G432" s="75" t="str">
        <f>IF(stdProdLT(Main[[#This Row],[Comments]])=0.1,"N/A",IF(stdProdLT(Main[[#This Row],[Comments]])=0,"",stdProdLT(Main[[#This Row],[Comments]])))</f>
        <v/>
      </c>
      <c r="H432" s="76" t="str">
        <f>IF(AND(Main[[#This Row],[In Stock Date]]&lt;&gt;"",Main[[#This Row],[Revised Due Date]]&lt;&gt;""),Main[[#This Row],[In Stock Date]]-Main[[#This Row],[Revised Due Date]],"")</f>
        <v/>
      </c>
      <c r="I432" s="72" t="s">
        <v>927</v>
      </c>
      <c r="J432" s="72" t="s">
        <v>52</v>
      </c>
      <c r="K432" s="81" t="s">
        <v>1946</v>
      </c>
      <c r="L432" s="74"/>
      <c r="M432" s="77" t="str">
        <f>IF(Main[[#This Row],[Tech Start Date]]&lt;1/1/1990,"",IF(Main[[#This Row],[Class]]="C",WORKDAY(Main[[#This Row],[Tech Start Date]],9),IF(Main[[#This Row],[Class]]="B", WORKDAY(Main[[#This Row],[Tech Start Date]],6),IF(Main[[#This Row],[Class]]="A",WORKDAY(Main[[#This Row],[Tech Start Date]],2),""))))</f>
        <v/>
      </c>
      <c r="N432" s="77" t="str">
        <f>IF(Main[[#This Row],[Tech Start Date]]&lt;1/1/1990,"",IF(Main[[#This Row],[Class]]="C",WORKDAY(Main[[#This Row],[Tech Start Date]],19),IF(Main[[#This Row],[Class]]="B", WORKDAY(Main[[#This Row],[Tech Start Date]],12),IF(Main[[#This Row],[Class]]="A",WORKDAY(Main[[#This Row],[Tech Start Date]],4),""))))</f>
        <v/>
      </c>
      <c r="O432" s="77" t="str">
        <f>IF(Main[[#This Row],[Tech Start Date]]&lt;1/1/1990,"",IF(Main[[#This Row],[Class]]="C",WORKDAY(Main[[#This Row],[Tech Start Date]],23),IF(Main[[#This Row],[Class]]="B", WORKDAY(Main[[#This Row],[Tech Start Date]],15),IF(Main[[#This Row],[Class]]="A",WORKDAY(Main[[#This Row],[Tech Start Date]],5),""))))</f>
        <v/>
      </c>
      <c r="P432" s="77" t="str">
        <f>IF(Main[[#This Row],[Tech Start Date]]&lt;1/1/1990,"",IF(Main[[#This Row],[Class]]="C",WORKDAY(Main[[#This Row],[Tech Start Date]],28),IF(Main[[#This Row],[Class]]="B", WORKDAY(Main[[#This Row],[Tech Start Date]],19),IF(Main[[#This Row],[Class]]="A",WORKDAY(Main[[#This Row],[Tech Start Date]],9),""))))</f>
        <v/>
      </c>
      <c r="Q432" s="74">
        <v>40613</v>
      </c>
      <c r="R432" s="74"/>
      <c r="S432" s="72" t="s">
        <v>6</v>
      </c>
      <c r="T432" s="80" t="s">
        <v>4</v>
      </c>
      <c r="U432" s="72" t="s">
        <v>29</v>
      </c>
      <c r="V432" s="72" t="s">
        <v>1937</v>
      </c>
      <c r="W432" s="72" t="s">
        <v>1939</v>
      </c>
      <c r="X432" s="72" t="s">
        <v>2970</v>
      </c>
      <c r="Y432" s="72" t="s">
        <v>3087</v>
      </c>
      <c r="Z432" s="72" t="s">
        <v>129</v>
      </c>
    </row>
    <row r="433" spans="1:26" ht="18.600000000000001" customHeight="1">
      <c r="A433" s="142" t="str">
        <f>IF(priority(Main[[#This Row],[Comments]])&lt;&gt;0, priority(Main[[#This Row],[Comments]]),"")</f>
        <v/>
      </c>
      <c r="B433" s="90" t="s">
        <v>2322</v>
      </c>
      <c r="C433" s="72" t="s">
        <v>4</v>
      </c>
      <c r="D433" s="73" t="s">
        <v>2404</v>
      </c>
      <c r="E433" s="74">
        <v>40813.664259259262</v>
      </c>
      <c r="F433" s="74"/>
      <c r="G433" s="75" t="str">
        <f>IF(stdProdLT(Main[[#This Row],[Comments]])=0.1,"N/A",IF(stdProdLT(Main[[#This Row],[Comments]])=0,"",stdProdLT(Main[[#This Row],[Comments]])))</f>
        <v/>
      </c>
      <c r="H433" s="76" t="str">
        <f>IF(AND(Main[[#This Row],[In Stock Date]]&lt;&gt;"",Main[[#This Row],[Revised Due Date]]&lt;&gt;""),Main[[#This Row],[In Stock Date]]-Main[[#This Row],[Revised Due Date]],"")</f>
        <v/>
      </c>
      <c r="I433" s="72" t="s">
        <v>953</v>
      </c>
      <c r="J433" s="72" t="s">
        <v>4</v>
      </c>
      <c r="K433" s="81" t="s">
        <v>4</v>
      </c>
      <c r="L433" s="74"/>
      <c r="M433" s="77" t="str">
        <f>IF(Main[[#This Row],[Tech Start Date]]&lt;1/1/1990,"",IF(Main[[#This Row],[Class]]="C",WORKDAY(Main[[#This Row],[Tech Start Date]],9),IF(Main[[#This Row],[Class]]="B", WORKDAY(Main[[#This Row],[Tech Start Date]],6),IF(Main[[#This Row],[Class]]="A",WORKDAY(Main[[#This Row],[Tech Start Date]],2),""))))</f>
        <v/>
      </c>
      <c r="N433" s="77" t="str">
        <f>IF(Main[[#This Row],[Tech Start Date]]&lt;1/1/1990,"",IF(Main[[#This Row],[Class]]="C",WORKDAY(Main[[#This Row],[Tech Start Date]],19),IF(Main[[#This Row],[Class]]="B", WORKDAY(Main[[#This Row],[Tech Start Date]],12),IF(Main[[#This Row],[Class]]="A",WORKDAY(Main[[#This Row],[Tech Start Date]],4),""))))</f>
        <v/>
      </c>
      <c r="O433" s="77" t="str">
        <f>IF(Main[[#This Row],[Tech Start Date]]&lt;1/1/1990,"",IF(Main[[#This Row],[Class]]="C",WORKDAY(Main[[#This Row],[Tech Start Date]],23),IF(Main[[#This Row],[Class]]="B", WORKDAY(Main[[#This Row],[Tech Start Date]],15),IF(Main[[#This Row],[Class]]="A",WORKDAY(Main[[#This Row],[Tech Start Date]],5),""))))</f>
        <v/>
      </c>
      <c r="P433" s="77" t="str">
        <f>IF(Main[[#This Row],[Tech Start Date]]&lt;1/1/1990,"",IF(Main[[#This Row],[Class]]="C",WORKDAY(Main[[#This Row],[Tech Start Date]],28),IF(Main[[#This Row],[Class]]="B", WORKDAY(Main[[#This Row],[Tech Start Date]],19),IF(Main[[#This Row],[Class]]="A",WORKDAY(Main[[#This Row],[Tech Start Date]],9),""))))</f>
        <v/>
      </c>
      <c r="Q433" s="74"/>
      <c r="R433" s="74">
        <v>40840</v>
      </c>
      <c r="S433" s="72" t="s">
        <v>6</v>
      </c>
      <c r="T433" s="80" t="s">
        <v>4</v>
      </c>
      <c r="U433" s="72" t="s">
        <v>7</v>
      </c>
      <c r="V433" s="72" t="s">
        <v>1937</v>
      </c>
      <c r="W433" s="72" t="s">
        <v>1941</v>
      </c>
      <c r="X433" s="72" t="s">
        <v>311</v>
      </c>
      <c r="Y433" s="72" t="s">
        <v>4</v>
      </c>
      <c r="Z433" s="72" t="s">
        <v>4</v>
      </c>
    </row>
    <row r="434" spans="1:26" ht="18.600000000000001" customHeight="1">
      <c r="A434" s="142" t="str">
        <f>IF(priority(Main[[#This Row],[Comments]])&lt;&gt;0, priority(Main[[#This Row],[Comments]]),"")</f>
        <v/>
      </c>
      <c r="B434" s="90" t="s">
        <v>1283</v>
      </c>
      <c r="C434" s="72" t="s">
        <v>4</v>
      </c>
      <c r="D434" s="73" t="s">
        <v>339</v>
      </c>
      <c r="E434" s="74"/>
      <c r="F434" s="74"/>
      <c r="G434" s="75" t="str">
        <f>IF(stdProdLT(Main[[#This Row],[Comments]])=0.1,"N/A",IF(stdProdLT(Main[[#This Row],[Comments]])=0,"",stdProdLT(Main[[#This Row],[Comments]])))</f>
        <v/>
      </c>
      <c r="H434" s="76" t="str">
        <f>IF(AND(Main[[#This Row],[In Stock Date]]&lt;&gt;"",Main[[#This Row],[Revised Due Date]]&lt;&gt;""),Main[[#This Row],[In Stock Date]]-Main[[#This Row],[Revised Due Date]],"")</f>
        <v/>
      </c>
      <c r="I434" s="72" t="s">
        <v>4</v>
      </c>
      <c r="J434" s="72" t="s">
        <v>4</v>
      </c>
      <c r="K434" s="72" t="s">
        <v>4</v>
      </c>
      <c r="L434" s="74"/>
      <c r="M434" s="77" t="str">
        <f>IF(Main[[#This Row],[Tech Start Date]]&lt;1/1/1990,"",IF(Main[[#This Row],[Class]]="C",WORKDAY(Main[[#This Row],[Tech Start Date]],9),IF(Main[[#This Row],[Class]]="B", WORKDAY(Main[[#This Row],[Tech Start Date]],6),IF(Main[[#This Row],[Class]]="A",WORKDAY(Main[[#This Row],[Tech Start Date]],2),""))))</f>
        <v/>
      </c>
      <c r="N434" s="77" t="str">
        <f>IF(Main[[#This Row],[Tech Start Date]]&lt;1/1/1990,"",IF(Main[[#This Row],[Class]]="C",WORKDAY(Main[[#This Row],[Tech Start Date]],19),IF(Main[[#This Row],[Class]]="B", WORKDAY(Main[[#This Row],[Tech Start Date]],12),IF(Main[[#This Row],[Class]]="A",WORKDAY(Main[[#This Row],[Tech Start Date]],4),""))))</f>
        <v/>
      </c>
      <c r="O434" s="77" t="str">
        <f>IF(Main[[#This Row],[Tech Start Date]]&lt;1/1/1990,"",IF(Main[[#This Row],[Class]]="C",WORKDAY(Main[[#This Row],[Tech Start Date]],23),IF(Main[[#This Row],[Class]]="B", WORKDAY(Main[[#This Row],[Tech Start Date]],15),IF(Main[[#This Row],[Class]]="A",WORKDAY(Main[[#This Row],[Tech Start Date]],5),""))))</f>
        <v/>
      </c>
      <c r="P434" s="77" t="str">
        <f>IF(Main[[#This Row],[Tech Start Date]]&lt;1/1/1990,"",IF(Main[[#This Row],[Class]]="C",WORKDAY(Main[[#This Row],[Tech Start Date]],28),IF(Main[[#This Row],[Class]]="B", WORKDAY(Main[[#This Row],[Tech Start Date]],19),IF(Main[[#This Row],[Class]]="A",WORKDAY(Main[[#This Row],[Tech Start Date]],9),""))))</f>
        <v/>
      </c>
      <c r="Q434" s="74"/>
      <c r="R434" s="74"/>
      <c r="S434" s="72" t="s">
        <v>23</v>
      </c>
      <c r="T434" s="80" t="s">
        <v>4</v>
      </c>
      <c r="U434" s="72" t="s">
        <v>14</v>
      </c>
      <c r="V434" s="72" t="s">
        <v>1940</v>
      </c>
      <c r="W434" s="72" t="s">
        <v>1941</v>
      </c>
      <c r="X434" s="72" t="s">
        <v>404</v>
      </c>
      <c r="Y434" s="72" t="s">
        <v>4</v>
      </c>
      <c r="Z434" s="72" t="s">
        <v>4</v>
      </c>
    </row>
    <row r="435" spans="1:26" ht="18.600000000000001" customHeight="1">
      <c r="A435" s="142" t="str">
        <f>IF(priority(Main[[#This Row],[Comments]])&lt;&gt;0, priority(Main[[#This Row],[Comments]]),"")</f>
        <v/>
      </c>
      <c r="B435" s="90" t="s">
        <v>1284</v>
      </c>
      <c r="C435" s="72" t="s">
        <v>31</v>
      </c>
      <c r="D435" s="73" t="s">
        <v>340</v>
      </c>
      <c r="E435" s="74"/>
      <c r="F435" s="74"/>
      <c r="G435" s="75" t="str">
        <f>IF(stdProdLT(Main[[#This Row],[Comments]])=0.1,"N/A",IF(stdProdLT(Main[[#This Row],[Comments]])=0,"",stdProdLT(Main[[#This Row],[Comments]])))</f>
        <v/>
      </c>
      <c r="H435" s="76" t="str">
        <f>IF(AND(Main[[#This Row],[In Stock Date]]&lt;&gt;"",Main[[#This Row],[Revised Due Date]]&lt;&gt;""),Main[[#This Row],[In Stock Date]]-Main[[#This Row],[Revised Due Date]],"")</f>
        <v/>
      </c>
      <c r="I435" s="72" t="s">
        <v>4</v>
      </c>
      <c r="J435" s="72" t="s">
        <v>4</v>
      </c>
      <c r="K435" s="72" t="s">
        <v>4</v>
      </c>
      <c r="L435" s="74"/>
      <c r="M435" s="77" t="str">
        <f>IF(Main[[#This Row],[Tech Start Date]]&lt;1/1/1990,"",IF(Main[[#This Row],[Class]]="C",WORKDAY(Main[[#This Row],[Tech Start Date]],9),IF(Main[[#This Row],[Class]]="B", WORKDAY(Main[[#This Row],[Tech Start Date]],6),IF(Main[[#This Row],[Class]]="A",WORKDAY(Main[[#This Row],[Tech Start Date]],2),""))))</f>
        <v/>
      </c>
      <c r="N435" s="77" t="str">
        <f>IF(Main[[#This Row],[Tech Start Date]]&lt;1/1/1990,"",IF(Main[[#This Row],[Class]]="C",WORKDAY(Main[[#This Row],[Tech Start Date]],19),IF(Main[[#This Row],[Class]]="B", WORKDAY(Main[[#This Row],[Tech Start Date]],12),IF(Main[[#This Row],[Class]]="A",WORKDAY(Main[[#This Row],[Tech Start Date]],4),""))))</f>
        <v/>
      </c>
      <c r="O435" s="77" t="str">
        <f>IF(Main[[#This Row],[Tech Start Date]]&lt;1/1/1990,"",IF(Main[[#This Row],[Class]]="C",WORKDAY(Main[[#This Row],[Tech Start Date]],23),IF(Main[[#This Row],[Class]]="B", WORKDAY(Main[[#This Row],[Tech Start Date]],15),IF(Main[[#This Row],[Class]]="A",WORKDAY(Main[[#This Row],[Tech Start Date]],5),""))))</f>
        <v/>
      </c>
      <c r="P435" s="77" t="str">
        <f>IF(Main[[#This Row],[Tech Start Date]]&lt;1/1/1990,"",IF(Main[[#This Row],[Class]]="C",WORKDAY(Main[[#This Row],[Tech Start Date]],28),IF(Main[[#This Row],[Class]]="B", WORKDAY(Main[[#This Row],[Tech Start Date]],19),IF(Main[[#This Row],[Class]]="A",WORKDAY(Main[[#This Row],[Tech Start Date]],9),""))))</f>
        <v/>
      </c>
      <c r="Q435" s="74">
        <v>40318</v>
      </c>
      <c r="R435" s="74"/>
      <c r="S435" s="72" t="s">
        <v>11</v>
      </c>
      <c r="T435" s="80" t="s">
        <v>4</v>
      </c>
      <c r="U435" s="72" t="s">
        <v>14</v>
      </c>
      <c r="V435" s="72" t="s">
        <v>1940</v>
      </c>
      <c r="W435" s="72" t="s">
        <v>1939</v>
      </c>
      <c r="X435" s="72" t="s">
        <v>2982</v>
      </c>
      <c r="Y435" s="72" t="s">
        <v>4</v>
      </c>
      <c r="Z435" s="72" t="s">
        <v>4</v>
      </c>
    </row>
    <row r="436" spans="1:26" ht="18.600000000000001" customHeight="1">
      <c r="A436" s="142" t="str">
        <f>IF(priority(Main[[#This Row],[Comments]])&lt;&gt;0, priority(Main[[#This Row],[Comments]]),"")</f>
        <v/>
      </c>
      <c r="B436" s="90" t="s">
        <v>1285</v>
      </c>
      <c r="C436" s="72" t="s">
        <v>4</v>
      </c>
      <c r="D436" s="73" t="s">
        <v>341</v>
      </c>
      <c r="E436" s="74">
        <v>40542.302245370367</v>
      </c>
      <c r="F436" s="74"/>
      <c r="G436" s="75" t="str">
        <f>IF(stdProdLT(Main[[#This Row],[Comments]])=0.1,"N/A",IF(stdProdLT(Main[[#This Row],[Comments]])=0,"",stdProdLT(Main[[#This Row],[Comments]])))</f>
        <v/>
      </c>
      <c r="H436" s="76" t="str">
        <f>IF(AND(Main[[#This Row],[In Stock Date]]&lt;&gt;"",Main[[#This Row],[Revised Due Date]]&lt;&gt;""),Main[[#This Row],[In Stock Date]]-Main[[#This Row],[Revised Due Date]],"")</f>
        <v/>
      </c>
      <c r="I436" s="72" t="s">
        <v>4</v>
      </c>
      <c r="J436" s="72" t="s">
        <v>4</v>
      </c>
      <c r="K436" s="72" t="s">
        <v>1946</v>
      </c>
      <c r="L436" s="74"/>
      <c r="M436" s="77" t="str">
        <f>IF(Main[[#This Row],[Tech Start Date]]&lt;1/1/1990,"",IF(Main[[#This Row],[Class]]="C",WORKDAY(Main[[#This Row],[Tech Start Date]],9),IF(Main[[#This Row],[Class]]="B", WORKDAY(Main[[#This Row],[Tech Start Date]],6),IF(Main[[#This Row],[Class]]="A",WORKDAY(Main[[#This Row],[Tech Start Date]],2),""))))</f>
        <v/>
      </c>
      <c r="N436" s="77" t="str">
        <f>IF(Main[[#This Row],[Tech Start Date]]&lt;1/1/1990,"",IF(Main[[#This Row],[Class]]="C",WORKDAY(Main[[#This Row],[Tech Start Date]],19),IF(Main[[#This Row],[Class]]="B", WORKDAY(Main[[#This Row],[Tech Start Date]],12),IF(Main[[#This Row],[Class]]="A",WORKDAY(Main[[#This Row],[Tech Start Date]],4),""))))</f>
        <v/>
      </c>
      <c r="O436" s="77" t="str">
        <f>IF(Main[[#This Row],[Tech Start Date]]&lt;1/1/1990,"",IF(Main[[#This Row],[Class]]="C",WORKDAY(Main[[#This Row],[Tech Start Date]],23),IF(Main[[#This Row],[Class]]="B", WORKDAY(Main[[#This Row],[Tech Start Date]],15),IF(Main[[#This Row],[Class]]="A",WORKDAY(Main[[#This Row],[Tech Start Date]],5),""))))</f>
        <v/>
      </c>
      <c r="P436" s="77" t="str">
        <f>IF(Main[[#This Row],[Tech Start Date]]&lt;1/1/1990,"",IF(Main[[#This Row],[Class]]="C",WORKDAY(Main[[#This Row],[Tech Start Date]],28),IF(Main[[#This Row],[Class]]="B", WORKDAY(Main[[#This Row],[Tech Start Date]],19),IF(Main[[#This Row],[Class]]="A",WORKDAY(Main[[#This Row],[Tech Start Date]],9),""))))</f>
        <v/>
      </c>
      <c r="Q436" s="74"/>
      <c r="R436" s="74"/>
      <c r="S436" s="72" t="s">
        <v>6</v>
      </c>
      <c r="T436" s="80" t="s">
        <v>4</v>
      </c>
      <c r="U436" s="72" t="s">
        <v>29</v>
      </c>
      <c r="V436" s="72" t="s">
        <v>1937</v>
      </c>
      <c r="W436" s="72" t="s">
        <v>1941</v>
      </c>
      <c r="X436" s="72" t="s">
        <v>311</v>
      </c>
      <c r="Y436" s="72" t="s">
        <v>4</v>
      </c>
      <c r="Z436" s="72" t="s">
        <v>4</v>
      </c>
    </row>
    <row r="437" spans="1:26" ht="18.600000000000001" customHeight="1">
      <c r="A437" s="142" t="str">
        <f>IF(priority(Main[[#This Row],[Comments]])&lt;&gt;0, priority(Main[[#This Row],[Comments]]),"")</f>
        <v/>
      </c>
      <c r="B437" s="90" t="s">
        <v>1286</v>
      </c>
      <c r="C437" s="72" t="s">
        <v>93</v>
      </c>
      <c r="D437" s="73" t="s">
        <v>342</v>
      </c>
      <c r="E437" s="74"/>
      <c r="F437" s="74">
        <v>40132</v>
      </c>
      <c r="G437" s="75" t="str">
        <f>IF(stdProdLT(Main[[#This Row],[Comments]])=0.1,"N/A",IF(stdProdLT(Main[[#This Row],[Comments]])=0,"",stdProdLT(Main[[#This Row],[Comments]])))</f>
        <v/>
      </c>
      <c r="H437" s="76" t="str">
        <f>IF(AND(Main[[#This Row],[In Stock Date]]&lt;&gt;"",Main[[#This Row],[Revised Due Date]]&lt;&gt;""),Main[[#This Row],[In Stock Date]]-Main[[#This Row],[Revised Due Date]],"")</f>
        <v/>
      </c>
      <c r="I437" s="72" t="s">
        <v>4</v>
      </c>
      <c r="J437" s="72" t="s">
        <v>4</v>
      </c>
      <c r="K437" s="72" t="s">
        <v>4</v>
      </c>
      <c r="L437" s="74"/>
      <c r="M437" s="77" t="str">
        <f>IF(Main[[#This Row],[Tech Start Date]]&lt;1/1/1990,"",IF(Main[[#This Row],[Class]]="C",WORKDAY(Main[[#This Row],[Tech Start Date]],9),IF(Main[[#This Row],[Class]]="B", WORKDAY(Main[[#This Row],[Tech Start Date]],6),IF(Main[[#This Row],[Class]]="A",WORKDAY(Main[[#This Row],[Tech Start Date]],2),""))))</f>
        <v/>
      </c>
      <c r="N437" s="77" t="str">
        <f>IF(Main[[#This Row],[Tech Start Date]]&lt;1/1/1990,"",IF(Main[[#This Row],[Class]]="C",WORKDAY(Main[[#This Row],[Tech Start Date]],19),IF(Main[[#This Row],[Class]]="B", WORKDAY(Main[[#This Row],[Tech Start Date]],12),IF(Main[[#This Row],[Class]]="A",WORKDAY(Main[[#This Row],[Tech Start Date]],4),""))))</f>
        <v/>
      </c>
      <c r="O437" s="77" t="str">
        <f>IF(Main[[#This Row],[Tech Start Date]]&lt;1/1/1990,"",IF(Main[[#This Row],[Class]]="C",WORKDAY(Main[[#This Row],[Tech Start Date]],23),IF(Main[[#This Row],[Class]]="B", WORKDAY(Main[[#This Row],[Tech Start Date]],15),IF(Main[[#This Row],[Class]]="A",WORKDAY(Main[[#This Row],[Tech Start Date]],5),""))))</f>
        <v/>
      </c>
      <c r="P437" s="77" t="str">
        <f>IF(Main[[#This Row],[Tech Start Date]]&lt;1/1/1990,"",IF(Main[[#This Row],[Class]]="C",WORKDAY(Main[[#This Row],[Tech Start Date]],28),IF(Main[[#This Row],[Class]]="B", WORKDAY(Main[[#This Row],[Tech Start Date]],19),IF(Main[[#This Row],[Class]]="A",WORKDAY(Main[[#This Row],[Tech Start Date]],9),""))))</f>
        <v/>
      </c>
      <c r="Q437" s="74">
        <v>40132</v>
      </c>
      <c r="R437" s="74"/>
      <c r="S437" s="72" t="s">
        <v>11</v>
      </c>
      <c r="T437" s="80" t="s">
        <v>4</v>
      </c>
      <c r="U437" s="72" t="s">
        <v>14</v>
      </c>
      <c r="V437" s="72" t="s">
        <v>1947</v>
      </c>
      <c r="W437" s="72" t="s">
        <v>1943</v>
      </c>
      <c r="X437" s="72" t="s">
        <v>3008</v>
      </c>
      <c r="Y437" s="72" t="s">
        <v>4</v>
      </c>
      <c r="Z437" s="72" t="s">
        <v>4</v>
      </c>
    </row>
    <row r="438" spans="1:26" ht="18.600000000000001" customHeight="1">
      <c r="A438" s="142" t="str">
        <f>IF(priority(Main[[#This Row],[Comments]])&lt;&gt;0, priority(Main[[#This Row],[Comments]]),"")</f>
        <v/>
      </c>
      <c r="B438" s="90" t="s">
        <v>1287</v>
      </c>
      <c r="C438" s="72" t="s">
        <v>4</v>
      </c>
      <c r="D438" s="73" t="s">
        <v>343</v>
      </c>
      <c r="E438" s="74"/>
      <c r="F438" s="74"/>
      <c r="G438" s="75" t="str">
        <f>IF(stdProdLT(Main[[#This Row],[Comments]])=0.1,"N/A",IF(stdProdLT(Main[[#This Row],[Comments]])=0,"",stdProdLT(Main[[#This Row],[Comments]])))</f>
        <v/>
      </c>
      <c r="H438" s="76" t="str">
        <f>IF(AND(Main[[#This Row],[In Stock Date]]&lt;&gt;"",Main[[#This Row],[Revised Due Date]]&lt;&gt;""),Main[[#This Row],[In Stock Date]]-Main[[#This Row],[Revised Due Date]],"")</f>
        <v/>
      </c>
      <c r="I438" s="72" t="s">
        <v>4</v>
      </c>
      <c r="J438" s="72" t="s">
        <v>4</v>
      </c>
      <c r="K438" s="72" t="s">
        <v>4</v>
      </c>
      <c r="L438" s="74"/>
      <c r="M438" s="77" t="str">
        <f>IF(Main[[#This Row],[Tech Start Date]]&lt;1/1/1990,"",IF(Main[[#This Row],[Class]]="C",WORKDAY(Main[[#This Row],[Tech Start Date]],9),IF(Main[[#This Row],[Class]]="B", WORKDAY(Main[[#This Row],[Tech Start Date]],6),IF(Main[[#This Row],[Class]]="A",WORKDAY(Main[[#This Row],[Tech Start Date]],2),""))))</f>
        <v/>
      </c>
      <c r="N438" s="77" t="str">
        <f>IF(Main[[#This Row],[Tech Start Date]]&lt;1/1/1990,"",IF(Main[[#This Row],[Class]]="C",WORKDAY(Main[[#This Row],[Tech Start Date]],19),IF(Main[[#This Row],[Class]]="B", WORKDAY(Main[[#This Row],[Tech Start Date]],12),IF(Main[[#This Row],[Class]]="A",WORKDAY(Main[[#This Row],[Tech Start Date]],4),""))))</f>
        <v/>
      </c>
      <c r="O438" s="77" t="str">
        <f>IF(Main[[#This Row],[Tech Start Date]]&lt;1/1/1990,"",IF(Main[[#This Row],[Class]]="C",WORKDAY(Main[[#This Row],[Tech Start Date]],23),IF(Main[[#This Row],[Class]]="B", WORKDAY(Main[[#This Row],[Tech Start Date]],15),IF(Main[[#This Row],[Class]]="A",WORKDAY(Main[[#This Row],[Tech Start Date]],5),""))))</f>
        <v/>
      </c>
      <c r="P438" s="77" t="str">
        <f>IF(Main[[#This Row],[Tech Start Date]]&lt;1/1/1990,"",IF(Main[[#This Row],[Class]]="C",WORKDAY(Main[[#This Row],[Tech Start Date]],28),IF(Main[[#This Row],[Class]]="B", WORKDAY(Main[[#This Row],[Tech Start Date]],19),IF(Main[[#This Row],[Class]]="A",WORKDAY(Main[[#This Row],[Tech Start Date]],9),""))))</f>
        <v/>
      </c>
      <c r="Q438" s="74"/>
      <c r="R438" s="74"/>
      <c r="S438" s="72" t="s">
        <v>23</v>
      </c>
      <c r="T438" s="80" t="s">
        <v>4</v>
      </c>
      <c r="U438" s="72" t="s">
        <v>14</v>
      </c>
      <c r="V438" s="72" t="s">
        <v>1937</v>
      </c>
      <c r="W438" s="72" t="s">
        <v>1939</v>
      </c>
      <c r="X438" s="72" t="s">
        <v>102</v>
      </c>
      <c r="Y438" s="72" t="s">
        <v>4</v>
      </c>
      <c r="Z438" s="72" t="s">
        <v>4</v>
      </c>
    </row>
    <row r="439" spans="1:26" ht="18.600000000000001" customHeight="1">
      <c r="A439" s="142" t="str">
        <f>IF(priority(Main[[#This Row],[Comments]])&lt;&gt;0, priority(Main[[#This Row],[Comments]]),"")</f>
        <v/>
      </c>
      <c r="B439" s="90" t="s">
        <v>1288</v>
      </c>
      <c r="C439" s="72" t="s">
        <v>47</v>
      </c>
      <c r="D439" s="73" t="s">
        <v>344</v>
      </c>
      <c r="E439" s="74">
        <v>39937.597743055558</v>
      </c>
      <c r="F439" s="74"/>
      <c r="G439" s="75" t="str">
        <f>IF(stdProdLT(Main[[#This Row],[Comments]])=0.1,"N/A",IF(stdProdLT(Main[[#This Row],[Comments]])=0,"",stdProdLT(Main[[#This Row],[Comments]])))</f>
        <v/>
      </c>
      <c r="H439" s="76" t="str">
        <f>IF(AND(Main[[#This Row],[In Stock Date]]&lt;&gt;"",Main[[#This Row],[Revised Due Date]]&lt;&gt;""),Main[[#This Row],[In Stock Date]]-Main[[#This Row],[Revised Due Date]],"")</f>
        <v/>
      </c>
      <c r="I439" s="72" t="s">
        <v>4</v>
      </c>
      <c r="J439" s="72" t="s">
        <v>4</v>
      </c>
      <c r="K439" s="72" t="s">
        <v>4</v>
      </c>
      <c r="L439" s="74"/>
      <c r="M439" s="77" t="str">
        <f>IF(Main[[#This Row],[Tech Start Date]]&lt;1/1/1990,"",IF(Main[[#This Row],[Class]]="C",WORKDAY(Main[[#This Row],[Tech Start Date]],9),IF(Main[[#This Row],[Class]]="B", WORKDAY(Main[[#This Row],[Tech Start Date]],6),IF(Main[[#This Row],[Class]]="A",WORKDAY(Main[[#This Row],[Tech Start Date]],2),""))))</f>
        <v/>
      </c>
      <c r="N439" s="77" t="str">
        <f>IF(Main[[#This Row],[Tech Start Date]]&lt;1/1/1990,"",IF(Main[[#This Row],[Class]]="C",WORKDAY(Main[[#This Row],[Tech Start Date]],19),IF(Main[[#This Row],[Class]]="B", WORKDAY(Main[[#This Row],[Tech Start Date]],12),IF(Main[[#This Row],[Class]]="A",WORKDAY(Main[[#This Row],[Tech Start Date]],4),""))))</f>
        <v/>
      </c>
      <c r="O439" s="77" t="str">
        <f>IF(Main[[#This Row],[Tech Start Date]]&lt;1/1/1990,"",IF(Main[[#This Row],[Class]]="C",WORKDAY(Main[[#This Row],[Tech Start Date]],23),IF(Main[[#This Row],[Class]]="B", WORKDAY(Main[[#This Row],[Tech Start Date]],15),IF(Main[[#This Row],[Class]]="A",WORKDAY(Main[[#This Row],[Tech Start Date]],5),""))))</f>
        <v/>
      </c>
      <c r="P439" s="77" t="str">
        <f>IF(Main[[#This Row],[Tech Start Date]]&lt;1/1/1990,"",IF(Main[[#This Row],[Class]]="C",WORKDAY(Main[[#This Row],[Tech Start Date]],28),IF(Main[[#This Row],[Class]]="B", WORKDAY(Main[[#This Row],[Tech Start Date]],19),IF(Main[[#This Row],[Class]]="A",WORKDAY(Main[[#This Row],[Tech Start Date]],9),""))))</f>
        <v/>
      </c>
      <c r="Q439" s="74"/>
      <c r="R439" s="74"/>
      <c r="S439" s="72" t="s">
        <v>17</v>
      </c>
      <c r="T439" s="80" t="s">
        <v>4</v>
      </c>
      <c r="U439" s="72" t="s">
        <v>7</v>
      </c>
      <c r="V439" s="72" t="s">
        <v>1940</v>
      </c>
      <c r="W439" s="72" t="s">
        <v>4</v>
      </c>
      <c r="X439" s="72" t="s">
        <v>2979</v>
      </c>
      <c r="Y439" s="72" t="s">
        <v>3106</v>
      </c>
      <c r="Z439" s="72" t="s">
        <v>4</v>
      </c>
    </row>
    <row r="440" spans="1:26" ht="18.600000000000001" customHeight="1">
      <c r="A440" s="142" t="str">
        <f>IF(priority(Main[[#This Row],[Comments]])&lt;&gt;0, priority(Main[[#This Row],[Comments]]),"")</f>
        <v/>
      </c>
      <c r="B440" s="90" t="s">
        <v>1289</v>
      </c>
      <c r="C440" s="72" t="s">
        <v>95</v>
      </c>
      <c r="D440" s="73" t="s">
        <v>345</v>
      </c>
      <c r="E440" s="74"/>
      <c r="F440" s="74">
        <v>40195</v>
      </c>
      <c r="G440" s="75" t="str">
        <f>IF(stdProdLT(Main[[#This Row],[Comments]])=0.1,"N/A",IF(stdProdLT(Main[[#This Row],[Comments]])=0,"",stdProdLT(Main[[#This Row],[Comments]])))</f>
        <v/>
      </c>
      <c r="H440" s="76" t="str">
        <f>IF(AND(Main[[#This Row],[In Stock Date]]&lt;&gt;"",Main[[#This Row],[Revised Due Date]]&lt;&gt;""),Main[[#This Row],[In Stock Date]]-Main[[#This Row],[Revised Due Date]],"")</f>
        <v/>
      </c>
      <c r="I440" s="72" t="s">
        <v>4</v>
      </c>
      <c r="J440" s="72" t="s">
        <v>4</v>
      </c>
      <c r="K440" s="72" t="s">
        <v>4</v>
      </c>
      <c r="L440" s="74"/>
      <c r="M440" s="77" t="str">
        <f>IF(Main[[#This Row],[Tech Start Date]]&lt;1/1/1990,"",IF(Main[[#This Row],[Class]]="C",WORKDAY(Main[[#This Row],[Tech Start Date]],9),IF(Main[[#This Row],[Class]]="B", WORKDAY(Main[[#This Row],[Tech Start Date]],6),IF(Main[[#This Row],[Class]]="A",WORKDAY(Main[[#This Row],[Tech Start Date]],2),""))))</f>
        <v/>
      </c>
      <c r="N440" s="77" t="str">
        <f>IF(Main[[#This Row],[Tech Start Date]]&lt;1/1/1990,"",IF(Main[[#This Row],[Class]]="C",WORKDAY(Main[[#This Row],[Tech Start Date]],19),IF(Main[[#This Row],[Class]]="B", WORKDAY(Main[[#This Row],[Tech Start Date]],12),IF(Main[[#This Row],[Class]]="A",WORKDAY(Main[[#This Row],[Tech Start Date]],4),""))))</f>
        <v/>
      </c>
      <c r="O440" s="77" t="str">
        <f>IF(Main[[#This Row],[Tech Start Date]]&lt;1/1/1990,"",IF(Main[[#This Row],[Class]]="C",WORKDAY(Main[[#This Row],[Tech Start Date]],23),IF(Main[[#This Row],[Class]]="B", WORKDAY(Main[[#This Row],[Tech Start Date]],15),IF(Main[[#This Row],[Class]]="A",WORKDAY(Main[[#This Row],[Tech Start Date]],5),""))))</f>
        <v/>
      </c>
      <c r="P440" s="77" t="str">
        <f>IF(Main[[#This Row],[Tech Start Date]]&lt;1/1/1990,"",IF(Main[[#This Row],[Class]]="C",WORKDAY(Main[[#This Row],[Tech Start Date]],28),IF(Main[[#This Row],[Class]]="B", WORKDAY(Main[[#This Row],[Tech Start Date]],19),IF(Main[[#This Row],[Class]]="A",WORKDAY(Main[[#This Row],[Tech Start Date]],9),""))))</f>
        <v/>
      </c>
      <c r="Q440" s="74">
        <v>40070</v>
      </c>
      <c r="R440" s="74"/>
      <c r="S440" s="72" t="s">
        <v>11</v>
      </c>
      <c r="T440" s="80" t="s">
        <v>4</v>
      </c>
      <c r="U440" s="72" t="s">
        <v>14</v>
      </c>
      <c r="V440" s="72" t="s">
        <v>1940</v>
      </c>
      <c r="W440" s="72" t="s">
        <v>1943</v>
      </c>
      <c r="X440" s="72" t="s">
        <v>3028</v>
      </c>
      <c r="Y440" s="72" t="s">
        <v>4</v>
      </c>
      <c r="Z440" s="72" t="s">
        <v>4</v>
      </c>
    </row>
    <row r="441" spans="1:26" ht="18.600000000000001" customHeight="1">
      <c r="A441" s="142" t="str">
        <f>IF(priority(Main[[#This Row],[Comments]])&lt;&gt;0, priority(Main[[#This Row],[Comments]]),"")</f>
        <v/>
      </c>
      <c r="B441" s="90" t="s">
        <v>1309</v>
      </c>
      <c r="C441" s="72" t="s">
        <v>4</v>
      </c>
      <c r="D441" s="73" t="s">
        <v>347</v>
      </c>
      <c r="E441" s="74">
        <v>40704.346435185187</v>
      </c>
      <c r="F441" s="74"/>
      <c r="G441" s="75" t="str">
        <f>IF(stdProdLT(Main[[#This Row],[Comments]])=0.1,"N/A",IF(stdProdLT(Main[[#This Row],[Comments]])=0,"",stdProdLT(Main[[#This Row],[Comments]])))</f>
        <v/>
      </c>
      <c r="H441" s="76" t="str">
        <f>IF(AND(Main[[#This Row],[In Stock Date]]&lt;&gt;"",Main[[#This Row],[Revised Due Date]]&lt;&gt;""),Main[[#This Row],[In Stock Date]]-Main[[#This Row],[Revised Due Date]],"")</f>
        <v/>
      </c>
      <c r="I441" s="72" t="s">
        <v>937</v>
      </c>
      <c r="J441" s="72" t="s">
        <v>28</v>
      </c>
      <c r="K441" s="81" t="s">
        <v>4</v>
      </c>
      <c r="L441" s="74"/>
      <c r="M441" s="77" t="str">
        <f>IF(Main[[#This Row],[Tech Start Date]]&lt;1/1/1990,"",IF(Main[[#This Row],[Class]]="C",WORKDAY(Main[[#This Row],[Tech Start Date]],9),IF(Main[[#This Row],[Class]]="B", WORKDAY(Main[[#This Row],[Tech Start Date]],6),IF(Main[[#This Row],[Class]]="A",WORKDAY(Main[[#This Row],[Tech Start Date]],2),""))))</f>
        <v/>
      </c>
      <c r="N441" s="77" t="str">
        <f>IF(Main[[#This Row],[Tech Start Date]]&lt;1/1/1990,"",IF(Main[[#This Row],[Class]]="C",WORKDAY(Main[[#This Row],[Tech Start Date]],19),IF(Main[[#This Row],[Class]]="B", WORKDAY(Main[[#This Row],[Tech Start Date]],12),IF(Main[[#This Row],[Class]]="A",WORKDAY(Main[[#This Row],[Tech Start Date]],4),""))))</f>
        <v/>
      </c>
      <c r="O441" s="77" t="str">
        <f>IF(Main[[#This Row],[Tech Start Date]]&lt;1/1/1990,"",IF(Main[[#This Row],[Class]]="C",WORKDAY(Main[[#This Row],[Tech Start Date]],23),IF(Main[[#This Row],[Class]]="B", WORKDAY(Main[[#This Row],[Tech Start Date]],15),IF(Main[[#This Row],[Class]]="A",WORKDAY(Main[[#This Row],[Tech Start Date]],5),""))))</f>
        <v/>
      </c>
      <c r="P441" s="77" t="str">
        <f>IF(Main[[#This Row],[Tech Start Date]]&lt;1/1/1990,"",IF(Main[[#This Row],[Class]]="C",WORKDAY(Main[[#This Row],[Tech Start Date]],28),IF(Main[[#This Row],[Class]]="B", WORKDAY(Main[[#This Row],[Tech Start Date]],19),IF(Main[[#This Row],[Class]]="A",WORKDAY(Main[[#This Row],[Tech Start Date]],9),""))))</f>
        <v/>
      </c>
      <c r="Q441" s="74"/>
      <c r="R441" s="74">
        <v>40908</v>
      </c>
      <c r="S441" s="72" t="s">
        <v>49</v>
      </c>
      <c r="T441" s="80" t="s">
        <v>4</v>
      </c>
      <c r="U441" s="72" t="s">
        <v>7</v>
      </c>
      <c r="V441" s="72" t="s">
        <v>1952</v>
      </c>
      <c r="W441" s="72" t="s">
        <v>1939</v>
      </c>
      <c r="X441" s="72" t="s">
        <v>937</v>
      </c>
      <c r="Y441" s="72" t="s">
        <v>3140</v>
      </c>
      <c r="Z441" s="72" t="s">
        <v>2242</v>
      </c>
    </row>
    <row r="442" spans="1:26" ht="18.600000000000001" customHeight="1">
      <c r="A442" s="142" t="str">
        <f>IF(priority(Main[[#This Row],[Comments]])&lt;&gt;0, priority(Main[[#This Row],[Comments]]),"")</f>
        <v/>
      </c>
      <c r="B442" s="90" t="s">
        <v>1310</v>
      </c>
      <c r="C442" s="72" t="s">
        <v>72</v>
      </c>
      <c r="D442" s="73" t="s">
        <v>348</v>
      </c>
      <c r="E442" s="74"/>
      <c r="F442" s="74">
        <v>40106</v>
      </c>
      <c r="G442" s="75" t="str">
        <f>IF(stdProdLT(Main[[#This Row],[Comments]])=0.1,"N/A",IF(stdProdLT(Main[[#This Row],[Comments]])=0,"",stdProdLT(Main[[#This Row],[Comments]])))</f>
        <v/>
      </c>
      <c r="H442" s="76" t="str">
        <f>IF(AND(Main[[#This Row],[In Stock Date]]&lt;&gt;"",Main[[#This Row],[Revised Due Date]]&lt;&gt;""),Main[[#This Row],[In Stock Date]]-Main[[#This Row],[Revised Due Date]],"")</f>
        <v/>
      </c>
      <c r="I442" s="72" t="s">
        <v>4</v>
      </c>
      <c r="J442" s="72" t="s">
        <v>4</v>
      </c>
      <c r="K442" s="72" t="s">
        <v>4</v>
      </c>
      <c r="L442" s="74"/>
      <c r="M442" s="77" t="str">
        <f>IF(Main[[#This Row],[Tech Start Date]]&lt;1/1/1990,"",IF(Main[[#This Row],[Class]]="C",WORKDAY(Main[[#This Row],[Tech Start Date]],9),IF(Main[[#This Row],[Class]]="B", WORKDAY(Main[[#This Row],[Tech Start Date]],6),IF(Main[[#This Row],[Class]]="A",WORKDAY(Main[[#This Row],[Tech Start Date]],2),""))))</f>
        <v/>
      </c>
      <c r="N442" s="77" t="str">
        <f>IF(Main[[#This Row],[Tech Start Date]]&lt;1/1/1990,"",IF(Main[[#This Row],[Class]]="C",WORKDAY(Main[[#This Row],[Tech Start Date]],19),IF(Main[[#This Row],[Class]]="B", WORKDAY(Main[[#This Row],[Tech Start Date]],12),IF(Main[[#This Row],[Class]]="A",WORKDAY(Main[[#This Row],[Tech Start Date]],4),""))))</f>
        <v/>
      </c>
      <c r="O442" s="77" t="str">
        <f>IF(Main[[#This Row],[Tech Start Date]]&lt;1/1/1990,"",IF(Main[[#This Row],[Class]]="C",WORKDAY(Main[[#This Row],[Tech Start Date]],23),IF(Main[[#This Row],[Class]]="B", WORKDAY(Main[[#This Row],[Tech Start Date]],15),IF(Main[[#This Row],[Class]]="A",WORKDAY(Main[[#This Row],[Tech Start Date]],5),""))))</f>
        <v/>
      </c>
      <c r="P442" s="77" t="str">
        <f>IF(Main[[#This Row],[Tech Start Date]]&lt;1/1/1990,"",IF(Main[[#This Row],[Class]]="C",WORKDAY(Main[[#This Row],[Tech Start Date]],28),IF(Main[[#This Row],[Class]]="B", WORKDAY(Main[[#This Row],[Tech Start Date]],19),IF(Main[[#This Row],[Class]]="A",WORKDAY(Main[[#This Row],[Tech Start Date]],9),""))))</f>
        <v/>
      </c>
      <c r="Q442" s="74">
        <v>39986</v>
      </c>
      <c r="R442" s="74"/>
      <c r="S442" s="72" t="s">
        <v>11</v>
      </c>
      <c r="T442" s="80" t="s">
        <v>4</v>
      </c>
      <c r="U442" s="72" t="s">
        <v>14</v>
      </c>
      <c r="V442" s="72" t="s">
        <v>1938</v>
      </c>
      <c r="W442" s="72" t="s">
        <v>1942</v>
      </c>
      <c r="X442" s="72" t="s">
        <v>2976</v>
      </c>
      <c r="Y442" s="72" t="s">
        <v>3101</v>
      </c>
      <c r="Z442" s="72" t="s">
        <v>4</v>
      </c>
    </row>
    <row r="443" spans="1:26" ht="18.600000000000001" customHeight="1">
      <c r="A443" s="142" t="str">
        <f>IF(priority(Main[[#This Row],[Comments]])&lt;&gt;0, priority(Main[[#This Row],[Comments]]),"")</f>
        <v/>
      </c>
      <c r="B443" s="90" t="s">
        <v>1311</v>
      </c>
      <c r="C443" s="72" t="s">
        <v>4</v>
      </c>
      <c r="D443" s="73" t="s">
        <v>349</v>
      </c>
      <c r="E443" s="74"/>
      <c r="F443" s="74"/>
      <c r="G443" s="75" t="str">
        <f>IF(stdProdLT(Main[[#This Row],[Comments]])=0.1,"N/A",IF(stdProdLT(Main[[#This Row],[Comments]])=0,"",stdProdLT(Main[[#This Row],[Comments]])))</f>
        <v/>
      </c>
      <c r="H443" s="76" t="str">
        <f>IF(AND(Main[[#This Row],[In Stock Date]]&lt;&gt;"",Main[[#This Row],[Revised Due Date]]&lt;&gt;""),Main[[#This Row],[In Stock Date]]-Main[[#This Row],[Revised Due Date]],"")</f>
        <v/>
      </c>
      <c r="I443" s="72" t="s">
        <v>4</v>
      </c>
      <c r="J443" s="72" t="s">
        <v>4</v>
      </c>
      <c r="K443" s="72" t="s">
        <v>4</v>
      </c>
      <c r="L443" s="74"/>
      <c r="M443" s="77" t="str">
        <f>IF(Main[[#This Row],[Tech Start Date]]&lt;1/1/1990,"",IF(Main[[#This Row],[Class]]="C",WORKDAY(Main[[#This Row],[Tech Start Date]],9),IF(Main[[#This Row],[Class]]="B", WORKDAY(Main[[#This Row],[Tech Start Date]],6),IF(Main[[#This Row],[Class]]="A",WORKDAY(Main[[#This Row],[Tech Start Date]],2),""))))</f>
        <v/>
      </c>
      <c r="N443" s="77" t="str">
        <f>IF(Main[[#This Row],[Tech Start Date]]&lt;1/1/1990,"",IF(Main[[#This Row],[Class]]="C",WORKDAY(Main[[#This Row],[Tech Start Date]],19),IF(Main[[#This Row],[Class]]="B", WORKDAY(Main[[#This Row],[Tech Start Date]],12),IF(Main[[#This Row],[Class]]="A",WORKDAY(Main[[#This Row],[Tech Start Date]],4),""))))</f>
        <v/>
      </c>
      <c r="O443" s="77" t="str">
        <f>IF(Main[[#This Row],[Tech Start Date]]&lt;1/1/1990,"",IF(Main[[#This Row],[Class]]="C",WORKDAY(Main[[#This Row],[Tech Start Date]],23),IF(Main[[#This Row],[Class]]="B", WORKDAY(Main[[#This Row],[Tech Start Date]],15),IF(Main[[#This Row],[Class]]="A",WORKDAY(Main[[#This Row],[Tech Start Date]],5),""))))</f>
        <v/>
      </c>
      <c r="P443" s="77" t="str">
        <f>IF(Main[[#This Row],[Tech Start Date]]&lt;1/1/1990,"",IF(Main[[#This Row],[Class]]="C",WORKDAY(Main[[#This Row],[Tech Start Date]],28),IF(Main[[#This Row],[Class]]="B", WORKDAY(Main[[#This Row],[Tech Start Date]],19),IF(Main[[#This Row],[Class]]="A",WORKDAY(Main[[#This Row],[Tech Start Date]],9),""))))</f>
        <v/>
      </c>
      <c r="Q443" s="74"/>
      <c r="R443" s="74"/>
      <c r="S443" s="72" t="s">
        <v>6</v>
      </c>
      <c r="T443" s="80" t="s">
        <v>4</v>
      </c>
      <c r="U443" s="72" t="s">
        <v>12</v>
      </c>
      <c r="V443" s="72" t="s">
        <v>1937</v>
      </c>
      <c r="W443" s="72" t="s">
        <v>1941</v>
      </c>
      <c r="X443" s="72" t="s">
        <v>719</v>
      </c>
      <c r="Y443" s="72" t="s">
        <v>3180</v>
      </c>
      <c r="Z443" s="72" t="s">
        <v>4</v>
      </c>
    </row>
    <row r="444" spans="1:26" ht="18.600000000000001" customHeight="1">
      <c r="A444" s="142" t="str">
        <f>IF(priority(Main[[#This Row],[Comments]])&lt;&gt;0, priority(Main[[#This Row],[Comments]]),"")</f>
        <v/>
      </c>
      <c r="B444" s="90" t="s">
        <v>1290</v>
      </c>
      <c r="C444" s="72" t="s">
        <v>79</v>
      </c>
      <c r="D444" s="73" t="s">
        <v>350</v>
      </c>
      <c r="E444" s="74">
        <v>40072.642395833333</v>
      </c>
      <c r="F444" s="74">
        <v>40116</v>
      </c>
      <c r="G444" s="75" t="str">
        <f>IF(stdProdLT(Main[[#This Row],[Comments]])=0.1,"N/A",IF(stdProdLT(Main[[#This Row],[Comments]])=0,"",stdProdLT(Main[[#This Row],[Comments]])))</f>
        <v/>
      </c>
      <c r="H444" s="76" t="str">
        <f>IF(AND(Main[[#This Row],[In Stock Date]]&lt;&gt;"",Main[[#This Row],[Revised Due Date]]&lt;&gt;""),Main[[#This Row],[In Stock Date]]-Main[[#This Row],[Revised Due Date]],"")</f>
        <v/>
      </c>
      <c r="I444" s="72" t="s">
        <v>4</v>
      </c>
      <c r="J444" s="72" t="s">
        <v>4</v>
      </c>
      <c r="K444" s="72" t="s">
        <v>4</v>
      </c>
      <c r="L444" s="74"/>
      <c r="M444" s="77" t="str">
        <f>IF(Main[[#This Row],[Tech Start Date]]&lt;1/1/1990,"",IF(Main[[#This Row],[Class]]="C",WORKDAY(Main[[#This Row],[Tech Start Date]],9),IF(Main[[#This Row],[Class]]="B", WORKDAY(Main[[#This Row],[Tech Start Date]],6),IF(Main[[#This Row],[Class]]="A",WORKDAY(Main[[#This Row],[Tech Start Date]],2),""))))</f>
        <v/>
      </c>
      <c r="N444" s="77" t="str">
        <f>IF(Main[[#This Row],[Tech Start Date]]&lt;1/1/1990,"",IF(Main[[#This Row],[Class]]="C",WORKDAY(Main[[#This Row],[Tech Start Date]],19),IF(Main[[#This Row],[Class]]="B", WORKDAY(Main[[#This Row],[Tech Start Date]],12),IF(Main[[#This Row],[Class]]="A",WORKDAY(Main[[#This Row],[Tech Start Date]],4),""))))</f>
        <v/>
      </c>
      <c r="O444" s="77" t="str">
        <f>IF(Main[[#This Row],[Tech Start Date]]&lt;1/1/1990,"",IF(Main[[#This Row],[Class]]="C",WORKDAY(Main[[#This Row],[Tech Start Date]],23),IF(Main[[#This Row],[Class]]="B", WORKDAY(Main[[#This Row],[Tech Start Date]],15),IF(Main[[#This Row],[Class]]="A",WORKDAY(Main[[#This Row],[Tech Start Date]],5),""))))</f>
        <v/>
      </c>
      <c r="P444" s="77" t="str">
        <f>IF(Main[[#This Row],[Tech Start Date]]&lt;1/1/1990,"",IF(Main[[#This Row],[Class]]="C",WORKDAY(Main[[#This Row],[Tech Start Date]],28),IF(Main[[#This Row],[Class]]="B", WORKDAY(Main[[#This Row],[Tech Start Date]],19),IF(Main[[#This Row],[Class]]="A",WORKDAY(Main[[#This Row],[Tech Start Date]],9),""))))</f>
        <v/>
      </c>
      <c r="Q444" s="74"/>
      <c r="R444" s="74"/>
      <c r="S444" s="72" t="s">
        <v>17</v>
      </c>
      <c r="T444" s="80" t="s">
        <v>4</v>
      </c>
      <c r="U444" s="72" t="s">
        <v>7</v>
      </c>
      <c r="V444" s="72" t="s">
        <v>1937</v>
      </c>
      <c r="W444" s="72" t="s">
        <v>1941</v>
      </c>
      <c r="X444" s="72" t="s">
        <v>3013</v>
      </c>
      <c r="Y444" s="72" t="s">
        <v>3114</v>
      </c>
      <c r="Z444" s="72" t="s">
        <v>4</v>
      </c>
    </row>
    <row r="445" spans="1:26" ht="18.600000000000001" customHeight="1">
      <c r="A445" s="142" t="str">
        <f>IF(priority(Main[[#This Row],[Comments]])&lt;&gt;0, priority(Main[[#This Row],[Comments]]),"")</f>
        <v/>
      </c>
      <c r="B445" s="90" t="s">
        <v>1291</v>
      </c>
      <c r="C445" s="72" t="s">
        <v>4</v>
      </c>
      <c r="D445" s="73" t="s">
        <v>351</v>
      </c>
      <c r="E445" s="74">
        <v>40422.66909722222</v>
      </c>
      <c r="F445" s="74"/>
      <c r="G445" s="75" t="str">
        <f>IF(stdProdLT(Main[[#This Row],[Comments]])=0.1,"N/A",IF(stdProdLT(Main[[#This Row],[Comments]])=0,"",stdProdLT(Main[[#This Row],[Comments]])))</f>
        <v/>
      </c>
      <c r="H445" s="76" t="str">
        <f>IF(AND(Main[[#This Row],[In Stock Date]]&lt;&gt;"",Main[[#This Row],[Revised Due Date]]&lt;&gt;""),Main[[#This Row],[In Stock Date]]-Main[[#This Row],[Revised Due Date]],"")</f>
        <v/>
      </c>
      <c r="I445" s="72" t="s">
        <v>4</v>
      </c>
      <c r="J445" s="72" t="s">
        <v>28</v>
      </c>
      <c r="K445" s="72" t="s">
        <v>4</v>
      </c>
      <c r="L445" s="74"/>
      <c r="M445" s="77" t="str">
        <f>IF(Main[[#This Row],[Tech Start Date]]&lt;1/1/1990,"",IF(Main[[#This Row],[Class]]="C",WORKDAY(Main[[#This Row],[Tech Start Date]],9),IF(Main[[#This Row],[Class]]="B", WORKDAY(Main[[#This Row],[Tech Start Date]],6),IF(Main[[#This Row],[Class]]="A",WORKDAY(Main[[#This Row],[Tech Start Date]],2),""))))</f>
        <v/>
      </c>
      <c r="N445" s="77" t="str">
        <f>IF(Main[[#This Row],[Tech Start Date]]&lt;1/1/1990,"",IF(Main[[#This Row],[Class]]="C",WORKDAY(Main[[#This Row],[Tech Start Date]],19),IF(Main[[#This Row],[Class]]="B", WORKDAY(Main[[#This Row],[Tech Start Date]],12),IF(Main[[#This Row],[Class]]="A",WORKDAY(Main[[#This Row],[Tech Start Date]],4),""))))</f>
        <v/>
      </c>
      <c r="O445" s="77" t="str">
        <f>IF(Main[[#This Row],[Tech Start Date]]&lt;1/1/1990,"",IF(Main[[#This Row],[Class]]="C",WORKDAY(Main[[#This Row],[Tech Start Date]],23),IF(Main[[#This Row],[Class]]="B", WORKDAY(Main[[#This Row],[Tech Start Date]],15),IF(Main[[#This Row],[Class]]="A",WORKDAY(Main[[#This Row],[Tech Start Date]],5),""))))</f>
        <v/>
      </c>
      <c r="P445" s="77" t="str">
        <f>IF(Main[[#This Row],[Tech Start Date]]&lt;1/1/1990,"",IF(Main[[#This Row],[Class]]="C",WORKDAY(Main[[#This Row],[Tech Start Date]],28),IF(Main[[#This Row],[Class]]="B", WORKDAY(Main[[#This Row],[Tech Start Date]],19),IF(Main[[#This Row],[Class]]="A",WORKDAY(Main[[#This Row],[Tech Start Date]],9),""))))</f>
        <v/>
      </c>
      <c r="Q445" s="74"/>
      <c r="R445" s="74"/>
      <c r="S445" s="72" t="s">
        <v>6</v>
      </c>
      <c r="T445" s="80" t="s">
        <v>4</v>
      </c>
      <c r="U445" s="72" t="s">
        <v>29</v>
      </c>
      <c r="V445" s="72" t="s">
        <v>1937</v>
      </c>
      <c r="W445" s="72" t="s">
        <v>1941</v>
      </c>
      <c r="X445" s="72" t="s">
        <v>404</v>
      </c>
      <c r="Y445" s="72" t="s">
        <v>3181</v>
      </c>
      <c r="Z445" s="72" t="s">
        <v>129</v>
      </c>
    </row>
    <row r="446" spans="1:26" ht="18.600000000000001" customHeight="1">
      <c r="A446" s="142" t="str">
        <f>IF(priority(Main[[#This Row],[Comments]])&lt;&gt;0, priority(Main[[#This Row],[Comments]]),"")</f>
        <v/>
      </c>
      <c r="B446" s="90" t="s">
        <v>1292</v>
      </c>
      <c r="C446" s="72" t="s">
        <v>352</v>
      </c>
      <c r="D446" s="73" t="s">
        <v>353</v>
      </c>
      <c r="E446" s="74"/>
      <c r="F446" s="74"/>
      <c r="G446" s="75" t="str">
        <f>IF(stdProdLT(Main[[#This Row],[Comments]])=0.1,"N/A",IF(stdProdLT(Main[[#This Row],[Comments]])=0,"",stdProdLT(Main[[#This Row],[Comments]])))</f>
        <v/>
      </c>
      <c r="H446" s="76" t="str">
        <f>IF(AND(Main[[#This Row],[In Stock Date]]&lt;&gt;"",Main[[#This Row],[Revised Due Date]]&lt;&gt;""),Main[[#This Row],[In Stock Date]]-Main[[#This Row],[Revised Due Date]],"")</f>
        <v/>
      </c>
      <c r="I446" s="72" t="s">
        <v>4</v>
      </c>
      <c r="J446" s="72" t="s">
        <v>4</v>
      </c>
      <c r="K446" s="72" t="s">
        <v>4</v>
      </c>
      <c r="L446" s="74"/>
      <c r="M446" s="77" t="str">
        <f>IF(Main[[#This Row],[Tech Start Date]]&lt;1/1/1990,"",IF(Main[[#This Row],[Class]]="C",WORKDAY(Main[[#This Row],[Tech Start Date]],9),IF(Main[[#This Row],[Class]]="B", WORKDAY(Main[[#This Row],[Tech Start Date]],6),IF(Main[[#This Row],[Class]]="A",WORKDAY(Main[[#This Row],[Tech Start Date]],2),""))))</f>
        <v/>
      </c>
      <c r="N446" s="77" t="str">
        <f>IF(Main[[#This Row],[Tech Start Date]]&lt;1/1/1990,"",IF(Main[[#This Row],[Class]]="C",WORKDAY(Main[[#This Row],[Tech Start Date]],19),IF(Main[[#This Row],[Class]]="B", WORKDAY(Main[[#This Row],[Tech Start Date]],12),IF(Main[[#This Row],[Class]]="A",WORKDAY(Main[[#This Row],[Tech Start Date]],4),""))))</f>
        <v/>
      </c>
      <c r="O446" s="77" t="str">
        <f>IF(Main[[#This Row],[Tech Start Date]]&lt;1/1/1990,"",IF(Main[[#This Row],[Class]]="C",WORKDAY(Main[[#This Row],[Tech Start Date]],23),IF(Main[[#This Row],[Class]]="B", WORKDAY(Main[[#This Row],[Tech Start Date]],15),IF(Main[[#This Row],[Class]]="A",WORKDAY(Main[[#This Row],[Tech Start Date]],5),""))))</f>
        <v/>
      </c>
      <c r="P446" s="77" t="str">
        <f>IF(Main[[#This Row],[Tech Start Date]]&lt;1/1/1990,"",IF(Main[[#This Row],[Class]]="C",WORKDAY(Main[[#This Row],[Tech Start Date]],28),IF(Main[[#This Row],[Class]]="B", WORKDAY(Main[[#This Row],[Tech Start Date]],19),IF(Main[[#This Row],[Class]]="A",WORKDAY(Main[[#This Row],[Tech Start Date]],9),""))))</f>
        <v/>
      </c>
      <c r="Q446" s="74"/>
      <c r="R446" s="74"/>
      <c r="S446" s="72" t="s">
        <v>11</v>
      </c>
      <c r="T446" s="80" t="s">
        <v>4</v>
      </c>
      <c r="U446" s="72" t="s">
        <v>14</v>
      </c>
      <c r="V446" s="72" t="s">
        <v>1938</v>
      </c>
      <c r="W446" s="72" t="s">
        <v>1942</v>
      </c>
      <c r="X446" s="72" t="s">
        <v>311</v>
      </c>
      <c r="Y446" s="72" t="s">
        <v>3099</v>
      </c>
      <c r="Z446" s="72" t="s">
        <v>4</v>
      </c>
    </row>
    <row r="447" spans="1:26" ht="18.600000000000001" customHeight="1">
      <c r="A447" s="142" t="str">
        <f>IF(priority(Main[[#This Row],[Comments]])&lt;&gt;0, priority(Main[[#This Row],[Comments]]),"")</f>
        <v/>
      </c>
      <c r="B447" s="90" t="s">
        <v>2411</v>
      </c>
      <c r="C447" s="72" t="s">
        <v>4</v>
      </c>
      <c r="D447" s="73" t="s">
        <v>2412</v>
      </c>
      <c r="E447" s="74">
        <v>40869.35837962963</v>
      </c>
      <c r="F447" s="74"/>
      <c r="G447" s="75" t="str">
        <f>IF(stdProdLT(Main[[#This Row],[Comments]])=0.1,"N/A",IF(stdProdLT(Main[[#This Row],[Comments]])=0,"",stdProdLT(Main[[#This Row],[Comments]])))</f>
        <v/>
      </c>
      <c r="H447" s="76" t="str">
        <f>IF(AND(Main[[#This Row],[In Stock Date]]&lt;&gt;"",Main[[#This Row],[Revised Due Date]]&lt;&gt;""),Main[[#This Row],[In Stock Date]]-Main[[#This Row],[Revised Due Date]],"")</f>
        <v/>
      </c>
      <c r="I447" s="72" t="s">
        <v>4</v>
      </c>
      <c r="J447" s="72" t="s">
        <v>4</v>
      </c>
      <c r="K447" s="72" t="s">
        <v>4</v>
      </c>
      <c r="L447" s="74"/>
      <c r="M447" s="77" t="str">
        <f>IF(Main[[#This Row],[Tech Start Date]]&lt;1/1/1990,"",IF(Main[[#This Row],[Class]]="C",WORKDAY(Main[[#This Row],[Tech Start Date]],9),IF(Main[[#This Row],[Class]]="B", WORKDAY(Main[[#This Row],[Tech Start Date]],6),IF(Main[[#This Row],[Class]]="A",WORKDAY(Main[[#This Row],[Tech Start Date]],2),""))))</f>
        <v/>
      </c>
      <c r="N447" s="77" t="str">
        <f>IF(Main[[#This Row],[Tech Start Date]]&lt;1/1/1990,"",IF(Main[[#This Row],[Class]]="C",WORKDAY(Main[[#This Row],[Tech Start Date]],19),IF(Main[[#This Row],[Class]]="B", WORKDAY(Main[[#This Row],[Tech Start Date]],12),IF(Main[[#This Row],[Class]]="A",WORKDAY(Main[[#This Row],[Tech Start Date]],4),""))))</f>
        <v/>
      </c>
      <c r="O447" s="77" t="str">
        <f>IF(Main[[#This Row],[Tech Start Date]]&lt;1/1/1990,"",IF(Main[[#This Row],[Class]]="C",WORKDAY(Main[[#This Row],[Tech Start Date]],23),IF(Main[[#This Row],[Class]]="B", WORKDAY(Main[[#This Row],[Tech Start Date]],15),IF(Main[[#This Row],[Class]]="A",WORKDAY(Main[[#This Row],[Tech Start Date]],5),""))))</f>
        <v/>
      </c>
      <c r="P447" s="77" t="str">
        <f>IF(Main[[#This Row],[Tech Start Date]]&lt;1/1/1990,"",IF(Main[[#This Row],[Class]]="C",WORKDAY(Main[[#This Row],[Tech Start Date]],28),IF(Main[[#This Row],[Class]]="B", WORKDAY(Main[[#This Row],[Tech Start Date]],19),IF(Main[[#This Row],[Class]]="A",WORKDAY(Main[[#This Row],[Tech Start Date]],9),""))))</f>
        <v/>
      </c>
      <c r="Q447" s="74"/>
      <c r="R447" s="74"/>
      <c r="S447" s="72" t="s">
        <v>6</v>
      </c>
      <c r="T447" s="80" t="s">
        <v>4</v>
      </c>
      <c r="U447" s="72" t="s">
        <v>29</v>
      </c>
      <c r="V447" s="72" t="s">
        <v>1938</v>
      </c>
      <c r="W447" s="72" t="s">
        <v>1939</v>
      </c>
      <c r="X447" s="72" t="s">
        <v>102</v>
      </c>
      <c r="Y447" s="72" t="s">
        <v>3182</v>
      </c>
      <c r="Z447" s="72" t="s">
        <v>4</v>
      </c>
    </row>
    <row r="448" spans="1:26" ht="18.600000000000001" customHeight="1">
      <c r="A448" s="142" t="str">
        <f>IF(priority(Main[[#This Row],[Comments]])&lt;&gt;0, priority(Main[[#This Row],[Comments]]),"")</f>
        <v/>
      </c>
      <c r="B448" s="90" t="s">
        <v>1293</v>
      </c>
      <c r="C448" s="72" t="s">
        <v>93</v>
      </c>
      <c r="D448" s="73" t="s">
        <v>354</v>
      </c>
      <c r="E448" s="74"/>
      <c r="F448" s="74"/>
      <c r="G448" s="75" t="str">
        <f>IF(stdProdLT(Main[[#This Row],[Comments]])=0.1,"N/A",IF(stdProdLT(Main[[#This Row],[Comments]])=0,"",stdProdLT(Main[[#This Row],[Comments]])))</f>
        <v/>
      </c>
      <c r="H448" s="76" t="str">
        <f>IF(AND(Main[[#This Row],[In Stock Date]]&lt;&gt;"",Main[[#This Row],[Revised Due Date]]&lt;&gt;""),Main[[#This Row],[In Stock Date]]-Main[[#This Row],[Revised Due Date]],"")</f>
        <v/>
      </c>
      <c r="I448" s="72" t="s">
        <v>4</v>
      </c>
      <c r="J448" s="72" t="s">
        <v>4</v>
      </c>
      <c r="K448" s="72" t="s">
        <v>4</v>
      </c>
      <c r="L448" s="74"/>
      <c r="M448" s="77" t="str">
        <f>IF(Main[[#This Row],[Tech Start Date]]&lt;1/1/1990,"",IF(Main[[#This Row],[Class]]="C",WORKDAY(Main[[#This Row],[Tech Start Date]],9),IF(Main[[#This Row],[Class]]="B", WORKDAY(Main[[#This Row],[Tech Start Date]],6),IF(Main[[#This Row],[Class]]="A",WORKDAY(Main[[#This Row],[Tech Start Date]],2),""))))</f>
        <v/>
      </c>
      <c r="N448" s="77" t="str">
        <f>IF(Main[[#This Row],[Tech Start Date]]&lt;1/1/1990,"",IF(Main[[#This Row],[Class]]="C",WORKDAY(Main[[#This Row],[Tech Start Date]],19),IF(Main[[#This Row],[Class]]="B", WORKDAY(Main[[#This Row],[Tech Start Date]],12),IF(Main[[#This Row],[Class]]="A",WORKDAY(Main[[#This Row],[Tech Start Date]],4),""))))</f>
        <v/>
      </c>
      <c r="O448" s="77" t="str">
        <f>IF(Main[[#This Row],[Tech Start Date]]&lt;1/1/1990,"",IF(Main[[#This Row],[Class]]="C",WORKDAY(Main[[#This Row],[Tech Start Date]],23),IF(Main[[#This Row],[Class]]="B", WORKDAY(Main[[#This Row],[Tech Start Date]],15),IF(Main[[#This Row],[Class]]="A",WORKDAY(Main[[#This Row],[Tech Start Date]],5),""))))</f>
        <v/>
      </c>
      <c r="P448" s="77" t="str">
        <f>IF(Main[[#This Row],[Tech Start Date]]&lt;1/1/1990,"",IF(Main[[#This Row],[Class]]="C",WORKDAY(Main[[#This Row],[Tech Start Date]],28),IF(Main[[#This Row],[Class]]="B", WORKDAY(Main[[#This Row],[Tech Start Date]],19),IF(Main[[#This Row],[Class]]="A",WORKDAY(Main[[#This Row],[Tech Start Date]],9),""))))</f>
        <v/>
      </c>
      <c r="Q448" s="74"/>
      <c r="R448" s="74"/>
      <c r="S448" s="72" t="s">
        <v>11</v>
      </c>
      <c r="T448" s="80" t="s">
        <v>4</v>
      </c>
      <c r="U448" s="72" t="s">
        <v>14</v>
      </c>
      <c r="V448" s="72" t="s">
        <v>1940</v>
      </c>
      <c r="W448" s="72" t="s">
        <v>1943</v>
      </c>
      <c r="X448" s="72" t="s">
        <v>3005</v>
      </c>
      <c r="Y448" s="72" t="s">
        <v>3149</v>
      </c>
      <c r="Z448" s="72" t="s">
        <v>4</v>
      </c>
    </row>
    <row r="449" spans="1:26" ht="18.600000000000001" customHeight="1">
      <c r="A449" s="142" t="str">
        <f>IF(priority(Main[[#This Row],[Comments]])&lt;&gt;0, priority(Main[[#This Row],[Comments]]),"")</f>
        <v/>
      </c>
      <c r="B449" s="90" t="s">
        <v>1295</v>
      </c>
      <c r="C449" s="72" t="s">
        <v>4</v>
      </c>
      <c r="D449" s="73" t="s">
        <v>355</v>
      </c>
      <c r="E449" s="74"/>
      <c r="F449" s="74"/>
      <c r="G449" s="75" t="str">
        <f>IF(stdProdLT(Main[[#This Row],[Comments]])=0.1,"N/A",IF(stdProdLT(Main[[#This Row],[Comments]])=0,"",stdProdLT(Main[[#This Row],[Comments]])))</f>
        <v/>
      </c>
      <c r="H449" s="76" t="str">
        <f>IF(AND(Main[[#This Row],[In Stock Date]]&lt;&gt;"",Main[[#This Row],[Revised Due Date]]&lt;&gt;""),Main[[#This Row],[In Stock Date]]-Main[[#This Row],[Revised Due Date]],"")</f>
        <v/>
      </c>
      <c r="I449" s="72" t="s">
        <v>4</v>
      </c>
      <c r="J449" s="72" t="s">
        <v>4</v>
      </c>
      <c r="K449" s="72" t="s">
        <v>4</v>
      </c>
      <c r="L449" s="74"/>
      <c r="M449" s="77" t="str">
        <f>IF(Main[[#This Row],[Tech Start Date]]&lt;1/1/1990,"",IF(Main[[#This Row],[Class]]="C",WORKDAY(Main[[#This Row],[Tech Start Date]],9),IF(Main[[#This Row],[Class]]="B", WORKDAY(Main[[#This Row],[Tech Start Date]],6),IF(Main[[#This Row],[Class]]="A",WORKDAY(Main[[#This Row],[Tech Start Date]],2),""))))</f>
        <v/>
      </c>
      <c r="N449" s="77" t="str">
        <f>IF(Main[[#This Row],[Tech Start Date]]&lt;1/1/1990,"",IF(Main[[#This Row],[Class]]="C",WORKDAY(Main[[#This Row],[Tech Start Date]],19),IF(Main[[#This Row],[Class]]="B", WORKDAY(Main[[#This Row],[Tech Start Date]],12),IF(Main[[#This Row],[Class]]="A",WORKDAY(Main[[#This Row],[Tech Start Date]],4),""))))</f>
        <v/>
      </c>
      <c r="O449" s="77" t="str">
        <f>IF(Main[[#This Row],[Tech Start Date]]&lt;1/1/1990,"",IF(Main[[#This Row],[Class]]="C",WORKDAY(Main[[#This Row],[Tech Start Date]],23),IF(Main[[#This Row],[Class]]="B", WORKDAY(Main[[#This Row],[Tech Start Date]],15),IF(Main[[#This Row],[Class]]="A",WORKDAY(Main[[#This Row],[Tech Start Date]],5),""))))</f>
        <v/>
      </c>
      <c r="P449" s="77" t="str">
        <f>IF(Main[[#This Row],[Tech Start Date]]&lt;1/1/1990,"",IF(Main[[#This Row],[Class]]="C",WORKDAY(Main[[#This Row],[Tech Start Date]],28),IF(Main[[#This Row],[Class]]="B", WORKDAY(Main[[#This Row],[Tech Start Date]],19),IF(Main[[#This Row],[Class]]="A",WORKDAY(Main[[#This Row],[Tech Start Date]],9),""))))</f>
        <v/>
      </c>
      <c r="Q449" s="74"/>
      <c r="R449" s="74"/>
      <c r="S449" s="72" t="s">
        <v>11</v>
      </c>
      <c r="T449" s="80" t="s">
        <v>4</v>
      </c>
      <c r="U449" s="72" t="s">
        <v>14</v>
      </c>
      <c r="V449" s="72" t="s">
        <v>1940</v>
      </c>
      <c r="W449" s="72" t="s">
        <v>1939</v>
      </c>
      <c r="X449" s="72" t="s">
        <v>3029</v>
      </c>
      <c r="Y449" s="72" t="s">
        <v>3183</v>
      </c>
      <c r="Z449" s="72" t="s">
        <v>4</v>
      </c>
    </row>
    <row r="450" spans="1:26" ht="18.600000000000001" customHeight="1">
      <c r="A450" s="142" t="str">
        <f>IF(priority(Main[[#This Row],[Comments]])&lt;&gt;0, priority(Main[[#This Row],[Comments]]),"")</f>
        <v/>
      </c>
      <c r="B450" s="90" t="s">
        <v>1296</v>
      </c>
      <c r="C450" s="72" t="s">
        <v>356</v>
      </c>
      <c r="D450" s="73" t="s">
        <v>357</v>
      </c>
      <c r="E450" s="74"/>
      <c r="F450" s="74">
        <v>40452</v>
      </c>
      <c r="G450" s="75" t="str">
        <f>IF(stdProdLT(Main[[#This Row],[Comments]])=0.1,"N/A",IF(stdProdLT(Main[[#This Row],[Comments]])=0,"",stdProdLT(Main[[#This Row],[Comments]])))</f>
        <v/>
      </c>
      <c r="H450" s="76" t="str">
        <f>IF(AND(Main[[#This Row],[In Stock Date]]&lt;&gt;"",Main[[#This Row],[Revised Due Date]]&lt;&gt;""),Main[[#This Row],[In Stock Date]]-Main[[#This Row],[Revised Due Date]],"")</f>
        <v/>
      </c>
      <c r="I450" s="72" t="s">
        <v>4</v>
      </c>
      <c r="J450" s="72" t="s">
        <v>4</v>
      </c>
      <c r="K450" s="72" t="s">
        <v>4</v>
      </c>
      <c r="L450" s="74"/>
      <c r="M450" s="77" t="str">
        <f>IF(Main[[#This Row],[Tech Start Date]]&lt;1/1/1990,"",IF(Main[[#This Row],[Class]]="C",WORKDAY(Main[[#This Row],[Tech Start Date]],9),IF(Main[[#This Row],[Class]]="B", WORKDAY(Main[[#This Row],[Tech Start Date]],6),IF(Main[[#This Row],[Class]]="A",WORKDAY(Main[[#This Row],[Tech Start Date]],2),""))))</f>
        <v/>
      </c>
      <c r="N450" s="77" t="str">
        <f>IF(Main[[#This Row],[Tech Start Date]]&lt;1/1/1990,"",IF(Main[[#This Row],[Class]]="C",WORKDAY(Main[[#This Row],[Tech Start Date]],19),IF(Main[[#This Row],[Class]]="B", WORKDAY(Main[[#This Row],[Tech Start Date]],12),IF(Main[[#This Row],[Class]]="A",WORKDAY(Main[[#This Row],[Tech Start Date]],4),""))))</f>
        <v/>
      </c>
      <c r="O450" s="77" t="str">
        <f>IF(Main[[#This Row],[Tech Start Date]]&lt;1/1/1990,"",IF(Main[[#This Row],[Class]]="C",WORKDAY(Main[[#This Row],[Tech Start Date]],23),IF(Main[[#This Row],[Class]]="B", WORKDAY(Main[[#This Row],[Tech Start Date]],15),IF(Main[[#This Row],[Class]]="A",WORKDAY(Main[[#This Row],[Tech Start Date]],5),""))))</f>
        <v/>
      </c>
      <c r="P450" s="77" t="str">
        <f>IF(Main[[#This Row],[Tech Start Date]]&lt;1/1/1990,"",IF(Main[[#This Row],[Class]]="C",WORKDAY(Main[[#This Row],[Tech Start Date]],28),IF(Main[[#This Row],[Class]]="B", WORKDAY(Main[[#This Row],[Tech Start Date]],19),IF(Main[[#This Row],[Class]]="A",WORKDAY(Main[[#This Row],[Tech Start Date]],9),""))))</f>
        <v/>
      </c>
      <c r="Q450" s="74">
        <v>40344</v>
      </c>
      <c r="R450" s="74"/>
      <c r="S450" s="72" t="s">
        <v>11</v>
      </c>
      <c r="T450" s="80" t="s">
        <v>4</v>
      </c>
      <c r="U450" s="72" t="s">
        <v>14</v>
      </c>
      <c r="V450" s="72" t="s">
        <v>1940</v>
      </c>
      <c r="W450" s="72" t="s">
        <v>1943</v>
      </c>
      <c r="X450" s="72" t="s">
        <v>3024</v>
      </c>
      <c r="Y450" s="72" t="s">
        <v>3154</v>
      </c>
      <c r="Z450" s="72" t="s">
        <v>536</v>
      </c>
    </row>
    <row r="451" spans="1:26" ht="18.600000000000001" customHeight="1">
      <c r="A451" s="142" t="str">
        <f>IF(priority(Main[[#This Row],[Comments]])&lt;&gt;0, priority(Main[[#This Row],[Comments]]),"")</f>
        <v/>
      </c>
      <c r="B451" s="90" t="s">
        <v>1297</v>
      </c>
      <c r="C451" s="72" t="s">
        <v>4</v>
      </c>
      <c r="D451" s="73" t="s">
        <v>358</v>
      </c>
      <c r="E451" s="74"/>
      <c r="F451" s="74"/>
      <c r="G451" s="75" t="str">
        <f>IF(stdProdLT(Main[[#This Row],[Comments]])=0.1,"N/A",IF(stdProdLT(Main[[#This Row],[Comments]])=0,"",stdProdLT(Main[[#This Row],[Comments]])))</f>
        <v/>
      </c>
      <c r="H451" s="76" t="str">
        <f>IF(AND(Main[[#This Row],[In Stock Date]]&lt;&gt;"",Main[[#This Row],[Revised Due Date]]&lt;&gt;""),Main[[#This Row],[In Stock Date]]-Main[[#This Row],[Revised Due Date]],"")</f>
        <v/>
      </c>
      <c r="I451" s="72" t="s">
        <v>4</v>
      </c>
      <c r="J451" s="72" t="s">
        <v>4</v>
      </c>
      <c r="K451" s="72" t="s">
        <v>4</v>
      </c>
      <c r="L451" s="74"/>
      <c r="M451" s="77" t="str">
        <f>IF(Main[[#This Row],[Tech Start Date]]&lt;1/1/1990,"",IF(Main[[#This Row],[Class]]="C",WORKDAY(Main[[#This Row],[Tech Start Date]],9),IF(Main[[#This Row],[Class]]="B", WORKDAY(Main[[#This Row],[Tech Start Date]],6),IF(Main[[#This Row],[Class]]="A",WORKDAY(Main[[#This Row],[Tech Start Date]],2),""))))</f>
        <v/>
      </c>
      <c r="N451" s="77" t="str">
        <f>IF(Main[[#This Row],[Tech Start Date]]&lt;1/1/1990,"",IF(Main[[#This Row],[Class]]="C",WORKDAY(Main[[#This Row],[Tech Start Date]],19),IF(Main[[#This Row],[Class]]="B", WORKDAY(Main[[#This Row],[Tech Start Date]],12),IF(Main[[#This Row],[Class]]="A",WORKDAY(Main[[#This Row],[Tech Start Date]],4),""))))</f>
        <v/>
      </c>
      <c r="O451" s="77" t="str">
        <f>IF(Main[[#This Row],[Tech Start Date]]&lt;1/1/1990,"",IF(Main[[#This Row],[Class]]="C",WORKDAY(Main[[#This Row],[Tech Start Date]],23),IF(Main[[#This Row],[Class]]="B", WORKDAY(Main[[#This Row],[Tech Start Date]],15),IF(Main[[#This Row],[Class]]="A",WORKDAY(Main[[#This Row],[Tech Start Date]],5),""))))</f>
        <v/>
      </c>
      <c r="P451" s="77" t="str">
        <f>IF(Main[[#This Row],[Tech Start Date]]&lt;1/1/1990,"",IF(Main[[#This Row],[Class]]="C",WORKDAY(Main[[#This Row],[Tech Start Date]],28),IF(Main[[#This Row],[Class]]="B", WORKDAY(Main[[#This Row],[Tech Start Date]],19),IF(Main[[#This Row],[Class]]="A",WORKDAY(Main[[#This Row],[Tech Start Date]],9),""))))</f>
        <v/>
      </c>
      <c r="Q451" s="74"/>
      <c r="R451" s="74"/>
      <c r="S451" s="72" t="s">
        <v>4</v>
      </c>
      <c r="T451" s="80" t="s">
        <v>4</v>
      </c>
      <c r="U451" s="72" t="s">
        <v>14</v>
      </c>
      <c r="V451" s="72" t="s">
        <v>1937</v>
      </c>
      <c r="W451" s="72" t="s">
        <v>4</v>
      </c>
      <c r="X451" s="72" t="s">
        <v>3030</v>
      </c>
      <c r="Y451" s="72" t="s">
        <v>3184</v>
      </c>
      <c r="Z451" s="72" t="s">
        <v>4</v>
      </c>
    </row>
    <row r="452" spans="1:26" ht="18.600000000000001" customHeight="1">
      <c r="A452" s="142" t="str">
        <f>IF(priority(Main[[#This Row],[Comments]])&lt;&gt;0, priority(Main[[#This Row],[Comments]]),"")</f>
        <v/>
      </c>
      <c r="B452" s="90" t="s">
        <v>1298</v>
      </c>
      <c r="C452" s="72" t="s">
        <v>33</v>
      </c>
      <c r="D452" s="73" t="s">
        <v>359</v>
      </c>
      <c r="E452" s="74"/>
      <c r="F452" s="74"/>
      <c r="G452" s="75" t="str">
        <f>IF(stdProdLT(Main[[#This Row],[Comments]])=0.1,"N/A",IF(stdProdLT(Main[[#This Row],[Comments]])=0,"",stdProdLT(Main[[#This Row],[Comments]])))</f>
        <v/>
      </c>
      <c r="H452" s="76" t="str">
        <f>IF(AND(Main[[#This Row],[In Stock Date]]&lt;&gt;"",Main[[#This Row],[Revised Due Date]]&lt;&gt;""),Main[[#This Row],[In Stock Date]]-Main[[#This Row],[Revised Due Date]],"")</f>
        <v/>
      </c>
      <c r="I452" s="72" t="s">
        <v>4</v>
      </c>
      <c r="J452" s="72" t="s">
        <v>4</v>
      </c>
      <c r="K452" s="72" t="s">
        <v>4</v>
      </c>
      <c r="L452" s="74"/>
      <c r="M452" s="77" t="str">
        <f>IF(Main[[#This Row],[Tech Start Date]]&lt;1/1/1990,"",IF(Main[[#This Row],[Class]]="C",WORKDAY(Main[[#This Row],[Tech Start Date]],9),IF(Main[[#This Row],[Class]]="B", WORKDAY(Main[[#This Row],[Tech Start Date]],6),IF(Main[[#This Row],[Class]]="A",WORKDAY(Main[[#This Row],[Tech Start Date]],2),""))))</f>
        <v/>
      </c>
      <c r="N452" s="77" t="str">
        <f>IF(Main[[#This Row],[Tech Start Date]]&lt;1/1/1990,"",IF(Main[[#This Row],[Class]]="C",WORKDAY(Main[[#This Row],[Tech Start Date]],19),IF(Main[[#This Row],[Class]]="B", WORKDAY(Main[[#This Row],[Tech Start Date]],12),IF(Main[[#This Row],[Class]]="A",WORKDAY(Main[[#This Row],[Tech Start Date]],4),""))))</f>
        <v/>
      </c>
      <c r="O452" s="77" t="str">
        <f>IF(Main[[#This Row],[Tech Start Date]]&lt;1/1/1990,"",IF(Main[[#This Row],[Class]]="C",WORKDAY(Main[[#This Row],[Tech Start Date]],23),IF(Main[[#This Row],[Class]]="B", WORKDAY(Main[[#This Row],[Tech Start Date]],15),IF(Main[[#This Row],[Class]]="A",WORKDAY(Main[[#This Row],[Tech Start Date]],5),""))))</f>
        <v/>
      </c>
      <c r="P452" s="77" t="str">
        <f>IF(Main[[#This Row],[Tech Start Date]]&lt;1/1/1990,"",IF(Main[[#This Row],[Class]]="C",WORKDAY(Main[[#This Row],[Tech Start Date]],28),IF(Main[[#This Row],[Class]]="B", WORKDAY(Main[[#This Row],[Tech Start Date]],19),IF(Main[[#This Row],[Class]]="A",WORKDAY(Main[[#This Row],[Tech Start Date]],9),""))))</f>
        <v/>
      </c>
      <c r="Q452" s="74"/>
      <c r="R452" s="74"/>
      <c r="S452" s="72" t="s">
        <v>11</v>
      </c>
      <c r="T452" s="80" t="s">
        <v>4</v>
      </c>
      <c r="U452" s="72" t="s">
        <v>14</v>
      </c>
      <c r="V452" s="72" t="s">
        <v>1938</v>
      </c>
      <c r="W452" s="72" t="s">
        <v>1945</v>
      </c>
      <c r="X452" s="72" t="s">
        <v>2979</v>
      </c>
      <c r="Y452" s="72" t="s">
        <v>3106</v>
      </c>
      <c r="Z452" s="72" t="s">
        <v>4</v>
      </c>
    </row>
    <row r="453" spans="1:26" ht="18.600000000000001" customHeight="1">
      <c r="A453" s="142" t="str">
        <f>IF(priority(Main[[#This Row],[Comments]])&lt;&gt;0, priority(Main[[#This Row],[Comments]]),"")</f>
        <v/>
      </c>
      <c r="B453" s="90" t="s">
        <v>1300</v>
      </c>
      <c r="C453" s="72" t="s">
        <v>214</v>
      </c>
      <c r="D453" s="73" t="s">
        <v>361</v>
      </c>
      <c r="E453" s="74"/>
      <c r="F453" s="74">
        <v>40087</v>
      </c>
      <c r="G453" s="75" t="str">
        <f>IF(stdProdLT(Main[[#This Row],[Comments]])=0.1,"N/A",IF(stdProdLT(Main[[#This Row],[Comments]])=0,"",stdProdLT(Main[[#This Row],[Comments]])))</f>
        <v/>
      </c>
      <c r="H453" s="76" t="str">
        <f>IF(AND(Main[[#This Row],[In Stock Date]]&lt;&gt;"",Main[[#This Row],[Revised Due Date]]&lt;&gt;""),Main[[#This Row],[In Stock Date]]-Main[[#This Row],[Revised Due Date]],"")</f>
        <v/>
      </c>
      <c r="I453" s="72" t="s">
        <v>4</v>
      </c>
      <c r="J453" s="72" t="s">
        <v>4</v>
      </c>
      <c r="K453" s="72" t="s">
        <v>4</v>
      </c>
      <c r="L453" s="74"/>
      <c r="M453" s="77" t="str">
        <f>IF(Main[[#This Row],[Tech Start Date]]&lt;1/1/1990,"",IF(Main[[#This Row],[Class]]="C",WORKDAY(Main[[#This Row],[Tech Start Date]],9),IF(Main[[#This Row],[Class]]="B", WORKDAY(Main[[#This Row],[Tech Start Date]],6),IF(Main[[#This Row],[Class]]="A",WORKDAY(Main[[#This Row],[Tech Start Date]],2),""))))</f>
        <v/>
      </c>
      <c r="N453" s="77" t="str">
        <f>IF(Main[[#This Row],[Tech Start Date]]&lt;1/1/1990,"",IF(Main[[#This Row],[Class]]="C",WORKDAY(Main[[#This Row],[Tech Start Date]],19),IF(Main[[#This Row],[Class]]="B", WORKDAY(Main[[#This Row],[Tech Start Date]],12),IF(Main[[#This Row],[Class]]="A",WORKDAY(Main[[#This Row],[Tech Start Date]],4),""))))</f>
        <v/>
      </c>
      <c r="O453" s="77" t="str">
        <f>IF(Main[[#This Row],[Tech Start Date]]&lt;1/1/1990,"",IF(Main[[#This Row],[Class]]="C",WORKDAY(Main[[#This Row],[Tech Start Date]],23),IF(Main[[#This Row],[Class]]="B", WORKDAY(Main[[#This Row],[Tech Start Date]],15),IF(Main[[#This Row],[Class]]="A",WORKDAY(Main[[#This Row],[Tech Start Date]],5),""))))</f>
        <v/>
      </c>
      <c r="P453" s="77" t="str">
        <f>IF(Main[[#This Row],[Tech Start Date]]&lt;1/1/1990,"",IF(Main[[#This Row],[Class]]="C",WORKDAY(Main[[#This Row],[Tech Start Date]],28),IF(Main[[#This Row],[Class]]="B", WORKDAY(Main[[#This Row],[Tech Start Date]],19),IF(Main[[#This Row],[Class]]="A",WORKDAY(Main[[#This Row],[Tech Start Date]],9),""))))</f>
        <v/>
      </c>
      <c r="Q453" s="74">
        <v>39891</v>
      </c>
      <c r="R453" s="74"/>
      <c r="S453" s="72" t="s">
        <v>11</v>
      </c>
      <c r="T453" s="80" t="s">
        <v>4</v>
      </c>
      <c r="U453" s="72" t="s">
        <v>12</v>
      </c>
      <c r="V453" s="72" t="s">
        <v>1937</v>
      </c>
      <c r="W453" s="72" t="s">
        <v>1942</v>
      </c>
      <c r="X453" s="72" t="s">
        <v>2985</v>
      </c>
      <c r="Y453" s="72" t="s">
        <v>4</v>
      </c>
      <c r="Z453" s="72" t="s">
        <v>4</v>
      </c>
    </row>
    <row r="454" spans="1:26" ht="18.600000000000001" customHeight="1">
      <c r="A454" s="142" t="str">
        <f>IF(priority(Main[[#This Row],[Comments]])&lt;&gt;0, priority(Main[[#This Row],[Comments]]),"")</f>
        <v/>
      </c>
      <c r="B454" s="90" t="s">
        <v>1302</v>
      </c>
      <c r="C454" s="72" t="s">
        <v>214</v>
      </c>
      <c r="D454" s="73" t="s">
        <v>362</v>
      </c>
      <c r="E454" s="74"/>
      <c r="F454" s="74">
        <v>40087</v>
      </c>
      <c r="G454" s="75" t="str">
        <f>IF(stdProdLT(Main[[#This Row],[Comments]])=0.1,"N/A",IF(stdProdLT(Main[[#This Row],[Comments]])=0,"",stdProdLT(Main[[#This Row],[Comments]])))</f>
        <v/>
      </c>
      <c r="H454" s="76" t="str">
        <f>IF(AND(Main[[#This Row],[In Stock Date]]&lt;&gt;"",Main[[#This Row],[Revised Due Date]]&lt;&gt;""),Main[[#This Row],[In Stock Date]]-Main[[#This Row],[Revised Due Date]],"")</f>
        <v/>
      </c>
      <c r="I454" s="72" t="s">
        <v>4</v>
      </c>
      <c r="J454" s="72" t="s">
        <v>4</v>
      </c>
      <c r="K454" s="72" t="s">
        <v>4</v>
      </c>
      <c r="L454" s="74"/>
      <c r="M454" s="77" t="str">
        <f>IF(Main[[#This Row],[Tech Start Date]]&lt;1/1/1990,"",IF(Main[[#This Row],[Class]]="C",WORKDAY(Main[[#This Row],[Tech Start Date]],9),IF(Main[[#This Row],[Class]]="B", WORKDAY(Main[[#This Row],[Tech Start Date]],6),IF(Main[[#This Row],[Class]]="A",WORKDAY(Main[[#This Row],[Tech Start Date]],2),""))))</f>
        <v/>
      </c>
      <c r="N454" s="77" t="str">
        <f>IF(Main[[#This Row],[Tech Start Date]]&lt;1/1/1990,"",IF(Main[[#This Row],[Class]]="C",WORKDAY(Main[[#This Row],[Tech Start Date]],19),IF(Main[[#This Row],[Class]]="B", WORKDAY(Main[[#This Row],[Tech Start Date]],12),IF(Main[[#This Row],[Class]]="A",WORKDAY(Main[[#This Row],[Tech Start Date]],4),""))))</f>
        <v/>
      </c>
      <c r="O454" s="77" t="str">
        <f>IF(Main[[#This Row],[Tech Start Date]]&lt;1/1/1990,"",IF(Main[[#This Row],[Class]]="C",WORKDAY(Main[[#This Row],[Tech Start Date]],23),IF(Main[[#This Row],[Class]]="B", WORKDAY(Main[[#This Row],[Tech Start Date]],15),IF(Main[[#This Row],[Class]]="A",WORKDAY(Main[[#This Row],[Tech Start Date]],5),""))))</f>
        <v/>
      </c>
      <c r="P454" s="77" t="str">
        <f>IF(Main[[#This Row],[Tech Start Date]]&lt;1/1/1990,"",IF(Main[[#This Row],[Class]]="C",WORKDAY(Main[[#This Row],[Tech Start Date]],28),IF(Main[[#This Row],[Class]]="B", WORKDAY(Main[[#This Row],[Tech Start Date]],19),IF(Main[[#This Row],[Class]]="A",WORKDAY(Main[[#This Row],[Tech Start Date]],9),""))))</f>
        <v/>
      </c>
      <c r="Q454" s="74">
        <v>39891</v>
      </c>
      <c r="R454" s="74"/>
      <c r="S454" s="72" t="s">
        <v>11</v>
      </c>
      <c r="T454" s="80" t="s">
        <v>4</v>
      </c>
      <c r="U454" s="72" t="s">
        <v>12</v>
      </c>
      <c r="V454" s="72" t="s">
        <v>1937</v>
      </c>
      <c r="W454" s="72" t="s">
        <v>1942</v>
      </c>
      <c r="X454" s="72" t="s">
        <v>2985</v>
      </c>
      <c r="Y454" s="72" t="s">
        <v>4</v>
      </c>
      <c r="Z454" s="72" t="s">
        <v>4</v>
      </c>
    </row>
    <row r="455" spans="1:26" ht="18.600000000000001" customHeight="1">
      <c r="A455" s="142" t="str">
        <f>IF(priority(Main[[#This Row],[Comments]])&lt;&gt;0, priority(Main[[#This Row],[Comments]]),"")</f>
        <v/>
      </c>
      <c r="B455" s="90" t="s">
        <v>2797</v>
      </c>
      <c r="C455" s="72" t="s">
        <v>4</v>
      </c>
      <c r="D455" s="73" t="s">
        <v>2798</v>
      </c>
      <c r="E455" s="74"/>
      <c r="F455" s="74"/>
      <c r="G455" s="75" t="str">
        <f>IF(stdProdLT(Main[[#This Row],[Comments]])=0.1,"N/A",IF(stdProdLT(Main[[#This Row],[Comments]])=0,"",stdProdLT(Main[[#This Row],[Comments]])))</f>
        <v/>
      </c>
      <c r="H455" s="76" t="str">
        <f>IF(AND(Main[[#This Row],[In Stock Date]]&lt;&gt;"",Main[[#This Row],[Revised Due Date]]&lt;&gt;""),Main[[#This Row],[In Stock Date]]-Main[[#This Row],[Revised Due Date]],"")</f>
        <v/>
      </c>
      <c r="I455" s="72" t="s">
        <v>4</v>
      </c>
      <c r="J455" s="72" t="s">
        <v>4</v>
      </c>
      <c r="K455" s="72" t="s">
        <v>4</v>
      </c>
      <c r="L455" s="74"/>
      <c r="M455" s="77" t="str">
        <f>IF(Main[[#This Row],[Tech Start Date]]&lt;1/1/1990,"",IF(Main[[#This Row],[Class]]="C",WORKDAY(Main[[#This Row],[Tech Start Date]],9),IF(Main[[#This Row],[Class]]="B", WORKDAY(Main[[#This Row],[Tech Start Date]],6),IF(Main[[#This Row],[Class]]="A",WORKDAY(Main[[#This Row],[Tech Start Date]],2),""))))</f>
        <v/>
      </c>
      <c r="N455" s="77" t="str">
        <f>IF(Main[[#This Row],[Tech Start Date]]&lt;1/1/1990,"",IF(Main[[#This Row],[Class]]="C",WORKDAY(Main[[#This Row],[Tech Start Date]],19),IF(Main[[#This Row],[Class]]="B", WORKDAY(Main[[#This Row],[Tech Start Date]],12),IF(Main[[#This Row],[Class]]="A",WORKDAY(Main[[#This Row],[Tech Start Date]],4),""))))</f>
        <v/>
      </c>
      <c r="O455" s="77" t="str">
        <f>IF(Main[[#This Row],[Tech Start Date]]&lt;1/1/1990,"",IF(Main[[#This Row],[Class]]="C",WORKDAY(Main[[#This Row],[Tech Start Date]],23),IF(Main[[#This Row],[Class]]="B", WORKDAY(Main[[#This Row],[Tech Start Date]],15),IF(Main[[#This Row],[Class]]="A",WORKDAY(Main[[#This Row],[Tech Start Date]],5),""))))</f>
        <v/>
      </c>
      <c r="P455" s="77" t="str">
        <f>IF(Main[[#This Row],[Tech Start Date]]&lt;1/1/1990,"",IF(Main[[#This Row],[Class]]="C",WORKDAY(Main[[#This Row],[Tech Start Date]],28),IF(Main[[#This Row],[Class]]="B", WORKDAY(Main[[#This Row],[Tech Start Date]],19),IF(Main[[#This Row],[Class]]="A",WORKDAY(Main[[#This Row],[Tech Start Date]],9),""))))</f>
        <v/>
      </c>
      <c r="Q455" s="74">
        <v>40896</v>
      </c>
      <c r="R455" s="74"/>
      <c r="S455" s="72" t="s">
        <v>17</v>
      </c>
      <c r="T455" s="80" t="s">
        <v>4</v>
      </c>
      <c r="U455" s="72" t="s">
        <v>14</v>
      </c>
      <c r="V455" s="72" t="s">
        <v>1940</v>
      </c>
      <c r="W455" s="72" t="s">
        <v>1945</v>
      </c>
      <c r="X455" s="72" t="s">
        <v>3031</v>
      </c>
      <c r="Y455" s="72" t="s">
        <v>3185</v>
      </c>
      <c r="Z455" s="72" t="s">
        <v>4</v>
      </c>
    </row>
    <row r="456" spans="1:26" ht="18.600000000000001" customHeight="1">
      <c r="A456" s="142" t="str">
        <f>IF(priority(Main[[#This Row],[Comments]])&lt;&gt;0, priority(Main[[#This Row],[Comments]]),"")</f>
        <v/>
      </c>
      <c r="B456" s="90" t="s">
        <v>1303</v>
      </c>
      <c r="C456" s="72" t="s">
        <v>33</v>
      </c>
      <c r="D456" s="73" t="s">
        <v>364</v>
      </c>
      <c r="E456" s="74"/>
      <c r="F456" s="74"/>
      <c r="G456" s="75" t="str">
        <f>IF(stdProdLT(Main[[#This Row],[Comments]])=0.1,"N/A",IF(stdProdLT(Main[[#This Row],[Comments]])=0,"",stdProdLT(Main[[#This Row],[Comments]])))</f>
        <v/>
      </c>
      <c r="H456" s="76" t="str">
        <f>IF(AND(Main[[#This Row],[In Stock Date]]&lt;&gt;"",Main[[#This Row],[Revised Due Date]]&lt;&gt;""),Main[[#This Row],[In Stock Date]]-Main[[#This Row],[Revised Due Date]],"")</f>
        <v/>
      </c>
      <c r="I456" s="72" t="s">
        <v>4</v>
      </c>
      <c r="J456" s="72" t="s">
        <v>4</v>
      </c>
      <c r="K456" s="72" t="s">
        <v>4</v>
      </c>
      <c r="L456" s="74"/>
      <c r="M456" s="77" t="str">
        <f>IF(Main[[#This Row],[Tech Start Date]]&lt;1/1/1990,"",IF(Main[[#This Row],[Class]]="C",WORKDAY(Main[[#This Row],[Tech Start Date]],9),IF(Main[[#This Row],[Class]]="B", WORKDAY(Main[[#This Row],[Tech Start Date]],6),IF(Main[[#This Row],[Class]]="A",WORKDAY(Main[[#This Row],[Tech Start Date]],2),""))))</f>
        <v/>
      </c>
      <c r="N456" s="77" t="str">
        <f>IF(Main[[#This Row],[Tech Start Date]]&lt;1/1/1990,"",IF(Main[[#This Row],[Class]]="C",WORKDAY(Main[[#This Row],[Tech Start Date]],19),IF(Main[[#This Row],[Class]]="B", WORKDAY(Main[[#This Row],[Tech Start Date]],12),IF(Main[[#This Row],[Class]]="A",WORKDAY(Main[[#This Row],[Tech Start Date]],4),""))))</f>
        <v/>
      </c>
      <c r="O456" s="77" t="str">
        <f>IF(Main[[#This Row],[Tech Start Date]]&lt;1/1/1990,"",IF(Main[[#This Row],[Class]]="C",WORKDAY(Main[[#This Row],[Tech Start Date]],23),IF(Main[[#This Row],[Class]]="B", WORKDAY(Main[[#This Row],[Tech Start Date]],15),IF(Main[[#This Row],[Class]]="A",WORKDAY(Main[[#This Row],[Tech Start Date]],5),""))))</f>
        <v/>
      </c>
      <c r="P456" s="77" t="str">
        <f>IF(Main[[#This Row],[Tech Start Date]]&lt;1/1/1990,"",IF(Main[[#This Row],[Class]]="C",WORKDAY(Main[[#This Row],[Tech Start Date]],28),IF(Main[[#This Row],[Class]]="B", WORKDAY(Main[[#This Row],[Tech Start Date]],19),IF(Main[[#This Row],[Class]]="A",WORKDAY(Main[[#This Row],[Tech Start Date]],9),""))))</f>
        <v/>
      </c>
      <c r="Q456" s="74"/>
      <c r="R456" s="74"/>
      <c r="S456" s="72" t="s">
        <v>11</v>
      </c>
      <c r="T456" s="80" t="s">
        <v>4</v>
      </c>
      <c r="U456" s="72" t="s">
        <v>14</v>
      </c>
      <c r="V456" s="72" t="s">
        <v>1938</v>
      </c>
      <c r="W456" s="72" t="s">
        <v>1945</v>
      </c>
      <c r="X456" s="72" t="s">
        <v>2979</v>
      </c>
      <c r="Y456" s="72" t="s">
        <v>3106</v>
      </c>
      <c r="Z456" s="72" t="s">
        <v>4</v>
      </c>
    </row>
    <row r="457" spans="1:26" ht="18.600000000000001" customHeight="1">
      <c r="A457" s="142" t="str">
        <f>IF(priority(Main[[#This Row],[Comments]])&lt;&gt;0, priority(Main[[#This Row],[Comments]]),"")</f>
        <v/>
      </c>
      <c r="B457" s="90" t="s">
        <v>1304</v>
      </c>
      <c r="C457" s="72" t="s">
        <v>33</v>
      </c>
      <c r="D457" s="73" t="s">
        <v>365</v>
      </c>
      <c r="E457" s="74"/>
      <c r="F457" s="74"/>
      <c r="G457" s="75" t="str">
        <f>IF(stdProdLT(Main[[#This Row],[Comments]])=0.1,"N/A",IF(stdProdLT(Main[[#This Row],[Comments]])=0,"",stdProdLT(Main[[#This Row],[Comments]])))</f>
        <v/>
      </c>
      <c r="H457" s="76" t="str">
        <f>IF(AND(Main[[#This Row],[In Stock Date]]&lt;&gt;"",Main[[#This Row],[Revised Due Date]]&lt;&gt;""),Main[[#This Row],[In Stock Date]]-Main[[#This Row],[Revised Due Date]],"")</f>
        <v/>
      </c>
      <c r="I457" s="72" t="s">
        <v>4</v>
      </c>
      <c r="J457" s="72" t="s">
        <v>4</v>
      </c>
      <c r="K457" s="72" t="s">
        <v>4</v>
      </c>
      <c r="L457" s="74"/>
      <c r="M457" s="77" t="str">
        <f>IF(Main[[#This Row],[Tech Start Date]]&lt;1/1/1990,"",IF(Main[[#This Row],[Class]]="C",WORKDAY(Main[[#This Row],[Tech Start Date]],9),IF(Main[[#This Row],[Class]]="B", WORKDAY(Main[[#This Row],[Tech Start Date]],6),IF(Main[[#This Row],[Class]]="A",WORKDAY(Main[[#This Row],[Tech Start Date]],2),""))))</f>
        <v/>
      </c>
      <c r="N457" s="77" t="str">
        <f>IF(Main[[#This Row],[Tech Start Date]]&lt;1/1/1990,"",IF(Main[[#This Row],[Class]]="C",WORKDAY(Main[[#This Row],[Tech Start Date]],19),IF(Main[[#This Row],[Class]]="B", WORKDAY(Main[[#This Row],[Tech Start Date]],12),IF(Main[[#This Row],[Class]]="A",WORKDAY(Main[[#This Row],[Tech Start Date]],4),""))))</f>
        <v/>
      </c>
      <c r="O457" s="77" t="str">
        <f>IF(Main[[#This Row],[Tech Start Date]]&lt;1/1/1990,"",IF(Main[[#This Row],[Class]]="C",WORKDAY(Main[[#This Row],[Tech Start Date]],23),IF(Main[[#This Row],[Class]]="B", WORKDAY(Main[[#This Row],[Tech Start Date]],15),IF(Main[[#This Row],[Class]]="A",WORKDAY(Main[[#This Row],[Tech Start Date]],5),""))))</f>
        <v/>
      </c>
      <c r="P457" s="77" t="str">
        <f>IF(Main[[#This Row],[Tech Start Date]]&lt;1/1/1990,"",IF(Main[[#This Row],[Class]]="C",WORKDAY(Main[[#This Row],[Tech Start Date]],28),IF(Main[[#This Row],[Class]]="B", WORKDAY(Main[[#This Row],[Tech Start Date]],19),IF(Main[[#This Row],[Class]]="A",WORKDAY(Main[[#This Row],[Tech Start Date]],9),""))))</f>
        <v/>
      </c>
      <c r="Q457" s="74"/>
      <c r="R457" s="74"/>
      <c r="S457" s="72" t="s">
        <v>11</v>
      </c>
      <c r="T457" s="80" t="s">
        <v>4</v>
      </c>
      <c r="U457" s="72" t="s">
        <v>14</v>
      </c>
      <c r="V457" s="72" t="s">
        <v>1938</v>
      </c>
      <c r="W457" s="72" t="s">
        <v>1945</v>
      </c>
      <c r="X457" s="72" t="s">
        <v>2979</v>
      </c>
      <c r="Y457" s="72" t="s">
        <v>3106</v>
      </c>
      <c r="Z457" s="72" t="s">
        <v>4</v>
      </c>
    </row>
    <row r="458" spans="1:26" ht="18.600000000000001" customHeight="1">
      <c r="A458" s="142" t="str">
        <f>IF(priority(Main[[#This Row],[Comments]])&lt;&gt;0, priority(Main[[#This Row],[Comments]]),"")</f>
        <v/>
      </c>
      <c r="B458" s="90" t="s">
        <v>1305</v>
      </c>
      <c r="C458" s="72" t="s">
        <v>366</v>
      </c>
      <c r="D458" s="73" t="s">
        <v>367</v>
      </c>
      <c r="E458" s="74"/>
      <c r="F458" s="74"/>
      <c r="G458" s="75" t="str">
        <f>IF(stdProdLT(Main[[#This Row],[Comments]])=0.1,"N/A",IF(stdProdLT(Main[[#This Row],[Comments]])=0,"",stdProdLT(Main[[#This Row],[Comments]])))</f>
        <v/>
      </c>
      <c r="H458" s="76" t="str">
        <f>IF(AND(Main[[#This Row],[In Stock Date]]&lt;&gt;"",Main[[#This Row],[Revised Due Date]]&lt;&gt;""),Main[[#This Row],[In Stock Date]]-Main[[#This Row],[Revised Due Date]],"")</f>
        <v/>
      </c>
      <c r="I458" s="72" t="s">
        <v>4</v>
      </c>
      <c r="J458" s="72" t="s">
        <v>4</v>
      </c>
      <c r="K458" s="72" t="s">
        <v>4</v>
      </c>
      <c r="L458" s="74"/>
      <c r="M458" s="77" t="str">
        <f>IF(Main[[#This Row],[Tech Start Date]]&lt;1/1/1990,"",IF(Main[[#This Row],[Class]]="C",WORKDAY(Main[[#This Row],[Tech Start Date]],9),IF(Main[[#This Row],[Class]]="B", WORKDAY(Main[[#This Row],[Tech Start Date]],6),IF(Main[[#This Row],[Class]]="A",WORKDAY(Main[[#This Row],[Tech Start Date]],2),""))))</f>
        <v/>
      </c>
      <c r="N458" s="77" t="str">
        <f>IF(Main[[#This Row],[Tech Start Date]]&lt;1/1/1990,"",IF(Main[[#This Row],[Class]]="C",WORKDAY(Main[[#This Row],[Tech Start Date]],19),IF(Main[[#This Row],[Class]]="B", WORKDAY(Main[[#This Row],[Tech Start Date]],12),IF(Main[[#This Row],[Class]]="A",WORKDAY(Main[[#This Row],[Tech Start Date]],4),""))))</f>
        <v/>
      </c>
      <c r="O458" s="77" t="str">
        <f>IF(Main[[#This Row],[Tech Start Date]]&lt;1/1/1990,"",IF(Main[[#This Row],[Class]]="C",WORKDAY(Main[[#This Row],[Tech Start Date]],23),IF(Main[[#This Row],[Class]]="B", WORKDAY(Main[[#This Row],[Tech Start Date]],15),IF(Main[[#This Row],[Class]]="A",WORKDAY(Main[[#This Row],[Tech Start Date]],5),""))))</f>
        <v/>
      </c>
      <c r="P458" s="77" t="str">
        <f>IF(Main[[#This Row],[Tech Start Date]]&lt;1/1/1990,"",IF(Main[[#This Row],[Class]]="C",WORKDAY(Main[[#This Row],[Tech Start Date]],28),IF(Main[[#This Row],[Class]]="B", WORKDAY(Main[[#This Row],[Tech Start Date]],19),IF(Main[[#This Row],[Class]]="A",WORKDAY(Main[[#This Row],[Tech Start Date]],9),""))))</f>
        <v/>
      </c>
      <c r="Q458" s="74"/>
      <c r="R458" s="74"/>
      <c r="S458" s="72" t="s">
        <v>11</v>
      </c>
      <c r="T458" s="80" t="s">
        <v>4</v>
      </c>
      <c r="U458" s="72" t="s">
        <v>14</v>
      </c>
      <c r="V458" s="72" t="s">
        <v>1938</v>
      </c>
      <c r="W458" s="72" t="s">
        <v>1945</v>
      </c>
      <c r="X458" s="72" t="s">
        <v>2979</v>
      </c>
      <c r="Y458" s="72" t="s">
        <v>3106</v>
      </c>
      <c r="Z458" s="72" t="s">
        <v>4</v>
      </c>
    </row>
    <row r="459" spans="1:26" ht="18.600000000000001" customHeight="1">
      <c r="A459" s="142" t="str">
        <f>IF(priority(Main[[#This Row],[Comments]])&lt;&gt;0, priority(Main[[#This Row],[Comments]]),"")</f>
        <v/>
      </c>
      <c r="B459" s="90" t="s">
        <v>1306</v>
      </c>
      <c r="C459" s="72" t="s">
        <v>368</v>
      </c>
      <c r="D459" s="73" t="s">
        <v>369</v>
      </c>
      <c r="E459" s="74"/>
      <c r="F459" s="74"/>
      <c r="G459" s="75" t="str">
        <f>IF(stdProdLT(Main[[#This Row],[Comments]])=0.1,"N/A",IF(stdProdLT(Main[[#This Row],[Comments]])=0,"",stdProdLT(Main[[#This Row],[Comments]])))</f>
        <v/>
      </c>
      <c r="H459" s="76" t="str">
        <f>IF(AND(Main[[#This Row],[In Stock Date]]&lt;&gt;"",Main[[#This Row],[Revised Due Date]]&lt;&gt;""),Main[[#This Row],[In Stock Date]]-Main[[#This Row],[Revised Due Date]],"")</f>
        <v/>
      </c>
      <c r="I459" s="72" t="s">
        <v>4</v>
      </c>
      <c r="J459" s="72" t="s">
        <v>4</v>
      </c>
      <c r="K459" s="72" t="s">
        <v>4</v>
      </c>
      <c r="L459" s="74"/>
      <c r="M459" s="77" t="str">
        <f>IF(Main[[#This Row],[Tech Start Date]]&lt;1/1/1990,"",IF(Main[[#This Row],[Class]]="C",WORKDAY(Main[[#This Row],[Tech Start Date]],9),IF(Main[[#This Row],[Class]]="B", WORKDAY(Main[[#This Row],[Tech Start Date]],6),IF(Main[[#This Row],[Class]]="A",WORKDAY(Main[[#This Row],[Tech Start Date]],2),""))))</f>
        <v/>
      </c>
      <c r="N459" s="77" t="str">
        <f>IF(Main[[#This Row],[Tech Start Date]]&lt;1/1/1990,"",IF(Main[[#This Row],[Class]]="C",WORKDAY(Main[[#This Row],[Tech Start Date]],19),IF(Main[[#This Row],[Class]]="B", WORKDAY(Main[[#This Row],[Tech Start Date]],12),IF(Main[[#This Row],[Class]]="A",WORKDAY(Main[[#This Row],[Tech Start Date]],4),""))))</f>
        <v/>
      </c>
      <c r="O459" s="77" t="str">
        <f>IF(Main[[#This Row],[Tech Start Date]]&lt;1/1/1990,"",IF(Main[[#This Row],[Class]]="C",WORKDAY(Main[[#This Row],[Tech Start Date]],23),IF(Main[[#This Row],[Class]]="B", WORKDAY(Main[[#This Row],[Tech Start Date]],15),IF(Main[[#This Row],[Class]]="A",WORKDAY(Main[[#This Row],[Tech Start Date]],5),""))))</f>
        <v/>
      </c>
      <c r="P459" s="77" t="str">
        <f>IF(Main[[#This Row],[Tech Start Date]]&lt;1/1/1990,"",IF(Main[[#This Row],[Class]]="C",WORKDAY(Main[[#This Row],[Tech Start Date]],28),IF(Main[[#This Row],[Class]]="B", WORKDAY(Main[[#This Row],[Tech Start Date]],19),IF(Main[[#This Row],[Class]]="A",WORKDAY(Main[[#This Row],[Tech Start Date]],9),""))))</f>
        <v/>
      </c>
      <c r="Q459" s="74"/>
      <c r="R459" s="74"/>
      <c r="S459" s="72" t="s">
        <v>11</v>
      </c>
      <c r="T459" s="80" t="s">
        <v>4</v>
      </c>
      <c r="U459" s="72" t="s">
        <v>14</v>
      </c>
      <c r="V459" s="72" t="s">
        <v>1938</v>
      </c>
      <c r="W459" s="72" t="s">
        <v>1945</v>
      </c>
      <c r="X459" s="72" t="s">
        <v>2979</v>
      </c>
      <c r="Y459" s="72" t="s">
        <v>3106</v>
      </c>
      <c r="Z459" s="72" t="s">
        <v>4</v>
      </c>
    </row>
    <row r="460" spans="1:26" ht="18.600000000000001" customHeight="1">
      <c r="A460" s="142" t="str">
        <f>IF(priority(Main[[#This Row],[Comments]])&lt;&gt;0, priority(Main[[#This Row],[Comments]]),"")</f>
        <v/>
      </c>
      <c r="B460" s="90" t="s">
        <v>1307</v>
      </c>
      <c r="C460" s="72" t="s">
        <v>370</v>
      </c>
      <c r="D460" s="73" t="s">
        <v>371</v>
      </c>
      <c r="E460" s="74"/>
      <c r="F460" s="74"/>
      <c r="G460" s="75" t="str">
        <f>IF(stdProdLT(Main[[#This Row],[Comments]])=0.1,"N/A",IF(stdProdLT(Main[[#This Row],[Comments]])=0,"",stdProdLT(Main[[#This Row],[Comments]])))</f>
        <v/>
      </c>
      <c r="H460" s="76" t="str">
        <f>IF(AND(Main[[#This Row],[In Stock Date]]&lt;&gt;"",Main[[#This Row],[Revised Due Date]]&lt;&gt;""),Main[[#This Row],[In Stock Date]]-Main[[#This Row],[Revised Due Date]],"")</f>
        <v/>
      </c>
      <c r="I460" s="72" t="s">
        <v>4</v>
      </c>
      <c r="J460" s="72" t="s">
        <v>4</v>
      </c>
      <c r="K460" s="72" t="s">
        <v>4</v>
      </c>
      <c r="L460" s="74"/>
      <c r="M460" s="77" t="str">
        <f>IF(Main[[#This Row],[Tech Start Date]]&lt;1/1/1990,"",IF(Main[[#This Row],[Class]]="C",WORKDAY(Main[[#This Row],[Tech Start Date]],9),IF(Main[[#This Row],[Class]]="B", WORKDAY(Main[[#This Row],[Tech Start Date]],6),IF(Main[[#This Row],[Class]]="A",WORKDAY(Main[[#This Row],[Tech Start Date]],2),""))))</f>
        <v/>
      </c>
      <c r="N460" s="77" t="str">
        <f>IF(Main[[#This Row],[Tech Start Date]]&lt;1/1/1990,"",IF(Main[[#This Row],[Class]]="C",WORKDAY(Main[[#This Row],[Tech Start Date]],19),IF(Main[[#This Row],[Class]]="B", WORKDAY(Main[[#This Row],[Tech Start Date]],12),IF(Main[[#This Row],[Class]]="A",WORKDAY(Main[[#This Row],[Tech Start Date]],4),""))))</f>
        <v/>
      </c>
      <c r="O460" s="77" t="str">
        <f>IF(Main[[#This Row],[Tech Start Date]]&lt;1/1/1990,"",IF(Main[[#This Row],[Class]]="C",WORKDAY(Main[[#This Row],[Tech Start Date]],23),IF(Main[[#This Row],[Class]]="B", WORKDAY(Main[[#This Row],[Tech Start Date]],15),IF(Main[[#This Row],[Class]]="A",WORKDAY(Main[[#This Row],[Tech Start Date]],5),""))))</f>
        <v/>
      </c>
      <c r="P460" s="77" t="str">
        <f>IF(Main[[#This Row],[Tech Start Date]]&lt;1/1/1990,"",IF(Main[[#This Row],[Class]]="C",WORKDAY(Main[[#This Row],[Tech Start Date]],28),IF(Main[[#This Row],[Class]]="B", WORKDAY(Main[[#This Row],[Tech Start Date]],19),IF(Main[[#This Row],[Class]]="A",WORKDAY(Main[[#This Row],[Tech Start Date]],9),""))))</f>
        <v/>
      </c>
      <c r="Q460" s="74"/>
      <c r="R460" s="74"/>
      <c r="S460" s="72" t="s">
        <v>11</v>
      </c>
      <c r="T460" s="80" t="s">
        <v>4</v>
      </c>
      <c r="U460" s="72" t="s">
        <v>14</v>
      </c>
      <c r="V460" s="72" t="s">
        <v>1938</v>
      </c>
      <c r="W460" s="72" t="s">
        <v>1945</v>
      </c>
      <c r="X460" s="72" t="s">
        <v>2979</v>
      </c>
      <c r="Y460" s="72" t="s">
        <v>3106</v>
      </c>
      <c r="Z460" s="72" t="s">
        <v>4</v>
      </c>
    </row>
    <row r="461" spans="1:26" ht="18.600000000000001" customHeight="1">
      <c r="A461" s="142" t="str">
        <f>IF(priority(Main[[#This Row],[Comments]])&lt;&gt;0, priority(Main[[#This Row],[Comments]]),"")</f>
        <v/>
      </c>
      <c r="B461" s="90" t="s">
        <v>1308</v>
      </c>
      <c r="C461" s="72" t="s">
        <v>372</v>
      </c>
      <c r="D461" s="73" t="s">
        <v>373</v>
      </c>
      <c r="E461" s="74">
        <v>40210.419814814813</v>
      </c>
      <c r="F461" s="74">
        <v>40405</v>
      </c>
      <c r="G461" s="75" t="str">
        <f>IF(stdProdLT(Main[[#This Row],[Comments]])=0.1,"N/A",IF(stdProdLT(Main[[#This Row],[Comments]])=0,"",stdProdLT(Main[[#This Row],[Comments]])))</f>
        <v/>
      </c>
      <c r="H461" s="76" t="str">
        <f>IF(AND(Main[[#This Row],[In Stock Date]]&lt;&gt;"",Main[[#This Row],[Revised Due Date]]&lt;&gt;""),Main[[#This Row],[In Stock Date]]-Main[[#This Row],[Revised Due Date]],"")</f>
        <v/>
      </c>
      <c r="I461" s="72" t="s">
        <v>165</v>
      </c>
      <c r="J461" s="72" t="s">
        <v>4</v>
      </c>
      <c r="K461" s="72" t="s">
        <v>1949</v>
      </c>
      <c r="L461" s="74"/>
      <c r="M461" s="77" t="str">
        <f>IF(Main[[#This Row],[Tech Start Date]]&lt;1/1/1990,"",IF(Main[[#This Row],[Class]]="C",WORKDAY(Main[[#This Row],[Tech Start Date]],9),IF(Main[[#This Row],[Class]]="B", WORKDAY(Main[[#This Row],[Tech Start Date]],6),IF(Main[[#This Row],[Class]]="A",WORKDAY(Main[[#This Row],[Tech Start Date]],2),""))))</f>
        <v/>
      </c>
      <c r="N461" s="77" t="str">
        <f>IF(Main[[#This Row],[Tech Start Date]]&lt;1/1/1990,"",IF(Main[[#This Row],[Class]]="C",WORKDAY(Main[[#This Row],[Tech Start Date]],19),IF(Main[[#This Row],[Class]]="B", WORKDAY(Main[[#This Row],[Tech Start Date]],12),IF(Main[[#This Row],[Class]]="A",WORKDAY(Main[[#This Row],[Tech Start Date]],4),""))))</f>
        <v/>
      </c>
      <c r="O461" s="77" t="str">
        <f>IF(Main[[#This Row],[Tech Start Date]]&lt;1/1/1990,"",IF(Main[[#This Row],[Class]]="C",WORKDAY(Main[[#This Row],[Tech Start Date]],23),IF(Main[[#This Row],[Class]]="B", WORKDAY(Main[[#This Row],[Tech Start Date]],15),IF(Main[[#This Row],[Class]]="A",WORKDAY(Main[[#This Row],[Tech Start Date]],5),""))))</f>
        <v/>
      </c>
      <c r="P461" s="77" t="str">
        <f>IF(Main[[#This Row],[Tech Start Date]]&lt;1/1/1990,"",IF(Main[[#This Row],[Class]]="C",WORKDAY(Main[[#This Row],[Tech Start Date]],28),IF(Main[[#This Row],[Class]]="B", WORKDAY(Main[[#This Row],[Tech Start Date]],19),IF(Main[[#This Row],[Class]]="A",WORKDAY(Main[[#This Row],[Tech Start Date]],9),""))))</f>
        <v/>
      </c>
      <c r="Q461" s="74">
        <v>40223</v>
      </c>
      <c r="R461" s="74"/>
      <c r="S461" s="72" t="s">
        <v>17</v>
      </c>
      <c r="T461" s="80" t="s">
        <v>4</v>
      </c>
      <c r="U461" s="72" t="s">
        <v>29</v>
      </c>
      <c r="V461" s="72" t="s">
        <v>1940</v>
      </c>
      <c r="W461" s="72" t="s">
        <v>1942</v>
      </c>
      <c r="X461" s="72" t="s">
        <v>560</v>
      </c>
      <c r="Y461" s="72" t="s">
        <v>4</v>
      </c>
      <c r="Z461" s="72" t="s">
        <v>4</v>
      </c>
    </row>
    <row r="462" spans="1:26" ht="18.600000000000001" customHeight="1">
      <c r="A462" s="142" t="str">
        <f>IF(priority(Main[[#This Row],[Comments]])&lt;&gt;0, priority(Main[[#This Row],[Comments]]),"")</f>
        <v/>
      </c>
      <c r="B462" s="90" t="s">
        <v>1312</v>
      </c>
      <c r="C462" s="72" t="s">
        <v>4</v>
      </c>
      <c r="D462" s="73" t="s">
        <v>418</v>
      </c>
      <c r="E462" s="74"/>
      <c r="F462" s="74"/>
      <c r="G462" s="75" t="str">
        <f>IF(stdProdLT(Main[[#This Row],[Comments]])=0.1,"N/A",IF(stdProdLT(Main[[#This Row],[Comments]])=0,"",stdProdLT(Main[[#This Row],[Comments]])))</f>
        <v/>
      </c>
      <c r="H462" s="76" t="str">
        <f>IF(AND(Main[[#This Row],[In Stock Date]]&lt;&gt;"",Main[[#This Row],[Revised Due Date]]&lt;&gt;""),Main[[#This Row],[In Stock Date]]-Main[[#This Row],[Revised Due Date]],"")</f>
        <v/>
      </c>
      <c r="I462" s="72" t="s">
        <v>311</v>
      </c>
      <c r="J462" s="72" t="s">
        <v>75</v>
      </c>
      <c r="K462" s="72" t="s">
        <v>1946</v>
      </c>
      <c r="L462" s="74"/>
      <c r="M462" s="77" t="str">
        <f>IF(Main[[#This Row],[Tech Start Date]]&lt;1/1/1990,"",IF(Main[[#This Row],[Class]]="C",WORKDAY(Main[[#This Row],[Tech Start Date]],9),IF(Main[[#This Row],[Class]]="B", WORKDAY(Main[[#This Row],[Tech Start Date]],6),IF(Main[[#This Row],[Class]]="A",WORKDAY(Main[[#This Row],[Tech Start Date]],2),""))))</f>
        <v/>
      </c>
      <c r="N462" s="77" t="str">
        <f>IF(Main[[#This Row],[Tech Start Date]]&lt;1/1/1990,"",IF(Main[[#This Row],[Class]]="C",WORKDAY(Main[[#This Row],[Tech Start Date]],19),IF(Main[[#This Row],[Class]]="B", WORKDAY(Main[[#This Row],[Tech Start Date]],12),IF(Main[[#This Row],[Class]]="A",WORKDAY(Main[[#This Row],[Tech Start Date]],4),""))))</f>
        <v/>
      </c>
      <c r="O462" s="77" t="str">
        <f>IF(Main[[#This Row],[Tech Start Date]]&lt;1/1/1990,"",IF(Main[[#This Row],[Class]]="C",WORKDAY(Main[[#This Row],[Tech Start Date]],23),IF(Main[[#This Row],[Class]]="B", WORKDAY(Main[[#This Row],[Tech Start Date]],15),IF(Main[[#This Row],[Class]]="A",WORKDAY(Main[[#This Row],[Tech Start Date]],5),""))))</f>
        <v/>
      </c>
      <c r="P462" s="77" t="str">
        <f>IF(Main[[#This Row],[Tech Start Date]]&lt;1/1/1990,"",IF(Main[[#This Row],[Class]]="C",WORKDAY(Main[[#This Row],[Tech Start Date]],28),IF(Main[[#This Row],[Class]]="B", WORKDAY(Main[[#This Row],[Tech Start Date]],19),IF(Main[[#This Row],[Class]]="A",WORKDAY(Main[[#This Row],[Tech Start Date]],9),""))))</f>
        <v/>
      </c>
      <c r="Q462" s="74">
        <v>40655</v>
      </c>
      <c r="R462" s="74"/>
      <c r="S462" s="72" t="s">
        <v>6</v>
      </c>
      <c r="T462" s="80" t="s">
        <v>4</v>
      </c>
      <c r="U462" s="72" t="s">
        <v>14</v>
      </c>
      <c r="V462" s="72" t="s">
        <v>1940</v>
      </c>
      <c r="W462" s="72" t="s">
        <v>1939</v>
      </c>
      <c r="X462" s="72" t="s">
        <v>2971</v>
      </c>
      <c r="Y462" s="72" t="s">
        <v>3090</v>
      </c>
      <c r="Z462" s="72" t="s">
        <v>44</v>
      </c>
    </row>
    <row r="463" spans="1:26" ht="18.600000000000001" customHeight="1">
      <c r="A463" s="142" t="str">
        <f>IF(priority(Main[[#This Row],[Comments]])&lt;&gt;0, priority(Main[[#This Row],[Comments]]),"")</f>
        <v/>
      </c>
      <c r="B463" s="90" t="s">
        <v>1313</v>
      </c>
      <c r="C463" s="72" t="s">
        <v>214</v>
      </c>
      <c r="D463" s="73" t="s">
        <v>419</v>
      </c>
      <c r="E463" s="74"/>
      <c r="F463" s="74">
        <v>40452</v>
      </c>
      <c r="G463" s="75" t="str">
        <f>IF(stdProdLT(Main[[#This Row],[Comments]])=0.1,"N/A",IF(stdProdLT(Main[[#This Row],[Comments]])=0,"",stdProdLT(Main[[#This Row],[Comments]])))</f>
        <v/>
      </c>
      <c r="H463" s="76" t="str">
        <f>IF(AND(Main[[#This Row],[In Stock Date]]&lt;&gt;"",Main[[#This Row],[Revised Due Date]]&lt;&gt;""),Main[[#This Row],[In Stock Date]]-Main[[#This Row],[Revised Due Date]],"")</f>
        <v/>
      </c>
      <c r="I463" s="72" t="s">
        <v>4</v>
      </c>
      <c r="J463" s="72" t="s">
        <v>4</v>
      </c>
      <c r="K463" s="72" t="s">
        <v>4</v>
      </c>
      <c r="L463" s="74"/>
      <c r="M463" s="77" t="str">
        <f>IF(Main[[#This Row],[Tech Start Date]]&lt;1/1/1990,"",IF(Main[[#This Row],[Class]]="C",WORKDAY(Main[[#This Row],[Tech Start Date]],9),IF(Main[[#This Row],[Class]]="B", WORKDAY(Main[[#This Row],[Tech Start Date]],6),IF(Main[[#This Row],[Class]]="A",WORKDAY(Main[[#This Row],[Tech Start Date]],2),""))))</f>
        <v/>
      </c>
      <c r="N463" s="77" t="str">
        <f>IF(Main[[#This Row],[Tech Start Date]]&lt;1/1/1990,"",IF(Main[[#This Row],[Class]]="C",WORKDAY(Main[[#This Row],[Tech Start Date]],19),IF(Main[[#This Row],[Class]]="B", WORKDAY(Main[[#This Row],[Tech Start Date]],12),IF(Main[[#This Row],[Class]]="A",WORKDAY(Main[[#This Row],[Tech Start Date]],4),""))))</f>
        <v/>
      </c>
      <c r="O463" s="77" t="str">
        <f>IF(Main[[#This Row],[Tech Start Date]]&lt;1/1/1990,"",IF(Main[[#This Row],[Class]]="C",WORKDAY(Main[[#This Row],[Tech Start Date]],23),IF(Main[[#This Row],[Class]]="B", WORKDAY(Main[[#This Row],[Tech Start Date]],15),IF(Main[[#This Row],[Class]]="A",WORKDAY(Main[[#This Row],[Tech Start Date]],5),""))))</f>
        <v/>
      </c>
      <c r="P463" s="77" t="str">
        <f>IF(Main[[#This Row],[Tech Start Date]]&lt;1/1/1990,"",IF(Main[[#This Row],[Class]]="C",WORKDAY(Main[[#This Row],[Tech Start Date]],28),IF(Main[[#This Row],[Class]]="B", WORKDAY(Main[[#This Row],[Tech Start Date]],19),IF(Main[[#This Row],[Class]]="A",WORKDAY(Main[[#This Row],[Tech Start Date]],9),""))))</f>
        <v/>
      </c>
      <c r="Q463" s="74">
        <v>40357</v>
      </c>
      <c r="R463" s="74"/>
      <c r="S463" s="72" t="s">
        <v>11</v>
      </c>
      <c r="T463" s="80" t="s">
        <v>4</v>
      </c>
      <c r="U463" s="72" t="s">
        <v>12</v>
      </c>
      <c r="V463" s="72" t="s">
        <v>1937</v>
      </c>
      <c r="W463" s="72" t="s">
        <v>1945</v>
      </c>
      <c r="X463" s="72" t="s">
        <v>2985</v>
      </c>
      <c r="Y463" s="72" t="s">
        <v>4</v>
      </c>
      <c r="Z463" s="72" t="s">
        <v>4</v>
      </c>
    </row>
    <row r="464" spans="1:26" ht="18.600000000000001" customHeight="1">
      <c r="A464" s="142" t="str">
        <f>IF(priority(Main[[#This Row],[Comments]])&lt;&gt;0, priority(Main[[#This Row],[Comments]]),"")</f>
        <v/>
      </c>
      <c r="B464" s="90" t="s">
        <v>1352</v>
      </c>
      <c r="C464" s="72" t="s">
        <v>4</v>
      </c>
      <c r="D464" s="73" t="s">
        <v>420</v>
      </c>
      <c r="E464" s="74"/>
      <c r="F464" s="74">
        <v>40633</v>
      </c>
      <c r="G464" s="75" t="str">
        <f>IF(stdProdLT(Main[[#This Row],[Comments]])=0.1,"N/A",IF(stdProdLT(Main[[#This Row],[Comments]])=0,"",stdProdLT(Main[[#This Row],[Comments]])))</f>
        <v/>
      </c>
      <c r="H464" s="76" t="str">
        <f>IF(AND(Main[[#This Row],[In Stock Date]]&lt;&gt;"",Main[[#This Row],[Revised Due Date]]&lt;&gt;""),Main[[#This Row],[In Stock Date]]-Main[[#This Row],[Revised Due Date]],"")</f>
        <v/>
      </c>
      <c r="I464" s="72" t="s">
        <v>421</v>
      </c>
      <c r="J464" s="72" t="s">
        <v>28</v>
      </c>
      <c r="K464" s="72" t="s">
        <v>1946</v>
      </c>
      <c r="L464" s="74"/>
      <c r="M464" s="77" t="str">
        <f>IF(Main[[#This Row],[Tech Start Date]]&lt;1/1/1990,"",IF(Main[[#This Row],[Class]]="C",WORKDAY(Main[[#This Row],[Tech Start Date]],9),IF(Main[[#This Row],[Class]]="B", WORKDAY(Main[[#This Row],[Tech Start Date]],6),IF(Main[[#This Row],[Class]]="A",WORKDAY(Main[[#This Row],[Tech Start Date]],2),""))))</f>
        <v/>
      </c>
      <c r="N464" s="77" t="str">
        <f>IF(Main[[#This Row],[Tech Start Date]]&lt;1/1/1990,"",IF(Main[[#This Row],[Class]]="C",WORKDAY(Main[[#This Row],[Tech Start Date]],19),IF(Main[[#This Row],[Class]]="B", WORKDAY(Main[[#This Row],[Tech Start Date]],12),IF(Main[[#This Row],[Class]]="A",WORKDAY(Main[[#This Row],[Tech Start Date]],4),""))))</f>
        <v/>
      </c>
      <c r="O464" s="77" t="str">
        <f>IF(Main[[#This Row],[Tech Start Date]]&lt;1/1/1990,"",IF(Main[[#This Row],[Class]]="C",WORKDAY(Main[[#This Row],[Tech Start Date]],23),IF(Main[[#This Row],[Class]]="B", WORKDAY(Main[[#This Row],[Tech Start Date]],15),IF(Main[[#This Row],[Class]]="A",WORKDAY(Main[[#This Row],[Tech Start Date]],5),""))))</f>
        <v/>
      </c>
      <c r="P464" s="77" t="str">
        <f>IF(Main[[#This Row],[Tech Start Date]]&lt;1/1/1990,"",IF(Main[[#This Row],[Class]]="C",WORKDAY(Main[[#This Row],[Tech Start Date]],28),IF(Main[[#This Row],[Class]]="B", WORKDAY(Main[[#This Row],[Tech Start Date]],19),IF(Main[[#This Row],[Class]]="A",WORKDAY(Main[[#This Row],[Tech Start Date]],9),""))))</f>
        <v/>
      </c>
      <c r="Q464" s="74">
        <v>40633</v>
      </c>
      <c r="R464" s="74"/>
      <c r="S464" s="72" t="s">
        <v>6</v>
      </c>
      <c r="T464" s="80" t="s">
        <v>4</v>
      </c>
      <c r="U464" s="72" t="s">
        <v>14</v>
      </c>
      <c r="V464" s="72" t="s">
        <v>1940</v>
      </c>
      <c r="W464" s="72" t="s">
        <v>1939</v>
      </c>
      <c r="X464" s="72" t="s">
        <v>2971</v>
      </c>
      <c r="Y464" s="72" t="s">
        <v>3090</v>
      </c>
      <c r="Z464" s="72" t="s">
        <v>30</v>
      </c>
    </row>
    <row r="465" spans="1:26" ht="18.600000000000001" customHeight="1">
      <c r="A465" s="142" t="str">
        <f>IF(priority(Main[[#This Row],[Comments]])&lt;&gt;0, priority(Main[[#This Row],[Comments]]),"")</f>
        <v/>
      </c>
      <c r="B465" s="90" t="s">
        <v>1856</v>
      </c>
      <c r="C465" s="72" t="s">
        <v>4</v>
      </c>
      <c r="D465" s="73" t="s">
        <v>902</v>
      </c>
      <c r="E465" s="74">
        <v>40365.442546296297</v>
      </c>
      <c r="F465" s="74"/>
      <c r="G465" s="75" t="str">
        <f>IF(stdProdLT(Main[[#This Row],[Comments]])=0.1,"N/A",IF(stdProdLT(Main[[#This Row],[Comments]])=0,"",stdProdLT(Main[[#This Row],[Comments]])))</f>
        <v/>
      </c>
      <c r="H465" s="76" t="str">
        <f>IF(AND(Main[[#This Row],[In Stock Date]]&lt;&gt;"",Main[[#This Row],[Revised Due Date]]&lt;&gt;""),Main[[#This Row],[In Stock Date]]-Main[[#This Row],[Revised Due Date]],"")</f>
        <v/>
      </c>
      <c r="I465" s="72" t="s">
        <v>903</v>
      </c>
      <c r="J465" s="72" t="s">
        <v>28</v>
      </c>
      <c r="K465" s="72" t="s">
        <v>1949</v>
      </c>
      <c r="L465" s="74"/>
      <c r="M465" s="77" t="str">
        <f>IF(Main[[#This Row],[Tech Start Date]]&lt;1/1/1990,"",IF(Main[[#This Row],[Class]]="C",WORKDAY(Main[[#This Row],[Tech Start Date]],9),IF(Main[[#This Row],[Class]]="B", WORKDAY(Main[[#This Row],[Tech Start Date]],6),IF(Main[[#This Row],[Class]]="A",WORKDAY(Main[[#This Row],[Tech Start Date]],2),""))))</f>
        <v/>
      </c>
      <c r="N465" s="77" t="str">
        <f>IF(Main[[#This Row],[Tech Start Date]]&lt;1/1/1990,"",IF(Main[[#This Row],[Class]]="C",WORKDAY(Main[[#This Row],[Tech Start Date]],19),IF(Main[[#This Row],[Class]]="B", WORKDAY(Main[[#This Row],[Tech Start Date]],12),IF(Main[[#This Row],[Class]]="A",WORKDAY(Main[[#This Row],[Tech Start Date]],4),""))))</f>
        <v/>
      </c>
      <c r="O465" s="77" t="str">
        <f>IF(Main[[#This Row],[Tech Start Date]]&lt;1/1/1990,"",IF(Main[[#This Row],[Class]]="C",WORKDAY(Main[[#This Row],[Tech Start Date]],23),IF(Main[[#This Row],[Class]]="B", WORKDAY(Main[[#This Row],[Tech Start Date]],15),IF(Main[[#This Row],[Class]]="A",WORKDAY(Main[[#This Row],[Tech Start Date]],5),""))))</f>
        <v/>
      </c>
      <c r="P465" s="77" t="str">
        <f>IF(Main[[#This Row],[Tech Start Date]]&lt;1/1/1990,"",IF(Main[[#This Row],[Class]]="C",WORKDAY(Main[[#This Row],[Tech Start Date]],28),IF(Main[[#This Row],[Class]]="B", WORKDAY(Main[[#This Row],[Tech Start Date]],19),IF(Main[[#This Row],[Class]]="A",WORKDAY(Main[[#This Row],[Tech Start Date]],9),""))))</f>
        <v/>
      </c>
      <c r="Q465" s="74">
        <v>40420</v>
      </c>
      <c r="R465" s="74">
        <v>40420</v>
      </c>
      <c r="S465" s="72" t="s">
        <v>323</v>
      </c>
      <c r="T465" s="80" t="s">
        <v>4</v>
      </c>
      <c r="U465" s="72" t="s">
        <v>29</v>
      </c>
      <c r="V465" s="72" t="s">
        <v>1937</v>
      </c>
      <c r="W465" s="72" t="s">
        <v>1941</v>
      </c>
      <c r="X465" s="72" t="s">
        <v>129</v>
      </c>
      <c r="Y465" s="72" t="s">
        <v>3091</v>
      </c>
      <c r="Z465" s="72" t="s">
        <v>129</v>
      </c>
    </row>
    <row r="466" spans="1:26" ht="18.600000000000001" customHeight="1">
      <c r="A466" s="142" t="str">
        <f>IF(priority(Main[[#This Row],[Comments]])&lt;&gt;0, priority(Main[[#This Row],[Comments]]),"")</f>
        <v/>
      </c>
      <c r="B466" s="90" t="s">
        <v>1353</v>
      </c>
      <c r="C466" s="72" t="s">
        <v>31</v>
      </c>
      <c r="D466" s="73" t="s">
        <v>422</v>
      </c>
      <c r="E466" s="74"/>
      <c r="F466" s="74">
        <v>40330</v>
      </c>
      <c r="G466" s="75" t="str">
        <f>IF(stdProdLT(Main[[#This Row],[Comments]])=0.1,"N/A",IF(stdProdLT(Main[[#This Row],[Comments]])=0,"",stdProdLT(Main[[#This Row],[Comments]])))</f>
        <v/>
      </c>
      <c r="H466" s="76" t="str">
        <f>IF(AND(Main[[#This Row],[In Stock Date]]&lt;&gt;"",Main[[#This Row],[Revised Due Date]]&lt;&gt;""),Main[[#This Row],[In Stock Date]]-Main[[#This Row],[Revised Due Date]],"")</f>
        <v/>
      </c>
      <c r="I466" s="72" t="s">
        <v>423</v>
      </c>
      <c r="J466" s="72" t="s">
        <v>4</v>
      </c>
      <c r="K466" s="72" t="s">
        <v>4</v>
      </c>
      <c r="L466" s="74"/>
      <c r="M466" s="77" t="str">
        <f>IF(Main[[#This Row],[Tech Start Date]]&lt;1/1/1990,"",IF(Main[[#This Row],[Class]]="C",WORKDAY(Main[[#This Row],[Tech Start Date]],9),IF(Main[[#This Row],[Class]]="B", WORKDAY(Main[[#This Row],[Tech Start Date]],6),IF(Main[[#This Row],[Class]]="A",WORKDAY(Main[[#This Row],[Tech Start Date]],2),""))))</f>
        <v/>
      </c>
      <c r="N466" s="77" t="str">
        <f>IF(Main[[#This Row],[Tech Start Date]]&lt;1/1/1990,"",IF(Main[[#This Row],[Class]]="C",WORKDAY(Main[[#This Row],[Tech Start Date]],19),IF(Main[[#This Row],[Class]]="B", WORKDAY(Main[[#This Row],[Tech Start Date]],12),IF(Main[[#This Row],[Class]]="A",WORKDAY(Main[[#This Row],[Tech Start Date]],4),""))))</f>
        <v/>
      </c>
      <c r="O466" s="77" t="str">
        <f>IF(Main[[#This Row],[Tech Start Date]]&lt;1/1/1990,"",IF(Main[[#This Row],[Class]]="C",WORKDAY(Main[[#This Row],[Tech Start Date]],23),IF(Main[[#This Row],[Class]]="B", WORKDAY(Main[[#This Row],[Tech Start Date]],15),IF(Main[[#This Row],[Class]]="A",WORKDAY(Main[[#This Row],[Tech Start Date]],5),""))))</f>
        <v/>
      </c>
      <c r="P466" s="77" t="str">
        <f>IF(Main[[#This Row],[Tech Start Date]]&lt;1/1/1990,"",IF(Main[[#This Row],[Class]]="C",WORKDAY(Main[[#This Row],[Tech Start Date]],28),IF(Main[[#This Row],[Class]]="B", WORKDAY(Main[[#This Row],[Tech Start Date]],19),IF(Main[[#This Row],[Class]]="A",WORKDAY(Main[[#This Row],[Tech Start Date]],9),""))))</f>
        <v/>
      </c>
      <c r="Q466" s="74">
        <v>40210</v>
      </c>
      <c r="R466" s="74"/>
      <c r="S466" s="72" t="s">
        <v>11</v>
      </c>
      <c r="T466" s="80" t="s">
        <v>4</v>
      </c>
      <c r="U466" s="72" t="s">
        <v>14</v>
      </c>
      <c r="V466" s="72" t="s">
        <v>1940</v>
      </c>
      <c r="W466" s="72" t="s">
        <v>1943</v>
      </c>
      <c r="X466" s="72" t="s">
        <v>2976</v>
      </c>
      <c r="Y466" s="72" t="s">
        <v>3101</v>
      </c>
      <c r="Z466" s="72" t="s">
        <v>4</v>
      </c>
    </row>
    <row r="467" spans="1:26" ht="18.600000000000001" customHeight="1">
      <c r="A467" s="142" t="str">
        <f>IF(priority(Main[[#This Row],[Comments]])&lt;&gt;0, priority(Main[[#This Row],[Comments]]),"")</f>
        <v/>
      </c>
      <c r="B467" s="90" t="s">
        <v>1354</v>
      </c>
      <c r="C467" s="72" t="s">
        <v>4</v>
      </c>
      <c r="D467" s="73" t="s">
        <v>424</v>
      </c>
      <c r="E467" s="74">
        <v>40305.512083333335</v>
      </c>
      <c r="F467" s="74"/>
      <c r="G467" s="75" t="str">
        <f>IF(stdProdLT(Main[[#This Row],[Comments]])=0.1,"N/A",IF(stdProdLT(Main[[#This Row],[Comments]])=0,"",stdProdLT(Main[[#This Row],[Comments]])))</f>
        <v/>
      </c>
      <c r="H467" s="76" t="str">
        <f>IF(AND(Main[[#This Row],[In Stock Date]]&lt;&gt;"",Main[[#This Row],[Revised Due Date]]&lt;&gt;""),Main[[#This Row],[In Stock Date]]-Main[[#This Row],[Revised Due Date]],"")</f>
        <v/>
      </c>
      <c r="I467" s="72" t="s">
        <v>4</v>
      </c>
      <c r="J467" s="72" t="s">
        <v>4</v>
      </c>
      <c r="K467" s="72" t="s">
        <v>4</v>
      </c>
      <c r="L467" s="74"/>
      <c r="M467" s="77" t="str">
        <f>IF(Main[[#This Row],[Tech Start Date]]&lt;1/1/1990,"",IF(Main[[#This Row],[Class]]="C",WORKDAY(Main[[#This Row],[Tech Start Date]],9),IF(Main[[#This Row],[Class]]="B", WORKDAY(Main[[#This Row],[Tech Start Date]],6),IF(Main[[#This Row],[Class]]="A",WORKDAY(Main[[#This Row],[Tech Start Date]],2),""))))</f>
        <v/>
      </c>
      <c r="N467" s="77" t="str">
        <f>IF(Main[[#This Row],[Tech Start Date]]&lt;1/1/1990,"",IF(Main[[#This Row],[Class]]="C",WORKDAY(Main[[#This Row],[Tech Start Date]],19),IF(Main[[#This Row],[Class]]="B", WORKDAY(Main[[#This Row],[Tech Start Date]],12),IF(Main[[#This Row],[Class]]="A",WORKDAY(Main[[#This Row],[Tech Start Date]],4),""))))</f>
        <v/>
      </c>
      <c r="O467" s="77" t="str">
        <f>IF(Main[[#This Row],[Tech Start Date]]&lt;1/1/1990,"",IF(Main[[#This Row],[Class]]="C",WORKDAY(Main[[#This Row],[Tech Start Date]],23),IF(Main[[#This Row],[Class]]="B", WORKDAY(Main[[#This Row],[Tech Start Date]],15),IF(Main[[#This Row],[Class]]="A",WORKDAY(Main[[#This Row],[Tech Start Date]],5),""))))</f>
        <v/>
      </c>
      <c r="P467" s="77" t="str">
        <f>IF(Main[[#This Row],[Tech Start Date]]&lt;1/1/1990,"",IF(Main[[#This Row],[Class]]="C",WORKDAY(Main[[#This Row],[Tech Start Date]],28),IF(Main[[#This Row],[Class]]="B", WORKDAY(Main[[#This Row],[Tech Start Date]],19),IF(Main[[#This Row],[Class]]="A",WORKDAY(Main[[#This Row],[Tech Start Date]],9),""))))</f>
        <v/>
      </c>
      <c r="Q467" s="74">
        <v>40312</v>
      </c>
      <c r="R467" s="74"/>
      <c r="S467" s="72" t="s">
        <v>6</v>
      </c>
      <c r="T467" s="80" t="s">
        <v>4</v>
      </c>
      <c r="U467" s="72" t="s">
        <v>7</v>
      </c>
      <c r="V467" s="72" t="s">
        <v>1937</v>
      </c>
      <c r="W467" s="72" t="s">
        <v>4</v>
      </c>
      <c r="X467" s="72" t="s">
        <v>102</v>
      </c>
      <c r="Y467" s="72" t="s">
        <v>3169</v>
      </c>
      <c r="Z467" s="72" t="s">
        <v>4</v>
      </c>
    </row>
    <row r="468" spans="1:26" ht="18.600000000000001" customHeight="1">
      <c r="A468" s="142" t="str">
        <f>IF(priority(Main[[#This Row],[Comments]])&lt;&gt;0, priority(Main[[#This Row],[Comments]]),"")</f>
        <v/>
      </c>
      <c r="B468" s="90" t="s">
        <v>1315</v>
      </c>
      <c r="C468" s="72" t="s">
        <v>31</v>
      </c>
      <c r="D468" s="73" t="s">
        <v>376</v>
      </c>
      <c r="E468" s="74"/>
      <c r="F468" s="74"/>
      <c r="G468" s="75" t="str">
        <f>IF(stdProdLT(Main[[#This Row],[Comments]])=0.1,"N/A",IF(stdProdLT(Main[[#This Row],[Comments]])=0,"",stdProdLT(Main[[#This Row],[Comments]])))</f>
        <v/>
      </c>
      <c r="H468" s="76" t="str">
        <f>IF(AND(Main[[#This Row],[In Stock Date]]&lt;&gt;"",Main[[#This Row],[Revised Due Date]]&lt;&gt;""),Main[[#This Row],[In Stock Date]]-Main[[#This Row],[Revised Due Date]],"")</f>
        <v/>
      </c>
      <c r="I468" s="72" t="s">
        <v>4</v>
      </c>
      <c r="J468" s="72" t="s">
        <v>4</v>
      </c>
      <c r="K468" s="72" t="s">
        <v>4</v>
      </c>
      <c r="L468" s="74"/>
      <c r="M468" s="77" t="str">
        <f>IF(Main[[#This Row],[Tech Start Date]]&lt;1/1/1990,"",IF(Main[[#This Row],[Class]]="C",WORKDAY(Main[[#This Row],[Tech Start Date]],9),IF(Main[[#This Row],[Class]]="B", WORKDAY(Main[[#This Row],[Tech Start Date]],6),IF(Main[[#This Row],[Class]]="A",WORKDAY(Main[[#This Row],[Tech Start Date]],2),""))))</f>
        <v/>
      </c>
      <c r="N468" s="77" t="str">
        <f>IF(Main[[#This Row],[Tech Start Date]]&lt;1/1/1990,"",IF(Main[[#This Row],[Class]]="C",WORKDAY(Main[[#This Row],[Tech Start Date]],19),IF(Main[[#This Row],[Class]]="B", WORKDAY(Main[[#This Row],[Tech Start Date]],12),IF(Main[[#This Row],[Class]]="A",WORKDAY(Main[[#This Row],[Tech Start Date]],4),""))))</f>
        <v/>
      </c>
      <c r="O468" s="77" t="str">
        <f>IF(Main[[#This Row],[Tech Start Date]]&lt;1/1/1990,"",IF(Main[[#This Row],[Class]]="C",WORKDAY(Main[[#This Row],[Tech Start Date]],23),IF(Main[[#This Row],[Class]]="B", WORKDAY(Main[[#This Row],[Tech Start Date]],15),IF(Main[[#This Row],[Class]]="A",WORKDAY(Main[[#This Row],[Tech Start Date]],5),""))))</f>
        <v/>
      </c>
      <c r="P468" s="77" t="str">
        <f>IF(Main[[#This Row],[Tech Start Date]]&lt;1/1/1990,"",IF(Main[[#This Row],[Class]]="C",WORKDAY(Main[[#This Row],[Tech Start Date]],28),IF(Main[[#This Row],[Class]]="B", WORKDAY(Main[[#This Row],[Tech Start Date]],19),IF(Main[[#This Row],[Class]]="A",WORKDAY(Main[[#This Row],[Tech Start Date]],9),""))))</f>
        <v/>
      </c>
      <c r="Q468" s="74">
        <v>40318</v>
      </c>
      <c r="R468" s="74"/>
      <c r="S468" s="72" t="s">
        <v>11</v>
      </c>
      <c r="T468" s="80" t="s">
        <v>4</v>
      </c>
      <c r="U468" s="72" t="s">
        <v>14</v>
      </c>
      <c r="V468" s="72" t="s">
        <v>1940</v>
      </c>
      <c r="W468" s="72" t="s">
        <v>1939</v>
      </c>
      <c r="X468" s="72" t="s">
        <v>2982</v>
      </c>
      <c r="Y468" s="72" t="s">
        <v>4</v>
      </c>
      <c r="Z468" s="72" t="s">
        <v>4</v>
      </c>
    </row>
    <row r="469" spans="1:26" ht="18.600000000000001" customHeight="1">
      <c r="A469" s="142" t="str">
        <f>IF(priority(Main[[#This Row],[Comments]])&lt;&gt;0, priority(Main[[#This Row],[Comments]]),"")</f>
        <v/>
      </c>
      <c r="B469" s="90" t="s">
        <v>1316</v>
      </c>
      <c r="C469" s="72" t="s">
        <v>4</v>
      </c>
      <c r="D469" s="73" t="s">
        <v>377</v>
      </c>
      <c r="E469" s="74">
        <v>40679.255486111113</v>
      </c>
      <c r="F469" s="74"/>
      <c r="G469" s="75" t="str">
        <f>IF(stdProdLT(Main[[#This Row],[Comments]])=0.1,"N/A",IF(stdProdLT(Main[[#This Row],[Comments]])=0,"",stdProdLT(Main[[#This Row],[Comments]])))</f>
        <v/>
      </c>
      <c r="H469" s="76" t="str">
        <f>IF(AND(Main[[#This Row],[In Stock Date]]&lt;&gt;"",Main[[#This Row],[Revised Due Date]]&lt;&gt;""),Main[[#This Row],[In Stock Date]]-Main[[#This Row],[Revised Due Date]],"")</f>
        <v/>
      </c>
      <c r="I469" s="72" t="s">
        <v>4</v>
      </c>
      <c r="J469" s="72" t="s">
        <v>4</v>
      </c>
      <c r="K469" s="72" t="s">
        <v>4</v>
      </c>
      <c r="L469" s="74"/>
      <c r="M469" s="77" t="str">
        <f>IF(Main[[#This Row],[Tech Start Date]]&lt;1/1/1990,"",IF(Main[[#This Row],[Class]]="C",WORKDAY(Main[[#This Row],[Tech Start Date]],9),IF(Main[[#This Row],[Class]]="B", WORKDAY(Main[[#This Row],[Tech Start Date]],6),IF(Main[[#This Row],[Class]]="A",WORKDAY(Main[[#This Row],[Tech Start Date]],2),""))))</f>
        <v/>
      </c>
      <c r="N469" s="77" t="str">
        <f>IF(Main[[#This Row],[Tech Start Date]]&lt;1/1/1990,"",IF(Main[[#This Row],[Class]]="C",WORKDAY(Main[[#This Row],[Tech Start Date]],19),IF(Main[[#This Row],[Class]]="B", WORKDAY(Main[[#This Row],[Tech Start Date]],12),IF(Main[[#This Row],[Class]]="A",WORKDAY(Main[[#This Row],[Tech Start Date]],4),""))))</f>
        <v/>
      </c>
      <c r="O469" s="77" t="str">
        <f>IF(Main[[#This Row],[Tech Start Date]]&lt;1/1/1990,"",IF(Main[[#This Row],[Class]]="C",WORKDAY(Main[[#This Row],[Tech Start Date]],23),IF(Main[[#This Row],[Class]]="B", WORKDAY(Main[[#This Row],[Tech Start Date]],15),IF(Main[[#This Row],[Class]]="A",WORKDAY(Main[[#This Row],[Tech Start Date]],5),""))))</f>
        <v/>
      </c>
      <c r="P469" s="77" t="str">
        <f>IF(Main[[#This Row],[Tech Start Date]]&lt;1/1/1990,"",IF(Main[[#This Row],[Class]]="C",WORKDAY(Main[[#This Row],[Tech Start Date]],28),IF(Main[[#This Row],[Class]]="B", WORKDAY(Main[[#This Row],[Tech Start Date]],19),IF(Main[[#This Row],[Class]]="A",WORKDAY(Main[[#This Row],[Tech Start Date]],9),""))))</f>
        <v/>
      </c>
      <c r="Q469" s="74">
        <v>40724</v>
      </c>
      <c r="R469" s="74"/>
      <c r="S469" s="72" t="s">
        <v>6</v>
      </c>
      <c r="T469" s="80" t="s">
        <v>4</v>
      </c>
      <c r="U469" s="72" t="s">
        <v>7</v>
      </c>
      <c r="V469" s="72" t="s">
        <v>1937</v>
      </c>
      <c r="W469" s="72" t="s">
        <v>4</v>
      </c>
      <c r="X469" s="72" t="s">
        <v>2974</v>
      </c>
      <c r="Y469" s="72" t="s">
        <v>3096</v>
      </c>
      <c r="Z469" s="72" t="s">
        <v>4</v>
      </c>
    </row>
    <row r="470" spans="1:26" ht="18.600000000000001" customHeight="1">
      <c r="A470" s="142" t="str">
        <f>IF(priority(Main[[#This Row],[Comments]])&lt;&gt;0, priority(Main[[#This Row],[Comments]]),"")</f>
        <v/>
      </c>
      <c r="B470" s="90" t="s">
        <v>1317</v>
      </c>
      <c r="C470" s="72" t="s">
        <v>4</v>
      </c>
      <c r="D470" s="73" t="s">
        <v>378</v>
      </c>
      <c r="E470" s="74"/>
      <c r="F470" s="74"/>
      <c r="G470" s="75" t="str">
        <f>IF(stdProdLT(Main[[#This Row],[Comments]])=0.1,"N/A",IF(stdProdLT(Main[[#This Row],[Comments]])=0,"",stdProdLT(Main[[#This Row],[Comments]])))</f>
        <v/>
      </c>
      <c r="H470" s="76" t="str">
        <f>IF(AND(Main[[#This Row],[In Stock Date]]&lt;&gt;"",Main[[#This Row],[Revised Due Date]]&lt;&gt;""),Main[[#This Row],[In Stock Date]]-Main[[#This Row],[Revised Due Date]],"")</f>
        <v/>
      </c>
      <c r="I470" s="72" t="s">
        <v>4</v>
      </c>
      <c r="J470" s="72" t="s">
        <v>4</v>
      </c>
      <c r="K470" s="72" t="s">
        <v>4</v>
      </c>
      <c r="L470" s="74"/>
      <c r="M470" s="77" t="str">
        <f>IF(Main[[#This Row],[Tech Start Date]]&lt;1/1/1990,"",IF(Main[[#This Row],[Class]]="C",WORKDAY(Main[[#This Row],[Tech Start Date]],9),IF(Main[[#This Row],[Class]]="B", WORKDAY(Main[[#This Row],[Tech Start Date]],6),IF(Main[[#This Row],[Class]]="A",WORKDAY(Main[[#This Row],[Tech Start Date]],2),""))))</f>
        <v/>
      </c>
      <c r="N470" s="77" t="str">
        <f>IF(Main[[#This Row],[Tech Start Date]]&lt;1/1/1990,"",IF(Main[[#This Row],[Class]]="C",WORKDAY(Main[[#This Row],[Tech Start Date]],19),IF(Main[[#This Row],[Class]]="B", WORKDAY(Main[[#This Row],[Tech Start Date]],12),IF(Main[[#This Row],[Class]]="A",WORKDAY(Main[[#This Row],[Tech Start Date]],4),""))))</f>
        <v/>
      </c>
      <c r="O470" s="77" t="str">
        <f>IF(Main[[#This Row],[Tech Start Date]]&lt;1/1/1990,"",IF(Main[[#This Row],[Class]]="C",WORKDAY(Main[[#This Row],[Tech Start Date]],23),IF(Main[[#This Row],[Class]]="B", WORKDAY(Main[[#This Row],[Tech Start Date]],15),IF(Main[[#This Row],[Class]]="A",WORKDAY(Main[[#This Row],[Tech Start Date]],5),""))))</f>
        <v/>
      </c>
      <c r="P470" s="77" t="str">
        <f>IF(Main[[#This Row],[Tech Start Date]]&lt;1/1/1990,"",IF(Main[[#This Row],[Class]]="C",WORKDAY(Main[[#This Row],[Tech Start Date]],28),IF(Main[[#This Row],[Class]]="B", WORKDAY(Main[[#This Row],[Tech Start Date]],19),IF(Main[[#This Row],[Class]]="A",WORKDAY(Main[[#This Row],[Tech Start Date]],9),""))))</f>
        <v/>
      </c>
      <c r="Q470" s="74"/>
      <c r="R470" s="74"/>
      <c r="S470" s="72" t="s">
        <v>11</v>
      </c>
      <c r="T470" s="80" t="s">
        <v>4</v>
      </c>
      <c r="U470" s="72" t="s">
        <v>14</v>
      </c>
      <c r="V470" s="72" t="s">
        <v>1940</v>
      </c>
      <c r="W470" s="72" t="s">
        <v>1948</v>
      </c>
      <c r="X470" s="72" t="s">
        <v>311</v>
      </c>
      <c r="Y470" s="72" t="s">
        <v>4</v>
      </c>
      <c r="Z470" s="72" t="s">
        <v>4</v>
      </c>
    </row>
    <row r="471" spans="1:26" ht="18.600000000000001" customHeight="1">
      <c r="A471" s="142" t="str">
        <f>IF(priority(Main[[#This Row],[Comments]])&lt;&gt;0, priority(Main[[#This Row],[Comments]]),"")</f>
        <v/>
      </c>
      <c r="B471" s="90" t="s">
        <v>2008</v>
      </c>
      <c r="C471" s="72" t="s">
        <v>4</v>
      </c>
      <c r="D471" s="73" t="s">
        <v>2009</v>
      </c>
      <c r="E471" s="74"/>
      <c r="F471" s="74"/>
      <c r="G471" s="75" t="str">
        <f>IF(stdProdLT(Main[[#This Row],[Comments]])=0.1,"N/A",IF(stdProdLT(Main[[#This Row],[Comments]])=0,"",stdProdLT(Main[[#This Row],[Comments]])))</f>
        <v/>
      </c>
      <c r="H471" s="76" t="str">
        <f>IF(AND(Main[[#This Row],[In Stock Date]]&lt;&gt;"",Main[[#This Row],[Revised Due Date]]&lt;&gt;""),Main[[#This Row],[In Stock Date]]-Main[[#This Row],[Revised Due Date]],"")</f>
        <v/>
      </c>
      <c r="I471" s="72" t="s">
        <v>4</v>
      </c>
      <c r="J471" s="72" t="s">
        <v>4</v>
      </c>
      <c r="K471" s="72" t="s">
        <v>4</v>
      </c>
      <c r="L471" s="74"/>
      <c r="M471" s="77" t="str">
        <f>IF(Main[[#This Row],[Tech Start Date]]&lt;1/1/1990,"",IF(Main[[#This Row],[Class]]="C",WORKDAY(Main[[#This Row],[Tech Start Date]],9),IF(Main[[#This Row],[Class]]="B", WORKDAY(Main[[#This Row],[Tech Start Date]],6),IF(Main[[#This Row],[Class]]="A",WORKDAY(Main[[#This Row],[Tech Start Date]],2),""))))</f>
        <v/>
      </c>
      <c r="N471" s="77" t="str">
        <f>IF(Main[[#This Row],[Tech Start Date]]&lt;1/1/1990,"",IF(Main[[#This Row],[Class]]="C",WORKDAY(Main[[#This Row],[Tech Start Date]],19),IF(Main[[#This Row],[Class]]="B", WORKDAY(Main[[#This Row],[Tech Start Date]],12),IF(Main[[#This Row],[Class]]="A",WORKDAY(Main[[#This Row],[Tech Start Date]],4),""))))</f>
        <v/>
      </c>
      <c r="O471" s="77" t="str">
        <f>IF(Main[[#This Row],[Tech Start Date]]&lt;1/1/1990,"",IF(Main[[#This Row],[Class]]="C",WORKDAY(Main[[#This Row],[Tech Start Date]],23),IF(Main[[#This Row],[Class]]="B", WORKDAY(Main[[#This Row],[Tech Start Date]],15),IF(Main[[#This Row],[Class]]="A",WORKDAY(Main[[#This Row],[Tech Start Date]],5),""))))</f>
        <v/>
      </c>
      <c r="P471" s="77" t="str">
        <f>IF(Main[[#This Row],[Tech Start Date]]&lt;1/1/1990,"",IF(Main[[#This Row],[Class]]="C",WORKDAY(Main[[#This Row],[Tech Start Date]],28),IF(Main[[#This Row],[Class]]="B", WORKDAY(Main[[#This Row],[Tech Start Date]],19),IF(Main[[#This Row],[Class]]="A",WORKDAY(Main[[#This Row],[Tech Start Date]],9),""))))</f>
        <v/>
      </c>
      <c r="Q471" s="74"/>
      <c r="R471" s="74"/>
      <c r="S471" s="72" t="s">
        <v>11</v>
      </c>
      <c r="T471" s="80" t="s">
        <v>4</v>
      </c>
      <c r="U471" s="72" t="s">
        <v>12</v>
      </c>
      <c r="V471" s="72" t="s">
        <v>1937</v>
      </c>
      <c r="W471" s="72" t="s">
        <v>1941</v>
      </c>
      <c r="X471" s="72" t="s">
        <v>953</v>
      </c>
      <c r="Y471" s="72" t="s">
        <v>3142</v>
      </c>
      <c r="Z471" s="72" t="s">
        <v>4</v>
      </c>
    </row>
    <row r="472" spans="1:26" ht="18.600000000000001" customHeight="1">
      <c r="A472" s="142" t="str">
        <f>IF(priority(Main[[#This Row],[Comments]])&lt;&gt;0, priority(Main[[#This Row],[Comments]]),"")</f>
        <v/>
      </c>
      <c r="B472" s="90" t="s">
        <v>1319</v>
      </c>
      <c r="C472" s="72" t="s">
        <v>4</v>
      </c>
      <c r="D472" s="73" t="s">
        <v>97</v>
      </c>
      <c r="E472" s="74"/>
      <c r="F472" s="74"/>
      <c r="G472" s="75" t="str">
        <f>IF(stdProdLT(Main[[#This Row],[Comments]])=0.1,"N/A",IF(stdProdLT(Main[[#This Row],[Comments]])=0,"",stdProdLT(Main[[#This Row],[Comments]])))</f>
        <v/>
      </c>
      <c r="H472" s="76" t="str">
        <f>IF(AND(Main[[#This Row],[In Stock Date]]&lt;&gt;"",Main[[#This Row],[Revised Due Date]]&lt;&gt;""),Main[[#This Row],[In Stock Date]]-Main[[#This Row],[Revised Due Date]],"")</f>
        <v/>
      </c>
      <c r="I472" s="72" t="s">
        <v>4</v>
      </c>
      <c r="J472" s="72" t="s">
        <v>4</v>
      </c>
      <c r="K472" s="72" t="s">
        <v>4</v>
      </c>
      <c r="L472" s="74"/>
      <c r="M472" s="77" t="str">
        <f>IF(Main[[#This Row],[Tech Start Date]]&lt;1/1/1990,"",IF(Main[[#This Row],[Class]]="C",WORKDAY(Main[[#This Row],[Tech Start Date]],9),IF(Main[[#This Row],[Class]]="B", WORKDAY(Main[[#This Row],[Tech Start Date]],6),IF(Main[[#This Row],[Class]]="A",WORKDAY(Main[[#This Row],[Tech Start Date]],2),""))))</f>
        <v/>
      </c>
      <c r="N472" s="77" t="str">
        <f>IF(Main[[#This Row],[Tech Start Date]]&lt;1/1/1990,"",IF(Main[[#This Row],[Class]]="C",WORKDAY(Main[[#This Row],[Tech Start Date]],19),IF(Main[[#This Row],[Class]]="B", WORKDAY(Main[[#This Row],[Tech Start Date]],12),IF(Main[[#This Row],[Class]]="A",WORKDAY(Main[[#This Row],[Tech Start Date]],4),""))))</f>
        <v/>
      </c>
      <c r="O472" s="77" t="str">
        <f>IF(Main[[#This Row],[Tech Start Date]]&lt;1/1/1990,"",IF(Main[[#This Row],[Class]]="C",WORKDAY(Main[[#This Row],[Tech Start Date]],23),IF(Main[[#This Row],[Class]]="B", WORKDAY(Main[[#This Row],[Tech Start Date]],15),IF(Main[[#This Row],[Class]]="A",WORKDAY(Main[[#This Row],[Tech Start Date]],5),""))))</f>
        <v/>
      </c>
      <c r="P472" s="77" t="str">
        <f>IF(Main[[#This Row],[Tech Start Date]]&lt;1/1/1990,"",IF(Main[[#This Row],[Class]]="C",WORKDAY(Main[[#This Row],[Tech Start Date]],28),IF(Main[[#This Row],[Class]]="B", WORKDAY(Main[[#This Row],[Tech Start Date]],19),IF(Main[[#This Row],[Class]]="A",WORKDAY(Main[[#This Row],[Tech Start Date]],9),""))))</f>
        <v/>
      </c>
      <c r="Q472" s="74">
        <v>40858</v>
      </c>
      <c r="R472" s="74"/>
      <c r="S472" s="72" t="s">
        <v>17</v>
      </c>
      <c r="T472" s="80" t="s">
        <v>4</v>
      </c>
      <c r="U472" s="72" t="s">
        <v>14</v>
      </c>
      <c r="V472" s="72" t="s">
        <v>1937</v>
      </c>
      <c r="W472" s="72" t="s">
        <v>1942</v>
      </c>
      <c r="X472" s="72" t="s">
        <v>50</v>
      </c>
      <c r="Y472" s="72" t="s">
        <v>3117</v>
      </c>
      <c r="Z472" s="72" t="s">
        <v>4</v>
      </c>
    </row>
    <row r="473" spans="1:26" ht="18.600000000000001" customHeight="1">
      <c r="A473" s="142" t="str">
        <f>IF(priority(Main[[#This Row],[Comments]])&lt;&gt;0, priority(Main[[#This Row],[Comments]]),"")</f>
        <v/>
      </c>
      <c r="B473" s="90" t="s">
        <v>1320</v>
      </c>
      <c r="C473" s="72" t="s">
        <v>95</v>
      </c>
      <c r="D473" s="73" t="s">
        <v>380</v>
      </c>
      <c r="E473" s="74"/>
      <c r="F473" s="74">
        <v>40195</v>
      </c>
      <c r="G473" s="75" t="str">
        <f>IF(stdProdLT(Main[[#This Row],[Comments]])=0.1,"N/A",IF(stdProdLT(Main[[#This Row],[Comments]])=0,"",stdProdLT(Main[[#This Row],[Comments]])))</f>
        <v/>
      </c>
      <c r="H473" s="76" t="str">
        <f>IF(AND(Main[[#This Row],[In Stock Date]]&lt;&gt;"",Main[[#This Row],[Revised Due Date]]&lt;&gt;""),Main[[#This Row],[In Stock Date]]-Main[[#This Row],[Revised Due Date]],"")</f>
        <v/>
      </c>
      <c r="I473" s="72" t="s">
        <v>4</v>
      </c>
      <c r="J473" s="72" t="s">
        <v>4</v>
      </c>
      <c r="K473" s="72" t="s">
        <v>4</v>
      </c>
      <c r="L473" s="74"/>
      <c r="M473" s="77" t="str">
        <f>IF(Main[[#This Row],[Tech Start Date]]&lt;1/1/1990,"",IF(Main[[#This Row],[Class]]="C",WORKDAY(Main[[#This Row],[Tech Start Date]],9),IF(Main[[#This Row],[Class]]="B", WORKDAY(Main[[#This Row],[Tech Start Date]],6),IF(Main[[#This Row],[Class]]="A",WORKDAY(Main[[#This Row],[Tech Start Date]],2),""))))</f>
        <v/>
      </c>
      <c r="N473" s="77" t="str">
        <f>IF(Main[[#This Row],[Tech Start Date]]&lt;1/1/1990,"",IF(Main[[#This Row],[Class]]="C",WORKDAY(Main[[#This Row],[Tech Start Date]],19),IF(Main[[#This Row],[Class]]="B", WORKDAY(Main[[#This Row],[Tech Start Date]],12),IF(Main[[#This Row],[Class]]="A",WORKDAY(Main[[#This Row],[Tech Start Date]],4),""))))</f>
        <v/>
      </c>
      <c r="O473" s="77" t="str">
        <f>IF(Main[[#This Row],[Tech Start Date]]&lt;1/1/1990,"",IF(Main[[#This Row],[Class]]="C",WORKDAY(Main[[#This Row],[Tech Start Date]],23),IF(Main[[#This Row],[Class]]="B", WORKDAY(Main[[#This Row],[Tech Start Date]],15),IF(Main[[#This Row],[Class]]="A",WORKDAY(Main[[#This Row],[Tech Start Date]],5),""))))</f>
        <v/>
      </c>
      <c r="P473" s="77" t="str">
        <f>IF(Main[[#This Row],[Tech Start Date]]&lt;1/1/1990,"",IF(Main[[#This Row],[Class]]="C",WORKDAY(Main[[#This Row],[Tech Start Date]],28),IF(Main[[#This Row],[Class]]="B", WORKDAY(Main[[#This Row],[Tech Start Date]],19),IF(Main[[#This Row],[Class]]="A",WORKDAY(Main[[#This Row],[Tech Start Date]],9),""))))</f>
        <v/>
      </c>
      <c r="Q473" s="74">
        <v>40070</v>
      </c>
      <c r="R473" s="74"/>
      <c r="S473" s="72" t="s">
        <v>11</v>
      </c>
      <c r="T473" s="80" t="s">
        <v>4</v>
      </c>
      <c r="U473" s="72" t="s">
        <v>14</v>
      </c>
      <c r="V473" s="72" t="s">
        <v>1940</v>
      </c>
      <c r="W473" s="72" t="s">
        <v>1943</v>
      </c>
      <c r="X473" s="72" t="s">
        <v>3028</v>
      </c>
      <c r="Y473" s="72" t="s">
        <v>4</v>
      </c>
      <c r="Z473" s="72" t="s">
        <v>4</v>
      </c>
    </row>
    <row r="474" spans="1:26" ht="18.600000000000001" customHeight="1">
      <c r="A474" s="142" t="str">
        <f>IF(priority(Main[[#This Row],[Comments]])&lt;&gt;0, priority(Main[[#This Row],[Comments]]),"")</f>
        <v/>
      </c>
      <c r="B474" s="90" t="s">
        <v>1848</v>
      </c>
      <c r="C474" s="72" t="s">
        <v>4</v>
      </c>
      <c r="D474" s="73" t="s">
        <v>892</v>
      </c>
      <c r="E474" s="74">
        <v>40122.528101851851</v>
      </c>
      <c r="F474" s="74"/>
      <c r="G474" s="75" t="str">
        <f>IF(stdProdLT(Main[[#This Row],[Comments]])=0.1,"N/A",IF(stdProdLT(Main[[#This Row],[Comments]])=0,"",stdProdLT(Main[[#This Row],[Comments]])))</f>
        <v/>
      </c>
      <c r="H474" s="76" t="str">
        <f>IF(AND(Main[[#This Row],[In Stock Date]]&lt;&gt;"",Main[[#This Row],[Revised Due Date]]&lt;&gt;""),Main[[#This Row],[In Stock Date]]-Main[[#This Row],[Revised Due Date]],"")</f>
        <v/>
      </c>
      <c r="I474" s="72" t="s">
        <v>4</v>
      </c>
      <c r="J474" s="72" t="s">
        <v>4</v>
      </c>
      <c r="K474" s="81" t="s">
        <v>4</v>
      </c>
      <c r="L474" s="74"/>
      <c r="M474" s="77" t="str">
        <f>IF(Main[[#This Row],[Tech Start Date]]&lt;1/1/1990,"",IF(Main[[#This Row],[Class]]="C",WORKDAY(Main[[#This Row],[Tech Start Date]],9),IF(Main[[#This Row],[Class]]="B", WORKDAY(Main[[#This Row],[Tech Start Date]],6),IF(Main[[#This Row],[Class]]="A",WORKDAY(Main[[#This Row],[Tech Start Date]],2),""))))</f>
        <v/>
      </c>
      <c r="N474" s="77" t="str">
        <f>IF(Main[[#This Row],[Tech Start Date]]&lt;1/1/1990,"",IF(Main[[#This Row],[Class]]="C",WORKDAY(Main[[#This Row],[Tech Start Date]],19),IF(Main[[#This Row],[Class]]="B", WORKDAY(Main[[#This Row],[Tech Start Date]],12),IF(Main[[#This Row],[Class]]="A",WORKDAY(Main[[#This Row],[Tech Start Date]],4),""))))</f>
        <v/>
      </c>
      <c r="O474" s="77" t="str">
        <f>IF(Main[[#This Row],[Tech Start Date]]&lt;1/1/1990,"",IF(Main[[#This Row],[Class]]="C",WORKDAY(Main[[#This Row],[Tech Start Date]],23),IF(Main[[#This Row],[Class]]="B", WORKDAY(Main[[#This Row],[Tech Start Date]],15),IF(Main[[#This Row],[Class]]="A",WORKDAY(Main[[#This Row],[Tech Start Date]],5),""))))</f>
        <v/>
      </c>
      <c r="P474" s="77" t="str">
        <f>IF(Main[[#This Row],[Tech Start Date]]&lt;1/1/1990,"",IF(Main[[#This Row],[Class]]="C",WORKDAY(Main[[#This Row],[Tech Start Date]],28),IF(Main[[#This Row],[Class]]="B", WORKDAY(Main[[#This Row],[Tech Start Date]],19),IF(Main[[#This Row],[Class]]="A",WORKDAY(Main[[#This Row],[Tech Start Date]],9),""))))</f>
        <v/>
      </c>
      <c r="Q474" s="74"/>
      <c r="R474" s="74">
        <v>40368</v>
      </c>
      <c r="S474" s="72" t="s">
        <v>17</v>
      </c>
      <c r="T474" s="80" t="s">
        <v>4</v>
      </c>
      <c r="U474" s="72" t="s">
        <v>29</v>
      </c>
      <c r="V474" s="72" t="s">
        <v>1938</v>
      </c>
      <c r="W474" s="72" t="s">
        <v>1942</v>
      </c>
      <c r="X474" s="72" t="s">
        <v>3014</v>
      </c>
      <c r="Y474" s="72" t="s">
        <v>3164</v>
      </c>
      <c r="Z474" s="72" t="s">
        <v>4</v>
      </c>
    </row>
    <row r="475" spans="1:26" ht="18.600000000000001" customHeight="1">
      <c r="A475" s="142" t="str">
        <f>IF(priority(Main[[#This Row],[Comments]])&lt;&gt;0, priority(Main[[#This Row],[Comments]]),"")</f>
        <v/>
      </c>
      <c r="B475" s="90" t="s">
        <v>1875</v>
      </c>
      <c r="C475" s="72" t="s">
        <v>67</v>
      </c>
      <c r="D475" s="73" t="s">
        <v>923</v>
      </c>
      <c r="E475" s="74">
        <v>39981.49927083333</v>
      </c>
      <c r="F475" s="74"/>
      <c r="G475" s="75" t="str">
        <f>IF(stdProdLT(Main[[#This Row],[Comments]])=0.1,"N/A",IF(stdProdLT(Main[[#This Row],[Comments]])=0,"",stdProdLT(Main[[#This Row],[Comments]])))</f>
        <v/>
      </c>
      <c r="H475" s="76" t="str">
        <f>IF(AND(Main[[#This Row],[In Stock Date]]&lt;&gt;"",Main[[#This Row],[Revised Due Date]]&lt;&gt;""),Main[[#This Row],[In Stock Date]]-Main[[#This Row],[Revised Due Date]],"")</f>
        <v/>
      </c>
      <c r="I475" s="72" t="s">
        <v>990</v>
      </c>
      <c r="J475" s="72" t="s">
        <v>4</v>
      </c>
      <c r="K475" s="72" t="s">
        <v>1949</v>
      </c>
      <c r="L475" s="74"/>
      <c r="M475" s="77" t="str">
        <f>IF(Main[[#This Row],[Tech Start Date]]&lt;1/1/1990,"",IF(Main[[#This Row],[Class]]="C",WORKDAY(Main[[#This Row],[Tech Start Date]],9),IF(Main[[#This Row],[Class]]="B", WORKDAY(Main[[#This Row],[Tech Start Date]],6),IF(Main[[#This Row],[Class]]="A",WORKDAY(Main[[#This Row],[Tech Start Date]],2),""))))</f>
        <v/>
      </c>
      <c r="N475" s="77" t="str">
        <f>IF(Main[[#This Row],[Tech Start Date]]&lt;1/1/1990,"",IF(Main[[#This Row],[Class]]="C",WORKDAY(Main[[#This Row],[Tech Start Date]],19),IF(Main[[#This Row],[Class]]="B", WORKDAY(Main[[#This Row],[Tech Start Date]],12),IF(Main[[#This Row],[Class]]="A",WORKDAY(Main[[#This Row],[Tech Start Date]],4),""))))</f>
        <v/>
      </c>
      <c r="O475" s="77" t="str">
        <f>IF(Main[[#This Row],[Tech Start Date]]&lt;1/1/1990,"",IF(Main[[#This Row],[Class]]="C",WORKDAY(Main[[#This Row],[Tech Start Date]],23),IF(Main[[#This Row],[Class]]="B", WORKDAY(Main[[#This Row],[Tech Start Date]],15),IF(Main[[#This Row],[Class]]="A",WORKDAY(Main[[#This Row],[Tech Start Date]],5),""))))</f>
        <v/>
      </c>
      <c r="P475" s="77" t="str">
        <f>IF(Main[[#This Row],[Tech Start Date]]&lt;1/1/1990,"",IF(Main[[#This Row],[Class]]="C",WORKDAY(Main[[#This Row],[Tech Start Date]],28),IF(Main[[#This Row],[Class]]="B", WORKDAY(Main[[#This Row],[Tech Start Date]],19),IF(Main[[#This Row],[Class]]="A",WORKDAY(Main[[#This Row],[Tech Start Date]],9),""))))</f>
        <v/>
      </c>
      <c r="Q475" s="74">
        <v>40057</v>
      </c>
      <c r="R475" s="74">
        <v>40908</v>
      </c>
      <c r="S475" s="72" t="s">
        <v>17</v>
      </c>
      <c r="T475" s="80" t="s">
        <v>4</v>
      </c>
      <c r="U475" s="72" t="s">
        <v>29</v>
      </c>
      <c r="V475" s="72" t="s">
        <v>1940</v>
      </c>
      <c r="W475" s="72" t="s">
        <v>1942</v>
      </c>
      <c r="X475" s="72" t="s">
        <v>2972</v>
      </c>
      <c r="Y475" s="72" t="s">
        <v>3186</v>
      </c>
      <c r="Z475" s="72" t="s">
        <v>421</v>
      </c>
    </row>
    <row r="476" spans="1:26" ht="18.600000000000001" customHeight="1">
      <c r="A476" s="142" t="str">
        <f>IF(priority(Main[[#This Row],[Comments]])&lt;&gt;0, priority(Main[[#This Row],[Comments]]),"")</f>
        <v/>
      </c>
      <c r="B476" s="90" t="s">
        <v>2107</v>
      </c>
      <c r="C476" s="72" t="s">
        <v>967</v>
      </c>
      <c r="D476" s="73" t="s">
        <v>2108</v>
      </c>
      <c r="E476" s="74"/>
      <c r="F476" s="74">
        <v>40871</v>
      </c>
      <c r="G476" s="75" t="str">
        <f>IF(stdProdLT(Main[[#This Row],[Comments]])=0.1,"N/A",IF(stdProdLT(Main[[#This Row],[Comments]])=0,"",stdProdLT(Main[[#This Row],[Comments]])))</f>
        <v/>
      </c>
      <c r="H476" s="76" t="str">
        <f>IF(AND(Main[[#This Row],[In Stock Date]]&lt;&gt;"",Main[[#This Row],[Revised Due Date]]&lt;&gt;""),Main[[#This Row],[In Stock Date]]-Main[[#This Row],[Revised Due Date]],"")</f>
        <v/>
      </c>
      <c r="I476" s="72" t="s">
        <v>4</v>
      </c>
      <c r="J476" s="72" t="s">
        <v>4</v>
      </c>
      <c r="K476" s="72" t="s">
        <v>4</v>
      </c>
      <c r="L476" s="74"/>
      <c r="M476" s="77" t="str">
        <f>IF(Main[[#This Row],[Tech Start Date]]&lt;1/1/1990,"",IF(Main[[#This Row],[Class]]="C",WORKDAY(Main[[#This Row],[Tech Start Date]],9),IF(Main[[#This Row],[Class]]="B", WORKDAY(Main[[#This Row],[Tech Start Date]],6),IF(Main[[#This Row],[Class]]="A",WORKDAY(Main[[#This Row],[Tech Start Date]],2),""))))</f>
        <v/>
      </c>
      <c r="N476" s="77" t="str">
        <f>IF(Main[[#This Row],[Tech Start Date]]&lt;1/1/1990,"",IF(Main[[#This Row],[Class]]="C",WORKDAY(Main[[#This Row],[Tech Start Date]],19),IF(Main[[#This Row],[Class]]="B", WORKDAY(Main[[#This Row],[Tech Start Date]],12),IF(Main[[#This Row],[Class]]="A",WORKDAY(Main[[#This Row],[Tech Start Date]],4),""))))</f>
        <v/>
      </c>
      <c r="O476" s="77" t="str">
        <f>IF(Main[[#This Row],[Tech Start Date]]&lt;1/1/1990,"",IF(Main[[#This Row],[Class]]="C",WORKDAY(Main[[#This Row],[Tech Start Date]],23),IF(Main[[#This Row],[Class]]="B", WORKDAY(Main[[#This Row],[Tech Start Date]],15),IF(Main[[#This Row],[Class]]="A",WORKDAY(Main[[#This Row],[Tech Start Date]],5),""))))</f>
        <v/>
      </c>
      <c r="P476" s="77" t="str">
        <f>IF(Main[[#This Row],[Tech Start Date]]&lt;1/1/1990,"",IF(Main[[#This Row],[Class]]="C",WORKDAY(Main[[#This Row],[Tech Start Date]],28),IF(Main[[#This Row],[Class]]="B", WORKDAY(Main[[#This Row],[Tech Start Date]],19),IF(Main[[#This Row],[Class]]="A",WORKDAY(Main[[#This Row],[Tech Start Date]],9),""))))</f>
        <v/>
      </c>
      <c r="Q476" s="74"/>
      <c r="R476" s="74"/>
      <c r="S476" s="72" t="s">
        <v>11</v>
      </c>
      <c r="T476" s="80" t="s">
        <v>4</v>
      </c>
      <c r="U476" s="72" t="s">
        <v>14</v>
      </c>
      <c r="V476" s="72" t="s">
        <v>1940</v>
      </c>
      <c r="W476" s="72" t="s">
        <v>1945</v>
      </c>
      <c r="X476" s="72" t="s">
        <v>50</v>
      </c>
      <c r="Y476" s="72" t="s">
        <v>3119</v>
      </c>
      <c r="Z476" s="72" t="s">
        <v>4</v>
      </c>
    </row>
    <row r="477" spans="1:26" ht="18.600000000000001" customHeight="1">
      <c r="A477" s="142" t="str">
        <f>IF(priority(Main[[#This Row],[Comments]])&lt;&gt;0, priority(Main[[#This Row],[Comments]]),"")</f>
        <v/>
      </c>
      <c r="B477" s="90" t="s">
        <v>1321</v>
      </c>
      <c r="C477" s="72" t="s">
        <v>381</v>
      </c>
      <c r="D477" s="73" t="s">
        <v>382</v>
      </c>
      <c r="E477" s="74">
        <v>39952.325474537036</v>
      </c>
      <c r="F477" s="74"/>
      <c r="G477" s="75" t="str">
        <f>IF(stdProdLT(Main[[#This Row],[Comments]])=0.1,"N/A",IF(stdProdLT(Main[[#This Row],[Comments]])=0,"",stdProdLT(Main[[#This Row],[Comments]])))</f>
        <v/>
      </c>
      <c r="H477" s="76" t="str">
        <f>IF(AND(Main[[#This Row],[In Stock Date]]&lt;&gt;"",Main[[#This Row],[Revised Due Date]]&lt;&gt;""),Main[[#This Row],[In Stock Date]]-Main[[#This Row],[Revised Due Date]],"")</f>
        <v/>
      </c>
      <c r="I477" s="72" t="s">
        <v>4</v>
      </c>
      <c r="J477" s="72" t="s">
        <v>4</v>
      </c>
      <c r="K477" s="72" t="s">
        <v>4</v>
      </c>
      <c r="L477" s="74"/>
      <c r="M477" s="77" t="str">
        <f>IF(Main[[#This Row],[Tech Start Date]]&lt;1/1/1990,"",IF(Main[[#This Row],[Class]]="C",WORKDAY(Main[[#This Row],[Tech Start Date]],9),IF(Main[[#This Row],[Class]]="B", WORKDAY(Main[[#This Row],[Tech Start Date]],6),IF(Main[[#This Row],[Class]]="A",WORKDAY(Main[[#This Row],[Tech Start Date]],2),""))))</f>
        <v/>
      </c>
      <c r="N477" s="77" t="str">
        <f>IF(Main[[#This Row],[Tech Start Date]]&lt;1/1/1990,"",IF(Main[[#This Row],[Class]]="C",WORKDAY(Main[[#This Row],[Tech Start Date]],19),IF(Main[[#This Row],[Class]]="B", WORKDAY(Main[[#This Row],[Tech Start Date]],12),IF(Main[[#This Row],[Class]]="A",WORKDAY(Main[[#This Row],[Tech Start Date]],4),""))))</f>
        <v/>
      </c>
      <c r="O477" s="77" t="str">
        <f>IF(Main[[#This Row],[Tech Start Date]]&lt;1/1/1990,"",IF(Main[[#This Row],[Class]]="C",WORKDAY(Main[[#This Row],[Tech Start Date]],23),IF(Main[[#This Row],[Class]]="B", WORKDAY(Main[[#This Row],[Tech Start Date]],15),IF(Main[[#This Row],[Class]]="A",WORKDAY(Main[[#This Row],[Tech Start Date]],5),""))))</f>
        <v/>
      </c>
      <c r="P477" s="77" t="str">
        <f>IF(Main[[#This Row],[Tech Start Date]]&lt;1/1/1990,"",IF(Main[[#This Row],[Class]]="C",WORKDAY(Main[[#This Row],[Tech Start Date]],28),IF(Main[[#This Row],[Class]]="B", WORKDAY(Main[[#This Row],[Tech Start Date]],19),IF(Main[[#This Row],[Class]]="A",WORKDAY(Main[[#This Row],[Tech Start Date]],9),""))))</f>
        <v/>
      </c>
      <c r="Q477" s="74"/>
      <c r="R477" s="74"/>
      <c r="S477" s="72" t="s">
        <v>17</v>
      </c>
      <c r="T477" s="80" t="s">
        <v>4</v>
      </c>
      <c r="U477" s="72" t="s">
        <v>7</v>
      </c>
      <c r="V477" s="72" t="s">
        <v>1940</v>
      </c>
      <c r="W477" s="72" t="s">
        <v>4</v>
      </c>
      <c r="X477" s="72" t="s">
        <v>3032</v>
      </c>
      <c r="Y477" s="72" t="s">
        <v>4</v>
      </c>
      <c r="Z477" s="72" t="s">
        <v>4</v>
      </c>
    </row>
    <row r="478" spans="1:26" ht="18.600000000000001" customHeight="1">
      <c r="A478" s="142" t="str">
        <f>IF(priority(Main[[#This Row],[Comments]])&lt;&gt;0, priority(Main[[#This Row],[Comments]]),"")</f>
        <v/>
      </c>
      <c r="B478" s="90" t="s">
        <v>1322</v>
      </c>
      <c r="C478" s="72" t="s">
        <v>383</v>
      </c>
      <c r="D478" s="73" t="s">
        <v>384</v>
      </c>
      <c r="E478" s="74"/>
      <c r="F478" s="74">
        <v>40228</v>
      </c>
      <c r="G478" s="75" t="str">
        <f>IF(stdProdLT(Main[[#This Row],[Comments]])=0.1,"N/A",IF(stdProdLT(Main[[#This Row],[Comments]])=0,"",stdProdLT(Main[[#This Row],[Comments]])))</f>
        <v/>
      </c>
      <c r="H478" s="76" t="str">
        <f>IF(AND(Main[[#This Row],[In Stock Date]]&lt;&gt;"",Main[[#This Row],[Revised Due Date]]&lt;&gt;""),Main[[#This Row],[In Stock Date]]-Main[[#This Row],[Revised Due Date]],"")</f>
        <v/>
      </c>
      <c r="I478" s="72" t="s">
        <v>4</v>
      </c>
      <c r="J478" s="72" t="s">
        <v>4</v>
      </c>
      <c r="K478" s="72" t="s">
        <v>4</v>
      </c>
      <c r="L478" s="74"/>
      <c r="M478" s="77" t="str">
        <f>IF(Main[[#This Row],[Tech Start Date]]&lt;1/1/1990,"",IF(Main[[#This Row],[Class]]="C",WORKDAY(Main[[#This Row],[Tech Start Date]],9),IF(Main[[#This Row],[Class]]="B", WORKDAY(Main[[#This Row],[Tech Start Date]],6),IF(Main[[#This Row],[Class]]="A",WORKDAY(Main[[#This Row],[Tech Start Date]],2),""))))</f>
        <v/>
      </c>
      <c r="N478" s="77" t="str">
        <f>IF(Main[[#This Row],[Tech Start Date]]&lt;1/1/1990,"",IF(Main[[#This Row],[Class]]="C",WORKDAY(Main[[#This Row],[Tech Start Date]],19),IF(Main[[#This Row],[Class]]="B", WORKDAY(Main[[#This Row],[Tech Start Date]],12),IF(Main[[#This Row],[Class]]="A",WORKDAY(Main[[#This Row],[Tech Start Date]],4),""))))</f>
        <v/>
      </c>
      <c r="O478" s="77" t="str">
        <f>IF(Main[[#This Row],[Tech Start Date]]&lt;1/1/1990,"",IF(Main[[#This Row],[Class]]="C",WORKDAY(Main[[#This Row],[Tech Start Date]],23),IF(Main[[#This Row],[Class]]="B", WORKDAY(Main[[#This Row],[Tech Start Date]],15),IF(Main[[#This Row],[Class]]="A",WORKDAY(Main[[#This Row],[Tech Start Date]],5),""))))</f>
        <v/>
      </c>
      <c r="P478" s="77" t="str">
        <f>IF(Main[[#This Row],[Tech Start Date]]&lt;1/1/1990,"",IF(Main[[#This Row],[Class]]="C",WORKDAY(Main[[#This Row],[Tech Start Date]],28),IF(Main[[#This Row],[Class]]="B", WORKDAY(Main[[#This Row],[Tech Start Date]],19),IF(Main[[#This Row],[Class]]="A",WORKDAY(Main[[#This Row],[Tech Start Date]],9),""))))</f>
        <v/>
      </c>
      <c r="Q478" s="74">
        <v>40153</v>
      </c>
      <c r="R478" s="74"/>
      <c r="S478" s="72" t="s">
        <v>11</v>
      </c>
      <c r="T478" s="80" t="s">
        <v>4</v>
      </c>
      <c r="U478" s="72" t="s">
        <v>14</v>
      </c>
      <c r="V478" s="72" t="s">
        <v>1940</v>
      </c>
      <c r="W478" s="72" t="s">
        <v>1945</v>
      </c>
      <c r="X478" s="72" t="s">
        <v>3015</v>
      </c>
      <c r="Y478" s="72" t="s">
        <v>4</v>
      </c>
      <c r="Z478" s="72" t="s">
        <v>4</v>
      </c>
    </row>
    <row r="479" spans="1:26" ht="18.600000000000001" customHeight="1">
      <c r="A479" s="142" t="str">
        <f>IF(priority(Main[[#This Row],[Comments]])&lt;&gt;0, priority(Main[[#This Row],[Comments]]),"")</f>
        <v/>
      </c>
      <c r="B479" s="90" t="s">
        <v>1324</v>
      </c>
      <c r="C479" s="72" t="s">
        <v>385</v>
      </c>
      <c r="D479" s="73" t="s">
        <v>386</v>
      </c>
      <c r="E479" s="74"/>
      <c r="F479" s="74"/>
      <c r="G479" s="75" t="str">
        <f>IF(stdProdLT(Main[[#This Row],[Comments]])=0.1,"N/A",IF(stdProdLT(Main[[#This Row],[Comments]])=0,"",stdProdLT(Main[[#This Row],[Comments]])))</f>
        <v/>
      </c>
      <c r="H479" s="76" t="str">
        <f>IF(AND(Main[[#This Row],[In Stock Date]]&lt;&gt;"",Main[[#This Row],[Revised Due Date]]&lt;&gt;""),Main[[#This Row],[In Stock Date]]-Main[[#This Row],[Revised Due Date]],"")</f>
        <v/>
      </c>
      <c r="I479" s="72" t="s">
        <v>4</v>
      </c>
      <c r="J479" s="72" t="s">
        <v>4</v>
      </c>
      <c r="K479" s="72" t="s">
        <v>4</v>
      </c>
      <c r="L479" s="74"/>
      <c r="M479" s="77" t="str">
        <f>IF(Main[[#This Row],[Tech Start Date]]&lt;1/1/1990,"",IF(Main[[#This Row],[Class]]="C",WORKDAY(Main[[#This Row],[Tech Start Date]],9),IF(Main[[#This Row],[Class]]="B", WORKDAY(Main[[#This Row],[Tech Start Date]],6),IF(Main[[#This Row],[Class]]="A",WORKDAY(Main[[#This Row],[Tech Start Date]],2),""))))</f>
        <v/>
      </c>
      <c r="N479" s="77" t="str">
        <f>IF(Main[[#This Row],[Tech Start Date]]&lt;1/1/1990,"",IF(Main[[#This Row],[Class]]="C",WORKDAY(Main[[#This Row],[Tech Start Date]],19),IF(Main[[#This Row],[Class]]="B", WORKDAY(Main[[#This Row],[Tech Start Date]],12),IF(Main[[#This Row],[Class]]="A",WORKDAY(Main[[#This Row],[Tech Start Date]],4),""))))</f>
        <v/>
      </c>
      <c r="O479" s="77" t="str">
        <f>IF(Main[[#This Row],[Tech Start Date]]&lt;1/1/1990,"",IF(Main[[#This Row],[Class]]="C",WORKDAY(Main[[#This Row],[Tech Start Date]],23),IF(Main[[#This Row],[Class]]="B", WORKDAY(Main[[#This Row],[Tech Start Date]],15),IF(Main[[#This Row],[Class]]="A",WORKDAY(Main[[#This Row],[Tech Start Date]],5),""))))</f>
        <v/>
      </c>
      <c r="P479" s="77" t="str">
        <f>IF(Main[[#This Row],[Tech Start Date]]&lt;1/1/1990,"",IF(Main[[#This Row],[Class]]="C",WORKDAY(Main[[#This Row],[Tech Start Date]],28),IF(Main[[#This Row],[Class]]="B", WORKDAY(Main[[#This Row],[Tech Start Date]],19),IF(Main[[#This Row],[Class]]="A",WORKDAY(Main[[#This Row],[Tech Start Date]],9),""))))</f>
        <v/>
      </c>
      <c r="Q479" s="74"/>
      <c r="R479" s="74"/>
      <c r="S479" s="72" t="s">
        <v>11</v>
      </c>
      <c r="T479" s="80" t="s">
        <v>4</v>
      </c>
      <c r="U479" s="72" t="s">
        <v>14</v>
      </c>
      <c r="V479" s="72" t="s">
        <v>1938</v>
      </c>
      <c r="W479" s="72" t="s">
        <v>1945</v>
      </c>
      <c r="X479" s="72" t="s">
        <v>2979</v>
      </c>
      <c r="Y479" s="72" t="s">
        <v>3106</v>
      </c>
      <c r="Z479" s="72" t="s">
        <v>4</v>
      </c>
    </row>
    <row r="480" spans="1:26" ht="18.600000000000001" customHeight="1">
      <c r="A480" s="142" t="str">
        <f>IF(priority(Main[[#This Row],[Comments]])&lt;&gt;0, priority(Main[[#This Row],[Comments]]),"")</f>
        <v/>
      </c>
      <c r="B480" s="90" t="s">
        <v>1325</v>
      </c>
      <c r="C480" s="72" t="s">
        <v>387</v>
      </c>
      <c r="D480" s="73" t="s">
        <v>388</v>
      </c>
      <c r="E480" s="74"/>
      <c r="F480" s="74"/>
      <c r="G480" s="75" t="str">
        <f>IF(stdProdLT(Main[[#This Row],[Comments]])=0.1,"N/A",IF(stdProdLT(Main[[#This Row],[Comments]])=0,"",stdProdLT(Main[[#This Row],[Comments]])))</f>
        <v/>
      </c>
      <c r="H480" s="76" t="str">
        <f>IF(AND(Main[[#This Row],[In Stock Date]]&lt;&gt;"",Main[[#This Row],[Revised Due Date]]&lt;&gt;""),Main[[#This Row],[In Stock Date]]-Main[[#This Row],[Revised Due Date]],"")</f>
        <v/>
      </c>
      <c r="I480" s="72" t="s">
        <v>4</v>
      </c>
      <c r="J480" s="72" t="s">
        <v>4</v>
      </c>
      <c r="K480" s="72" t="s">
        <v>4</v>
      </c>
      <c r="L480" s="74"/>
      <c r="M480" s="77" t="str">
        <f>IF(Main[[#This Row],[Tech Start Date]]&lt;1/1/1990,"",IF(Main[[#This Row],[Class]]="C",WORKDAY(Main[[#This Row],[Tech Start Date]],9),IF(Main[[#This Row],[Class]]="B", WORKDAY(Main[[#This Row],[Tech Start Date]],6),IF(Main[[#This Row],[Class]]="A",WORKDAY(Main[[#This Row],[Tech Start Date]],2),""))))</f>
        <v/>
      </c>
      <c r="N480" s="77" t="str">
        <f>IF(Main[[#This Row],[Tech Start Date]]&lt;1/1/1990,"",IF(Main[[#This Row],[Class]]="C",WORKDAY(Main[[#This Row],[Tech Start Date]],19),IF(Main[[#This Row],[Class]]="B", WORKDAY(Main[[#This Row],[Tech Start Date]],12),IF(Main[[#This Row],[Class]]="A",WORKDAY(Main[[#This Row],[Tech Start Date]],4),""))))</f>
        <v/>
      </c>
      <c r="O480" s="77" t="str">
        <f>IF(Main[[#This Row],[Tech Start Date]]&lt;1/1/1990,"",IF(Main[[#This Row],[Class]]="C",WORKDAY(Main[[#This Row],[Tech Start Date]],23),IF(Main[[#This Row],[Class]]="B", WORKDAY(Main[[#This Row],[Tech Start Date]],15),IF(Main[[#This Row],[Class]]="A",WORKDAY(Main[[#This Row],[Tech Start Date]],5),""))))</f>
        <v/>
      </c>
      <c r="P480" s="77" t="str">
        <f>IF(Main[[#This Row],[Tech Start Date]]&lt;1/1/1990,"",IF(Main[[#This Row],[Class]]="C",WORKDAY(Main[[#This Row],[Tech Start Date]],28),IF(Main[[#This Row],[Class]]="B", WORKDAY(Main[[#This Row],[Tech Start Date]],19),IF(Main[[#This Row],[Class]]="A",WORKDAY(Main[[#This Row],[Tech Start Date]],9),""))))</f>
        <v/>
      </c>
      <c r="Q480" s="74"/>
      <c r="R480" s="74"/>
      <c r="S480" s="72" t="s">
        <v>11</v>
      </c>
      <c r="T480" s="80" t="s">
        <v>4</v>
      </c>
      <c r="U480" s="72" t="s">
        <v>14</v>
      </c>
      <c r="V480" s="72" t="s">
        <v>1938</v>
      </c>
      <c r="W480" s="72" t="s">
        <v>1945</v>
      </c>
      <c r="X480" s="72" t="s">
        <v>2979</v>
      </c>
      <c r="Y480" s="72" t="s">
        <v>3106</v>
      </c>
      <c r="Z480" s="72" t="s">
        <v>4</v>
      </c>
    </row>
    <row r="481" spans="1:26" ht="18.600000000000001" customHeight="1">
      <c r="A481" s="142" t="str">
        <f>IF(priority(Main[[#This Row],[Comments]])&lt;&gt;0, priority(Main[[#This Row],[Comments]]),"")</f>
        <v/>
      </c>
      <c r="B481" s="90" t="s">
        <v>1928</v>
      </c>
      <c r="C481" s="72" t="s">
        <v>31</v>
      </c>
      <c r="D481" s="73" t="s">
        <v>971</v>
      </c>
      <c r="E481" s="74">
        <v>40528.412233796298</v>
      </c>
      <c r="F481" s="74">
        <v>40634</v>
      </c>
      <c r="G481" s="75" t="str">
        <f>IF(stdProdLT(Main[[#This Row],[Comments]])=0.1,"N/A",IF(stdProdLT(Main[[#This Row],[Comments]])=0,"",stdProdLT(Main[[#This Row],[Comments]])))</f>
        <v/>
      </c>
      <c r="H481" s="76">
        <f>IF(AND(Main[[#This Row],[In Stock Date]]&lt;&gt;"",Main[[#This Row],[Revised Due Date]]&lt;&gt;""),Main[[#This Row],[In Stock Date]]-Main[[#This Row],[Revised Due Date]],"")</f>
        <v>-255</v>
      </c>
      <c r="I481" s="72" t="s">
        <v>437</v>
      </c>
      <c r="J481" s="72" t="s">
        <v>28</v>
      </c>
      <c r="K481" s="72" t="s">
        <v>1949</v>
      </c>
      <c r="L481" s="74"/>
      <c r="M481" s="77" t="str">
        <f>IF(Main[[#This Row],[Tech Start Date]]&lt;1/1/1990,"",IF(Main[[#This Row],[Class]]="C",WORKDAY(Main[[#This Row],[Tech Start Date]],9),IF(Main[[#This Row],[Class]]="B", WORKDAY(Main[[#This Row],[Tech Start Date]],6),IF(Main[[#This Row],[Class]]="A",WORKDAY(Main[[#This Row],[Tech Start Date]],2),""))))</f>
        <v/>
      </c>
      <c r="N481" s="77" t="str">
        <f>IF(Main[[#This Row],[Tech Start Date]]&lt;1/1/1990,"",IF(Main[[#This Row],[Class]]="C",WORKDAY(Main[[#This Row],[Tech Start Date]],19),IF(Main[[#This Row],[Class]]="B", WORKDAY(Main[[#This Row],[Tech Start Date]],12),IF(Main[[#This Row],[Class]]="A",WORKDAY(Main[[#This Row],[Tech Start Date]],4),""))))</f>
        <v/>
      </c>
      <c r="O481" s="77" t="str">
        <f>IF(Main[[#This Row],[Tech Start Date]]&lt;1/1/1990,"",IF(Main[[#This Row],[Class]]="C",WORKDAY(Main[[#This Row],[Tech Start Date]],23),IF(Main[[#This Row],[Class]]="B", WORKDAY(Main[[#This Row],[Tech Start Date]],15),IF(Main[[#This Row],[Class]]="A",WORKDAY(Main[[#This Row],[Tech Start Date]],5),""))))</f>
        <v/>
      </c>
      <c r="P481" s="77" t="str">
        <f>IF(Main[[#This Row],[Tech Start Date]]&lt;1/1/1990,"",IF(Main[[#This Row],[Class]]="C",WORKDAY(Main[[#This Row],[Tech Start Date]],28),IF(Main[[#This Row],[Class]]="B", WORKDAY(Main[[#This Row],[Tech Start Date]],19),IF(Main[[#This Row],[Class]]="A",WORKDAY(Main[[#This Row],[Tech Start Date]],9),""))))</f>
        <v/>
      </c>
      <c r="Q481" s="74">
        <v>40634</v>
      </c>
      <c r="R481" s="74">
        <v>40889</v>
      </c>
      <c r="S481" s="72" t="s">
        <v>17</v>
      </c>
      <c r="T481" s="80" t="s">
        <v>4</v>
      </c>
      <c r="U481" s="72" t="s">
        <v>29</v>
      </c>
      <c r="V481" s="72" t="s">
        <v>1940</v>
      </c>
      <c r="W481" s="72" t="s">
        <v>1948</v>
      </c>
      <c r="X481" s="72" t="s">
        <v>560</v>
      </c>
      <c r="Y481" s="72" t="s">
        <v>3187</v>
      </c>
      <c r="Z481" s="72" t="s">
        <v>421</v>
      </c>
    </row>
    <row r="482" spans="1:26" ht="18.600000000000001" customHeight="1">
      <c r="A482" s="142" t="str">
        <f>IF(priority(Main[[#This Row],[Comments]])&lt;&gt;0, priority(Main[[#This Row],[Comments]]),"")</f>
        <v/>
      </c>
      <c r="B482" s="90" t="s">
        <v>1347</v>
      </c>
      <c r="C482" s="72" t="s">
        <v>93</v>
      </c>
      <c r="D482" s="73" t="s">
        <v>389</v>
      </c>
      <c r="E482" s="74"/>
      <c r="F482" s="74">
        <v>40299</v>
      </c>
      <c r="G482" s="75" t="str">
        <f>IF(stdProdLT(Main[[#This Row],[Comments]])=0.1,"N/A",IF(stdProdLT(Main[[#This Row],[Comments]])=0,"",stdProdLT(Main[[#This Row],[Comments]])))</f>
        <v/>
      </c>
      <c r="H482" s="76" t="str">
        <f>IF(AND(Main[[#This Row],[In Stock Date]]&lt;&gt;"",Main[[#This Row],[Revised Due Date]]&lt;&gt;""),Main[[#This Row],[In Stock Date]]-Main[[#This Row],[Revised Due Date]],"")</f>
        <v/>
      </c>
      <c r="I482" s="72" t="s">
        <v>4</v>
      </c>
      <c r="J482" s="72" t="s">
        <v>4</v>
      </c>
      <c r="K482" s="81" t="s">
        <v>4</v>
      </c>
      <c r="L482" s="74"/>
      <c r="M482" s="77" t="str">
        <f>IF(Main[[#This Row],[Tech Start Date]]&lt;1/1/1990,"",IF(Main[[#This Row],[Class]]="C",WORKDAY(Main[[#This Row],[Tech Start Date]],9),IF(Main[[#This Row],[Class]]="B", WORKDAY(Main[[#This Row],[Tech Start Date]],6),IF(Main[[#This Row],[Class]]="A",WORKDAY(Main[[#This Row],[Tech Start Date]],2),""))))</f>
        <v/>
      </c>
      <c r="N482" s="77" t="str">
        <f>IF(Main[[#This Row],[Tech Start Date]]&lt;1/1/1990,"",IF(Main[[#This Row],[Class]]="C",WORKDAY(Main[[#This Row],[Tech Start Date]],19),IF(Main[[#This Row],[Class]]="B", WORKDAY(Main[[#This Row],[Tech Start Date]],12),IF(Main[[#This Row],[Class]]="A",WORKDAY(Main[[#This Row],[Tech Start Date]],4),""))))</f>
        <v/>
      </c>
      <c r="O482" s="77" t="str">
        <f>IF(Main[[#This Row],[Tech Start Date]]&lt;1/1/1990,"",IF(Main[[#This Row],[Class]]="C",WORKDAY(Main[[#This Row],[Tech Start Date]],23),IF(Main[[#This Row],[Class]]="B", WORKDAY(Main[[#This Row],[Tech Start Date]],15),IF(Main[[#This Row],[Class]]="A",WORKDAY(Main[[#This Row],[Tech Start Date]],5),""))))</f>
        <v/>
      </c>
      <c r="P482" s="77" t="str">
        <f>IF(Main[[#This Row],[Tech Start Date]]&lt;1/1/1990,"",IF(Main[[#This Row],[Class]]="C",WORKDAY(Main[[#This Row],[Tech Start Date]],28),IF(Main[[#This Row],[Class]]="B", WORKDAY(Main[[#This Row],[Tech Start Date]],19),IF(Main[[#This Row],[Class]]="A",WORKDAY(Main[[#This Row],[Tech Start Date]],9),""))))</f>
        <v/>
      </c>
      <c r="Q482" s="74">
        <v>40209</v>
      </c>
      <c r="R482" s="74"/>
      <c r="S482" s="72" t="s">
        <v>11</v>
      </c>
      <c r="T482" s="80" t="s">
        <v>4</v>
      </c>
      <c r="U482" s="72" t="s">
        <v>14</v>
      </c>
      <c r="V482" s="72" t="s">
        <v>1937</v>
      </c>
      <c r="W482" s="72" t="s">
        <v>1948</v>
      </c>
      <c r="X482" s="72" t="s">
        <v>2997</v>
      </c>
      <c r="Y482" s="72" t="s">
        <v>4</v>
      </c>
      <c r="Z482" s="72" t="s">
        <v>4</v>
      </c>
    </row>
    <row r="483" spans="1:26" ht="18.600000000000001" customHeight="1">
      <c r="A483" s="142" t="str">
        <f>IF(priority(Main[[#This Row],[Comments]])&lt;&gt;0, priority(Main[[#This Row],[Comments]]),"")</f>
        <v/>
      </c>
      <c r="B483" s="90" t="s">
        <v>2111</v>
      </c>
      <c r="C483" s="72" t="s">
        <v>4</v>
      </c>
      <c r="D483" s="73" t="s">
        <v>2112</v>
      </c>
      <c r="E483" s="74">
        <v>40763.356041666666</v>
      </c>
      <c r="F483" s="74"/>
      <c r="G483" s="75" t="str">
        <f>IF(stdProdLT(Main[[#This Row],[Comments]])=0.1,"N/A",IF(stdProdLT(Main[[#This Row],[Comments]])=0,"",stdProdLT(Main[[#This Row],[Comments]])))</f>
        <v/>
      </c>
      <c r="H483" s="76" t="str">
        <f>IF(AND(Main[[#This Row],[In Stock Date]]&lt;&gt;"",Main[[#This Row],[Revised Due Date]]&lt;&gt;""),Main[[#This Row],[In Stock Date]]-Main[[#This Row],[Revised Due Date]],"")</f>
        <v/>
      </c>
      <c r="I483" s="72" t="s">
        <v>927</v>
      </c>
      <c r="J483" s="72" t="s">
        <v>52</v>
      </c>
      <c r="K483" s="72" t="s">
        <v>4</v>
      </c>
      <c r="L483" s="74"/>
      <c r="M483" s="77" t="str">
        <f>IF(Main[[#This Row],[Tech Start Date]]&lt;1/1/1990,"",IF(Main[[#This Row],[Class]]="C",WORKDAY(Main[[#This Row],[Tech Start Date]],9),IF(Main[[#This Row],[Class]]="B", WORKDAY(Main[[#This Row],[Tech Start Date]],6),IF(Main[[#This Row],[Class]]="A",WORKDAY(Main[[#This Row],[Tech Start Date]],2),""))))</f>
        <v/>
      </c>
      <c r="N483" s="77" t="str">
        <f>IF(Main[[#This Row],[Tech Start Date]]&lt;1/1/1990,"",IF(Main[[#This Row],[Class]]="C",WORKDAY(Main[[#This Row],[Tech Start Date]],19),IF(Main[[#This Row],[Class]]="B", WORKDAY(Main[[#This Row],[Tech Start Date]],12),IF(Main[[#This Row],[Class]]="A",WORKDAY(Main[[#This Row],[Tech Start Date]],4),""))))</f>
        <v/>
      </c>
      <c r="O483" s="77" t="str">
        <f>IF(Main[[#This Row],[Tech Start Date]]&lt;1/1/1990,"",IF(Main[[#This Row],[Class]]="C",WORKDAY(Main[[#This Row],[Tech Start Date]],23),IF(Main[[#This Row],[Class]]="B", WORKDAY(Main[[#This Row],[Tech Start Date]],15),IF(Main[[#This Row],[Class]]="A",WORKDAY(Main[[#This Row],[Tech Start Date]],5),""))))</f>
        <v/>
      </c>
      <c r="P483" s="77" t="str">
        <f>IF(Main[[#This Row],[Tech Start Date]]&lt;1/1/1990,"",IF(Main[[#This Row],[Class]]="C",WORKDAY(Main[[#This Row],[Tech Start Date]],28),IF(Main[[#This Row],[Class]]="B", WORKDAY(Main[[#This Row],[Tech Start Date]],19),IF(Main[[#This Row],[Class]]="A",WORKDAY(Main[[#This Row],[Tech Start Date]],9),""))))</f>
        <v/>
      </c>
      <c r="Q483" s="74">
        <v>40787</v>
      </c>
      <c r="R483" s="74"/>
      <c r="S483" s="72" t="s">
        <v>6</v>
      </c>
      <c r="T483" s="80" t="s">
        <v>4</v>
      </c>
      <c r="U483" s="72" t="s">
        <v>29</v>
      </c>
      <c r="V483" s="72" t="s">
        <v>1937</v>
      </c>
      <c r="W483" s="72" t="s">
        <v>4</v>
      </c>
      <c r="X483" s="72" t="s">
        <v>2974</v>
      </c>
      <c r="Y483" s="72" t="s">
        <v>3096</v>
      </c>
      <c r="Z483" s="72" t="s">
        <v>129</v>
      </c>
    </row>
    <row r="484" spans="1:26" ht="18.600000000000001" customHeight="1">
      <c r="A484" s="142" t="str">
        <f>IF(priority(Main[[#This Row],[Comments]])&lt;&gt;0, priority(Main[[#This Row],[Comments]]),"")</f>
        <v/>
      </c>
      <c r="B484" s="90" t="s">
        <v>1684</v>
      </c>
      <c r="C484" s="72" t="s">
        <v>4</v>
      </c>
      <c r="D484" s="73" t="s">
        <v>737</v>
      </c>
      <c r="E484" s="74"/>
      <c r="F484" s="74"/>
      <c r="G484" s="75" t="str">
        <f>IF(stdProdLT(Main[[#This Row],[Comments]])=0.1,"N/A",IF(stdProdLT(Main[[#This Row],[Comments]])=0,"",stdProdLT(Main[[#This Row],[Comments]])))</f>
        <v/>
      </c>
      <c r="H484" s="76" t="str">
        <f>IF(AND(Main[[#This Row],[In Stock Date]]&lt;&gt;"",Main[[#This Row],[Revised Due Date]]&lt;&gt;""),Main[[#This Row],[In Stock Date]]-Main[[#This Row],[Revised Due Date]],"")</f>
        <v/>
      </c>
      <c r="I484" s="72" t="s">
        <v>909</v>
      </c>
      <c r="J484" s="72" t="s">
        <v>52</v>
      </c>
      <c r="K484" s="72" t="s">
        <v>1946</v>
      </c>
      <c r="L484" s="74"/>
      <c r="M484" s="77" t="str">
        <f>IF(Main[[#This Row],[Tech Start Date]]&lt;1/1/1990,"",IF(Main[[#This Row],[Class]]="C",WORKDAY(Main[[#This Row],[Tech Start Date]],9),IF(Main[[#This Row],[Class]]="B", WORKDAY(Main[[#This Row],[Tech Start Date]],6),IF(Main[[#This Row],[Class]]="A",WORKDAY(Main[[#This Row],[Tech Start Date]],2),""))))</f>
        <v/>
      </c>
      <c r="N484" s="77" t="str">
        <f>IF(Main[[#This Row],[Tech Start Date]]&lt;1/1/1990,"",IF(Main[[#This Row],[Class]]="C",WORKDAY(Main[[#This Row],[Tech Start Date]],19),IF(Main[[#This Row],[Class]]="B", WORKDAY(Main[[#This Row],[Tech Start Date]],12),IF(Main[[#This Row],[Class]]="A",WORKDAY(Main[[#This Row],[Tech Start Date]],4),""))))</f>
        <v/>
      </c>
      <c r="O484" s="77" t="str">
        <f>IF(Main[[#This Row],[Tech Start Date]]&lt;1/1/1990,"",IF(Main[[#This Row],[Class]]="C",WORKDAY(Main[[#This Row],[Tech Start Date]],23),IF(Main[[#This Row],[Class]]="B", WORKDAY(Main[[#This Row],[Tech Start Date]],15),IF(Main[[#This Row],[Class]]="A",WORKDAY(Main[[#This Row],[Tech Start Date]],5),""))))</f>
        <v/>
      </c>
      <c r="P484" s="77" t="str">
        <f>IF(Main[[#This Row],[Tech Start Date]]&lt;1/1/1990,"",IF(Main[[#This Row],[Class]]="C",WORKDAY(Main[[#This Row],[Tech Start Date]],28),IF(Main[[#This Row],[Class]]="B", WORKDAY(Main[[#This Row],[Tech Start Date]],19),IF(Main[[#This Row],[Class]]="A",WORKDAY(Main[[#This Row],[Tech Start Date]],9),""))))</f>
        <v/>
      </c>
      <c r="Q484" s="74">
        <v>40581</v>
      </c>
      <c r="R484" s="74"/>
      <c r="S484" s="72" t="s">
        <v>6</v>
      </c>
      <c r="T484" s="80" t="s">
        <v>4</v>
      </c>
      <c r="U484" s="72" t="s">
        <v>14</v>
      </c>
      <c r="V484" s="72" t="s">
        <v>1940</v>
      </c>
      <c r="W484" s="72" t="s">
        <v>1941</v>
      </c>
      <c r="X484" s="72" t="s">
        <v>2971</v>
      </c>
      <c r="Y484" s="72" t="s">
        <v>3090</v>
      </c>
      <c r="Z484" s="72" t="s">
        <v>44</v>
      </c>
    </row>
    <row r="485" spans="1:26" ht="18.600000000000001" customHeight="1">
      <c r="A485" s="142" t="str">
        <f>IF(priority(Main[[#This Row],[Comments]])&lt;&gt;0, priority(Main[[#This Row],[Comments]]),"")</f>
        <v/>
      </c>
      <c r="B485" s="90" t="s">
        <v>1348</v>
      </c>
      <c r="C485" s="72" t="s">
        <v>31</v>
      </c>
      <c r="D485" s="73" t="s">
        <v>390</v>
      </c>
      <c r="E485" s="74"/>
      <c r="F485" s="74"/>
      <c r="G485" s="75" t="str">
        <f>IF(stdProdLT(Main[[#This Row],[Comments]])=0.1,"N/A",IF(stdProdLT(Main[[#This Row],[Comments]])=0,"",stdProdLT(Main[[#This Row],[Comments]])))</f>
        <v/>
      </c>
      <c r="H485" s="76" t="str">
        <f>IF(AND(Main[[#This Row],[In Stock Date]]&lt;&gt;"",Main[[#This Row],[Revised Due Date]]&lt;&gt;""),Main[[#This Row],[In Stock Date]]-Main[[#This Row],[Revised Due Date]],"")</f>
        <v/>
      </c>
      <c r="I485" s="72" t="s">
        <v>4</v>
      </c>
      <c r="J485" s="72" t="s">
        <v>4</v>
      </c>
      <c r="K485" s="72" t="s">
        <v>4</v>
      </c>
      <c r="L485" s="74"/>
      <c r="M485" s="77" t="str">
        <f>IF(Main[[#This Row],[Tech Start Date]]&lt;1/1/1990,"",IF(Main[[#This Row],[Class]]="C",WORKDAY(Main[[#This Row],[Tech Start Date]],9),IF(Main[[#This Row],[Class]]="B", WORKDAY(Main[[#This Row],[Tech Start Date]],6),IF(Main[[#This Row],[Class]]="A",WORKDAY(Main[[#This Row],[Tech Start Date]],2),""))))</f>
        <v/>
      </c>
      <c r="N485" s="77" t="str">
        <f>IF(Main[[#This Row],[Tech Start Date]]&lt;1/1/1990,"",IF(Main[[#This Row],[Class]]="C",WORKDAY(Main[[#This Row],[Tech Start Date]],19),IF(Main[[#This Row],[Class]]="B", WORKDAY(Main[[#This Row],[Tech Start Date]],12),IF(Main[[#This Row],[Class]]="A",WORKDAY(Main[[#This Row],[Tech Start Date]],4),""))))</f>
        <v/>
      </c>
      <c r="O485" s="77" t="str">
        <f>IF(Main[[#This Row],[Tech Start Date]]&lt;1/1/1990,"",IF(Main[[#This Row],[Class]]="C",WORKDAY(Main[[#This Row],[Tech Start Date]],23),IF(Main[[#This Row],[Class]]="B", WORKDAY(Main[[#This Row],[Tech Start Date]],15),IF(Main[[#This Row],[Class]]="A",WORKDAY(Main[[#This Row],[Tech Start Date]],5),""))))</f>
        <v/>
      </c>
      <c r="P485" s="77" t="str">
        <f>IF(Main[[#This Row],[Tech Start Date]]&lt;1/1/1990,"",IF(Main[[#This Row],[Class]]="C",WORKDAY(Main[[#This Row],[Tech Start Date]],28),IF(Main[[#This Row],[Class]]="B", WORKDAY(Main[[#This Row],[Tech Start Date]],19),IF(Main[[#This Row],[Class]]="A",WORKDAY(Main[[#This Row],[Tech Start Date]],9),""))))</f>
        <v/>
      </c>
      <c r="Q485" s="74">
        <v>40318</v>
      </c>
      <c r="R485" s="74"/>
      <c r="S485" s="72" t="s">
        <v>11</v>
      </c>
      <c r="T485" s="80" t="s">
        <v>4</v>
      </c>
      <c r="U485" s="72" t="s">
        <v>14</v>
      </c>
      <c r="V485" s="72" t="s">
        <v>1940</v>
      </c>
      <c r="W485" s="72" t="s">
        <v>1939</v>
      </c>
      <c r="X485" s="72" t="s">
        <v>2982</v>
      </c>
      <c r="Y485" s="72" t="s">
        <v>4</v>
      </c>
      <c r="Z485" s="72" t="s">
        <v>4</v>
      </c>
    </row>
    <row r="486" spans="1:26" ht="18.600000000000001" customHeight="1">
      <c r="A486" s="142" t="str">
        <f>IF(priority(Main[[#This Row],[Comments]])&lt;&gt;0, priority(Main[[#This Row],[Comments]]),"")</f>
        <v/>
      </c>
      <c r="B486" s="90" t="s">
        <v>1349</v>
      </c>
      <c r="C486" s="72" t="s">
        <v>31</v>
      </c>
      <c r="D486" s="73" t="s">
        <v>391</v>
      </c>
      <c r="E486" s="74"/>
      <c r="F486" s="74"/>
      <c r="G486" s="75" t="str">
        <f>IF(stdProdLT(Main[[#This Row],[Comments]])=0.1,"N/A",IF(stdProdLT(Main[[#This Row],[Comments]])=0,"",stdProdLT(Main[[#This Row],[Comments]])))</f>
        <v/>
      </c>
      <c r="H486" s="76" t="str">
        <f>IF(AND(Main[[#This Row],[In Stock Date]]&lt;&gt;"",Main[[#This Row],[Revised Due Date]]&lt;&gt;""),Main[[#This Row],[In Stock Date]]-Main[[#This Row],[Revised Due Date]],"")</f>
        <v/>
      </c>
      <c r="I486" s="72" t="s">
        <v>4</v>
      </c>
      <c r="J486" s="72" t="s">
        <v>4</v>
      </c>
      <c r="K486" s="81" t="s">
        <v>4</v>
      </c>
      <c r="L486" s="74"/>
      <c r="M486" s="77" t="str">
        <f>IF(Main[[#This Row],[Tech Start Date]]&lt;1/1/1990,"",IF(Main[[#This Row],[Class]]="C",WORKDAY(Main[[#This Row],[Tech Start Date]],9),IF(Main[[#This Row],[Class]]="B", WORKDAY(Main[[#This Row],[Tech Start Date]],6),IF(Main[[#This Row],[Class]]="A",WORKDAY(Main[[#This Row],[Tech Start Date]],2),""))))</f>
        <v/>
      </c>
      <c r="N486" s="77" t="str">
        <f>IF(Main[[#This Row],[Tech Start Date]]&lt;1/1/1990,"",IF(Main[[#This Row],[Class]]="C",WORKDAY(Main[[#This Row],[Tech Start Date]],19),IF(Main[[#This Row],[Class]]="B", WORKDAY(Main[[#This Row],[Tech Start Date]],12),IF(Main[[#This Row],[Class]]="A",WORKDAY(Main[[#This Row],[Tech Start Date]],4),""))))</f>
        <v/>
      </c>
      <c r="O486" s="77" t="str">
        <f>IF(Main[[#This Row],[Tech Start Date]]&lt;1/1/1990,"",IF(Main[[#This Row],[Class]]="C",WORKDAY(Main[[#This Row],[Tech Start Date]],23),IF(Main[[#This Row],[Class]]="B", WORKDAY(Main[[#This Row],[Tech Start Date]],15),IF(Main[[#This Row],[Class]]="A",WORKDAY(Main[[#This Row],[Tech Start Date]],5),""))))</f>
        <v/>
      </c>
      <c r="P486" s="77" t="str">
        <f>IF(Main[[#This Row],[Tech Start Date]]&lt;1/1/1990,"",IF(Main[[#This Row],[Class]]="C",WORKDAY(Main[[#This Row],[Tech Start Date]],28),IF(Main[[#This Row],[Class]]="B", WORKDAY(Main[[#This Row],[Tech Start Date]],19),IF(Main[[#This Row],[Class]]="A",WORKDAY(Main[[#This Row],[Tech Start Date]],9),""))))</f>
        <v/>
      </c>
      <c r="Q486" s="74">
        <v>40318</v>
      </c>
      <c r="R486" s="74"/>
      <c r="S486" s="72" t="s">
        <v>11</v>
      </c>
      <c r="T486" s="80" t="s">
        <v>4</v>
      </c>
      <c r="U486" s="72" t="s">
        <v>14</v>
      </c>
      <c r="V486" s="72" t="s">
        <v>1947</v>
      </c>
      <c r="W486" s="72" t="s">
        <v>1948</v>
      </c>
      <c r="X486" s="72" t="s">
        <v>2982</v>
      </c>
      <c r="Y486" s="72" t="s">
        <v>4</v>
      </c>
      <c r="Z486" s="72" t="s">
        <v>4</v>
      </c>
    </row>
    <row r="487" spans="1:26" ht="18.600000000000001" customHeight="1">
      <c r="A487" s="142" t="str">
        <f>IF(priority(Main[[#This Row],[Comments]])&lt;&gt;0, priority(Main[[#This Row],[Comments]]),"")</f>
        <v/>
      </c>
      <c r="B487" s="90" t="s">
        <v>2409</v>
      </c>
      <c r="C487" s="72" t="s">
        <v>4</v>
      </c>
      <c r="D487" s="73" t="s">
        <v>2410</v>
      </c>
      <c r="E487" s="74"/>
      <c r="F487" s="74"/>
      <c r="G487" s="75" t="str">
        <f>IF(stdProdLT(Main[[#This Row],[Comments]])=0.1,"N/A",IF(stdProdLT(Main[[#This Row],[Comments]])=0,"",stdProdLT(Main[[#This Row],[Comments]])))</f>
        <v/>
      </c>
      <c r="H487" s="76" t="str">
        <f>IF(AND(Main[[#This Row],[In Stock Date]]&lt;&gt;"",Main[[#This Row],[Revised Due Date]]&lt;&gt;""),Main[[#This Row],[In Stock Date]]-Main[[#This Row],[Revised Due Date]],"")</f>
        <v/>
      </c>
      <c r="I487" s="72" t="s">
        <v>4</v>
      </c>
      <c r="J487" s="72" t="s">
        <v>4</v>
      </c>
      <c r="K487" s="81" t="s">
        <v>4</v>
      </c>
      <c r="L487" s="74"/>
      <c r="M487" s="77" t="str">
        <f>IF(Main[[#This Row],[Tech Start Date]]&lt;1/1/1990,"",IF(Main[[#This Row],[Class]]="C",WORKDAY(Main[[#This Row],[Tech Start Date]],9),IF(Main[[#This Row],[Class]]="B", WORKDAY(Main[[#This Row],[Tech Start Date]],6),IF(Main[[#This Row],[Class]]="A",WORKDAY(Main[[#This Row],[Tech Start Date]],2),""))))</f>
        <v/>
      </c>
      <c r="N487" s="77" t="str">
        <f>IF(Main[[#This Row],[Tech Start Date]]&lt;1/1/1990,"",IF(Main[[#This Row],[Class]]="C",WORKDAY(Main[[#This Row],[Tech Start Date]],19),IF(Main[[#This Row],[Class]]="B", WORKDAY(Main[[#This Row],[Tech Start Date]],12),IF(Main[[#This Row],[Class]]="A",WORKDAY(Main[[#This Row],[Tech Start Date]],4),""))))</f>
        <v/>
      </c>
      <c r="O487" s="77" t="str">
        <f>IF(Main[[#This Row],[Tech Start Date]]&lt;1/1/1990,"",IF(Main[[#This Row],[Class]]="C",WORKDAY(Main[[#This Row],[Tech Start Date]],23),IF(Main[[#This Row],[Class]]="B", WORKDAY(Main[[#This Row],[Tech Start Date]],15),IF(Main[[#This Row],[Class]]="A",WORKDAY(Main[[#This Row],[Tech Start Date]],5),""))))</f>
        <v/>
      </c>
      <c r="P487" s="77" t="str">
        <f>IF(Main[[#This Row],[Tech Start Date]]&lt;1/1/1990,"",IF(Main[[#This Row],[Class]]="C",WORKDAY(Main[[#This Row],[Tech Start Date]],28),IF(Main[[#This Row],[Class]]="B", WORKDAY(Main[[#This Row],[Tech Start Date]],19),IF(Main[[#This Row],[Class]]="A",WORKDAY(Main[[#This Row],[Tech Start Date]],9),""))))</f>
        <v/>
      </c>
      <c r="Q487" s="74"/>
      <c r="R487" s="74"/>
      <c r="S487" s="72" t="s">
        <v>11</v>
      </c>
      <c r="T487" s="80" t="s">
        <v>4</v>
      </c>
      <c r="U487" s="72" t="s">
        <v>14</v>
      </c>
      <c r="V487" s="72" t="s">
        <v>1938</v>
      </c>
      <c r="W487" s="72" t="s">
        <v>4</v>
      </c>
      <c r="X487" s="72" t="s">
        <v>2283</v>
      </c>
      <c r="Y487" s="72" t="s">
        <v>4</v>
      </c>
      <c r="Z487" s="72" t="s">
        <v>4</v>
      </c>
    </row>
    <row r="488" spans="1:26" ht="18.600000000000001" customHeight="1">
      <c r="A488" s="142" t="str">
        <f>IF(priority(Main[[#This Row],[Comments]])&lt;&gt;0, priority(Main[[#This Row],[Comments]]),"")</f>
        <v/>
      </c>
      <c r="B488" s="90" t="s">
        <v>1350</v>
      </c>
      <c r="C488" s="72" t="s">
        <v>31</v>
      </c>
      <c r="D488" s="73" t="s">
        <v>392</v>
      </c>
      <c r="E488" s="74"/>
      <c r="F488" s="74"/>
      <c r="G488" s="75" t="str">
        <f>IF(stdProdLT(Main[[#This Row],[Comments]])=0.1,"N/A",IF(stdProdLT(Main[[#This Row],[Comments]])=0,"",stdProdLT(Main[[#This Row],[Comments]])))</f>
        <v/>
      </c>
      <c r="H488" s="76" t="str">
        <f>IF(AND(Main[[#This Row],[In Stock Date]]&lt;&gt;"",Main[[#This Row],[Revised Due Date]]&lt;&gt;""),Main[[#This Row],[In Stock Date]]-Main[[#This Row],[Revised Due Date]],"")</f>
        <v/>
      </c>
      <c r="I488" s="72" t="s">
        <v>4</v>
      </c>
      <c r="J488" s="72" t="s">
        <v>4</v>
      </c>
      <c r="K488" s="72" t="s">
        <v>4</v>
      </c>
      <c r="L488" s="74"/>
      <c r="M488" s="77" t="str">
        <f>IF(Main[[#This Row],[Tech Start Date]]&lt;1/1/1990,"",IF(Main[[#This Row],[Class]]="C",WORKDAY(Main[[#This Row],[Tech Start Date]],9),IF(Main[[#This Row],[Class]]="B", WORKDAY(Main[[#This Row],[Tech Start Date]],6),IF(Main[[#This Row],[Class]]="A",WORKDAY(Main[[#This Row],[Tech Start Date]],2),""))))</f>
        <v/>
      </c>
      <c r="N488" s="77" t="str">
        <f>IF(Main[[#This Row],[Tech Start Date]]&lt;1/1/1990,"",IF(Main[[#This Row],[Class]]="C",WORKDAY(Main[[#This Row],[Tech Start Date]],19),IF(Main[[#This Row],[Class]]="B", WORKDAY(Main[[#This Row],[Tech Start Date]],12),IF(Main[[#This Row],[Class]]="A",WORKDAY(Main[[#This Row],[Tech Start Date]],4),""))))</f>
        <v/>
      </c>
      <c r="O488" s="77" t="str">
        <f>IF(Main[[#This Row],[Tech Start Date]]&lt;1/1/1990,"",IF(Main[[#This Row],[Class]]="C",WORKDAY(Main[[#This Row],[Tech Start Date]],23),IF(Main[[#This Row],[Class]]="B", WORKDAY(Main[[#This Row],[Tech Start Date]],15),IF(Main[[#This Row],[Class]]="A",WORKDAY(Main[[#This Row],[Tech Start Date]],5),""))))</f>
        <v/>
      </c>
      <c r="P488" s="77" t="str">
        <f>IF(Main[[#This Row],[Tech Start Date]]&lt;1/1/1990,"",IF(Main[[#This Row],[Class]]="C",WORKDAY(Main[[#This Row],[Tech Start Date]],28),IF(Main[[#This Row],[Class]]="B", WORKDAY(Main[[#This Row],[Tech Start Date]],19),IF(Main[[#This Row],[Class]]="A",WORKDAY(Main[[#This Row],[Tech Start Date]],9),""))))</f>
        <v/>
      </c>
      <c r="Q488" s="74">
        <v>40318</v>
      </c>
      <c r="R488" s="74"/>
      <c r="S488" s="72" t="s">
        <v>11</v>
      </c>
      <c r="T488" s="80" t="s">
        <v>4</v>
      </c>
      <c r="U488" s="72" t="s">
        <v>14</v>
      </c>
      <c r="V488" s="72" t="s">
        <v>1947</v>
      </c>
      <c r="W488" s="72" t="s">
        <v>1939</v>
      </c>
      <c r="X488" s="72" t="s">
        <v>2982</v>
      </c>
      <c r="Y488" s="72" t="s">
        <v>4</v>
      </c>
      <c r="Z488" s="72" t="s">
        <v>4</v>
      </c>
    </row>
    <row r="489" spans="1:26" ht="18.600000000000001" customHeight="1">
      <c r="A489" s="142" t="str">
        <f>IF(priority(Main[[#This Row],[Comments]])&lt;&gt;0, priority(Main[[#This Row],[Comments]]),"")</f>
        <v/>
      </c>
      <c r="B489" s="90" t="s">
        <v>1351</v>
      </c>
      <c r="C489" s="72" t="s">
        <v>31</v>
      </c>
      <c r="D489" s="73" t="s">
        <v>393</v>
      </c>
      <c r="E489" s="74"/>
      <c r="F489" s="74">
        <v>40288</v>
      </c>
      <c r="G489" s="75" t="str">
        <f>IF(stdProdLT(Main[[#This Row],[Comments]])=0.1,"N/A",IF(stdProdLT(Main[[#This Row],[Comments]])=0,"",stdProdLT(Main[[#This Row],[Comments]])))</f>
        <v/>
      </c>
      <c r="H489" s="76" t="str">
        <f>IF(AND(Main[[#This Row],[In Stock Date]]&lt;&gt;"",Main[[#This Row],[Revised Due Date]]&lt;&gt;""),Main[[#This Row],[In Stock Date]]-Main[[#This Row],[Revised Due Date]],"")</f>
        <v/>
      </c>
      <c r="I489" s="72" t="s">
        <v>4</v>
      </c>
      <c r="J489" s="72" t="s">
        <v>4</v>
      </c>
      <c r="K489" s="72" t="s">
        <v>4</v>
      </c>
      <c r="L489" s="74"/>
      <c r="M489" s="77" t="str">
        <f>IF(Main[[#This Row],[Tech Start Date]]&lt;1/1/1990,"",IF(Main[[#This Row],[Class]]="C",WORKDAY(Main[[#This Row],[Tech Start Date]],9),IF(Main[[#This Row],[Class]]="B", WORKDAY(Main[[#This Row],[Tech Start Date]],6),IF(Main[[#This Row],[Class]]="A",WORKDAY(Main[[#This Row],[Tech Start Date]],2),""))))</f>
        <v/>
      </c>
      <c r="N489" s="77" t="str">
        <f>IF(Main[[#This Row],[Tech Start Date]]&lt;1/1/1990,"",IF(Main[[#This Row],[Class]]="C",WORKDAY(Main[[#This Row],[Tech Start Date]],19),IF(Main[[#This Row],[Class]]="B", WORKDAY(Main[[#This Row],[Tech Start Date]],12),IF(Main[[#This Row],[Class]]="A",WORKDAY(Main[[#This Row],[Tech Start Date]],4),""))))</f>
        <v/>
      </c>
      <c r="O489" s="77" t="str">
        <f>IF(Main[[#This Row],[Tech Start Date]]&lt;1/1/1990,"",IF(Main[[#This Row],[Class]]="C",WORKDAY(Main[[#This Row],[Tech Start Date]],23),IF(Main[[#This Row],[Class]]="B", WORKDAY(Main[[#This Row],[Tech Start Date]],15),IF(Main[[#This Row],[Class]]="A",WORKDAY(Main[[#This Row],[Tech Start Date]],5),""))))</f>
        <v/>
      </c>
      <c r="P489" s="77" t="str">
        <f>IF(Main[[#This Row],[Tech Start Date]]&lt;1/1/1990,"",IF(Main[[#This Row],[Class]]="C",WORKDAY(Main[[#This Row],[Tech Start Date]],28),IF(Main[[#This Row],[Class]]="B", WORKDAY(Main[[#This Row],[Tech Start Date]],19),IF(Main[[#This Row],[Class]]="A",WORKDAY(Main[[#This Row],[Tech Start Date]],9),""))))</f>
        <v/>
      </c>
      <c r="Q489" s="74">
        <v>40106</v>
      </c>
      <c r="R489" s="74"/>
      <c r="S489" s="72" t="s">
        <v>11</v>
      </c>
      <c r="T489" s="80" t="s">
        <v>4</v>
      </c>
      <c r="U489" s="72" t="s">
        <v>14</v>
      </c>
      <c r="V489" s="72" t="s">
        <v>1940</v>
      </c>
      <c r="W489" s="72" t="s">
        <v>1948</v>
      </c>
      <c r="X489" s="72" t="s">
        <v>2982</v>
      </c>
      <c r="Y489" s="72" t="s">
        <v>4</v>
      </c>
      <c r="Z489" s="72" t="s">
        <v>4</v>
      </c>
    </row>
    <row r="490" spans="1:26" ht="18.600000000000001" customHeight="1">
      <c r="A490" s="142" t="str">
        <f>IF(priority(Main[[#This Row],[Comments]])&lt;&gt;0, priority(Main[[#This Row],[Comments]]),"")</f>
        <v/>
      </c>
      <c r="B490" s="90" t="s">
        <v>1925</v>
      </c>
      <c r="C490" s="72" t="s">
        <v>282</v>
      </c>
      <c r="D490" s="73" t="s">
        <v>969</v>
      </c>
      <c r="E490" s="74"/>
      <c r="F490" s="74">
        <v>40543</v>
      </c>
      <c r="G490" s="75" t="str">
        <f>IF(stdProdLT(Main[[#This Row],[Comments]])=0.1,"N/A",IF(stdProdLT(Main[[#This Row],[Comments]])=0,"",stdProdLT(Main[[#This Row],[Comments]])))</f>
        <v/>
      </c>
      <c r="H490" s="76">
        <f>IF(AND(Main[[#This Row],[In Stock Date]]&lt;&gt;"",Main[[#This Row],[Revised Due Date]]&lt;&gt;""),Main[[#This Row],[In Stock Date]]-Main[[#This Row],[Revised Due Date]],"")</f>
        <v>-200</v>
      </c>
      <c r="I490" s="72" t="s">
        <v>165</v>
      </c>
      <c r="J490" s="72" t="s">
        <v>4</v>
      </c>
      <c r="K490" s="72" t="s">
        <v>1949</v>
      </c>
      <c r="L490" s="74"/>
      <c r="M490" s="77" t="str">
        <f>IF(Main[[#This Row],[Tech Start Date]]&lt;1/1/1990,"",IF(Main[[#This Row],[Class]]="C",WORKDAY(Main[[#This Row],[Tech Start Date]],9),IF(Main[[#This Row],[Class]]="B", WORKDAY(Main[[#This Row],[Tech Start Date]],6),IF(Main[[#This Row],[Class]]="A",WORKDAY(Main[[#This Row],[Tech Start Date]],2),""))))</f>
        <v/>
      </c>
      <c r="N490" s="77" t="str">
        <f>IF(Main[[#This Row],[Tech Start Date]]&lt;1/1/1990,"",IF(Main[[#This Row],[Class]]="C",WORKDAY(Main[[#This Row],[Tech Start Date]],19),IF(Main[[#This Row],[Class]]="B", WORKDAY(Main[[#This Row],[Tech Start Date]],12),IF(Main[[#This Row],[Class]]="A",WORKDAY(Main[[#This Row],[Tech Start Date]],4),""))))</f>
        <v/>
      </c>
      <c r="O490" s="77" t="str">
        <f>IF(Main[[#This Row],[Tech Start Date]]&lt;1/1/1990,"",IF(Main[[#This Row],[Class]]="C",WORKDAY(Main[[#This Row],[Tech Start Date]],23),IF(Main[[#This Row],[Class]]="B", WORKDAY(Main[[#This Row],[Tech Start Date]],15),IF(Main[[#This Row],[Class]]="A",WORKDAY(Main[[#This Row],[Tech Start Date]],5),""))))</f>
        <v/>
      </c>
      <c r="P490" s="77" t="str">
        <f>IF(Main[[#This Row],[Tech Start Date]]&lt;1/1/1990,"",IF(Main[[#This Row],[Class]]="C",WORKDAY(Main[[#This Row],[Tech Start Date]],28),IF(Main[[#This Row],[Class]]="B", WORKDAY(Main[[#This Row],[Tech Start Date]],19),IF(Main[[#This Row],[Class]]="A",WORKDAY(Main[[#This Row],[Tech Start Date]],9),""))))</f>
        <v/>
      </c>
      <c r="Q490" s="74">
        <v>40543</v>
      </c>
      <c r="R490" s="74">
        <v>40743</v>
      </c>
      <c r="S490" s="72" t="s">
        <v>17</v>
      </c>
      <c r="T490" s="80" t="s">
        <v>4</v>
      </c>
      <c r="U490" s="72" t="s">
        <v>14</v>
      </c>
      <c r="V490" s="72" t="s">
        <v>1940</v>
      </c>
      <c r="W490" s="72" t="s">
        <v>1939</v>
      </c>
      <c r="X490" s="72" t="s">
        <v>65</v>
      </c>
      <c r="Y490" s="72" t="s">
        <v>4</v>
      </c>
      <c r="Z490" s="72" t="s">
        <v>421</v>
      </c>
    </row>
    <row r="491" spans="1:26" ht="18.600000000000001" customHeight="1">
      <c r="A491" s="142" t="str">
        <f>IF(priority(Main[[#This Row],[Comments]])&lt;&gt;0, priority(Main[[#This Row],[Comments]]),"")</f>
        <v/>
      </c>
      <c r="B491" s="90" t="s">
        <v>1326</v>
      </c>
      <c r="C491" s="72" t="s">
        <v>4</v>
      </c>
      <c r="D491" s="73" t="s">
        <v>394</v>
      </c>
      <c r="E491" s="74"/>
      <c r="F491" s="74"/>
      <c r="G491" s="75" t="str">
        <f>IF(stdProdLT(Main[[#This Row],[Comments]])=0.1,"N/A",IF(stdProdLT(Main[[#This Row],[Comments]])=0,"",stdProdLT(Main[[#This Row],[Comments]])))</f>
        <v/>
      </c>
      <c r="H491" s="76" t="str">
        <f>IF(AND(Main[[#This Row],[In Stock Date]]&lt;&gt;"",Main[[#This Row],[Revised Due Date]]&lt;&gt;""),Main[[#This Row],[In Stock Date]]-Main[[#This Row],[Revised Due Date]],"")</f>
        <v/>
      </c>
      <c r="I491" s="72" t="s">
        <v>4</v>
      </c>
      <c r="J491" s="72" t="s">
        <v>4</v>
      </c>
      <c r="K491" s="72" t="s">
        <v>4</v>
      </c>
      <c r="L491" s="74"/>
      <c r="M491" s="77" t="str">
        <f>IF(Main[[#This Row],[Tech Start Date]]&lt;1/1/1990,"",IF(Main[[#This Row],[Class]]="C",WORKDAY(Main[[#This Row],[Tech Start Date]],9),IF(Main[[#This Row],[Class]]="B", WORKDAY(Main[[#This Row],[Tech Start Date]],6),IF(Main[[#This Row],[Class]]="A",WORKDAY(Main[[#This Row],[Tech Start Date]],2),""))))</f>
        <v/>
      </c>
      <c r="N491" s="77" t="str">
        <f>IF(Main[[#This Row],[Tech Start Date]]&lt;1/1/1990,"",IF(Main[[#This Row],[Class]]="C",WORKDAY(Main[[#This Row],[Tech Start Date]],19),IF(Main[[#This Row],[Class]]="B", WORKDAY(Main[[#This Row],[Tech Start Date]],12),IF(Main[[#This Row],[Class]]="A",WORKDAY(Main[[#This Row],[Tech Start Date]],4),""))))</f>
        <v/>
      </c>
      <c r="O491" s="77" t="str">
        <f>IF(Main[[#This Row],[Tech Start Date]]&lt;1/1/1990,"",IF(Main[[#This Row],[Class]]="C",WORKDAY(Main[[#This Row],[Tech Start Date]],23),IF(Main[[#This Row],[Class]]="B", WORKDAY(Main[[#This Row],[Tech Start Date]],15),IF(Main[[#This Row],[Class]]="A",WORKDAY(Main[[#This Row],[Tech Start Date]],5),""))))</f>
        <v/>
      </c>
      <c r="P491" s="77" t="str">
        <f>IF(Main[[#This Row],[Tech Start Date]]&lt;1/1/1990,"",IF(Main[[#This Row],[Class]]="C",WORKDAY(Main[[#This Row],[Tech Start Date]],28),IF(Main[[#This Row],[Class]]="B", WORKDAY(Main[[#This Row],[Tech Start Date]],19),IF(Main[[#This Row],[Class]]="A",WORKDAY(Main[[#This Row],[Tech Start Date]],9),""))))</f>
        <v/>
      </c>
      <c r="Q491" s="74"/>
      <c r="R491" s="74"/>
      <c r="S491" s="72" t="s">
        <v>4</v>
      </c>
      <c r="T491" s="80" t="s">
        <v>4</v>
      </c>
      <c r="U491" s="72" t="s">
        <v>14</v>
      </c>
      <c r="V491" s="72" t="s">
        <v>1938</v>
      </c>
      <c r="W491" s="72" t="s">
        <v>4</v>
      </c>
      <c r="X491" s="72" t="s">
        <v>937</v>
      </c>
      <c r="Y491" s="72" t="s">
        <v>4</v>
      </c>
      <c r="Z491" s="72" t="s">
        <v>4</v>
      </c>
    </row>
    <row r="492" spans="1:26" ht="18.600000000000001" customHeight="1">
      <c r="A492" s="142" t="str">
        <f>IF(priority(Main[[#This Row],[Comments]])&lt;&gt;0, priority(Main[[#This Row],[Comments]]),"")</f>
        <v/>
      </c>
      <c r="B492" s="90" t="s">
        <v>1327</v>
      </c>
      <c r="C492" s="72" t="s">
        <v>395</v>
      </c>
      <c r="D492" s="73" t="s">
        <v>396</v>
      </c>
      <c r="E492" s="74"/>
      <c r="F492" s="74">
        <v>40512</v>
      </c>
      <c r="G492" s="75" t="str">
        <f>IF(stdProdLT(Main[[#This Row],[Comments]])=0.1,"N/A",IF(stdProdLT(Main[[#This Row],[Comments]])=0,"",stdProdLT(Main[[#This Row],[Comments]])))</f>
        <v/>
      </c>
      <c r="H492" s="76" t="str">
        <f>IF(AND(Main[[#This Row],[In Stock Date]]&lt;&gt;"",Main[[#This Row],[Revised Due Date]]&lt;&gt;""),Main[[#This Row],[In Stock Date]]-Main[[#This Row],[Revised Due Date]],"")</f>
        <v/>
      </c>
      <c r="I492" s="72" t="s">
        <v>4</v>
      </c>
      <c r="J492" s="72" t="s">
        <v>4</v>
      </c>
      <c r="K492" s="72" t="s">
        <v>4</v>
      </c>
      <c r="L492" s="74"/>
      <c r="M492" s="77" t="str">
        <f>IF(Main[[#This Row],[Tech Start Date]]&lt;1/1/1990,"",IF(Main[[#This Row],[Class]]="C",WORKDAY(Main[[#This Row],[Tech Start Date]],9),IF(Main[[#This Row],[Class]]="B", WORKDAY(Main[[#This Row],[Tech Start Date]],6),IF(Main[[#This Row],[Class]]="A",WORKDAY(Main[[#This Row],[Tech Start Date]],2),""))))</f>
        <v/>
      </c>
      <c r="N492" s="77" t="str">
        <f>IF(Main[[#This Row],[Tech Start Date]]&lt;1/1/1990,"",IF(Main[[#This Row],[Class]]="C",WORKDAY(Main[[#This Row],[Tech Start Date]],19),IF(Main[[#This Row],[Class]]="B", WORKDAY(Main[[#This Row],[Tech Start Date]],12),IF(Main[[#This Row],[Class]]="A",WORKDAY(Main[[#This Row],[Tech Start Date]],4),""))))</f>
        <v/>
      </c>
      <c r="O492" s="77" t="str">
        <f>IF(Main[[#This Row],[Tech Start Date]]&lt;1/1/1990,"",IF(Main[[#This Row],[Class]]="C",WORKDAY(Main[[#This Row],[Tech Start Date]],23),IF(Main[[#This Row],[Class]]="B", WORKDAY(Main[[#This Row],[Tech Start Date]],15),IF(Main[[#This Row],[Class]]="A",WORKDAY(Main[[#This Row],[Tech Start Date]],5),""))))</f>
        <v/>
      </c>
      <c r="P492" s="77" t="str">
        <f>IF(Main[[#This Row],[Tech Start Date]]&lt;1/1/1990,"",IF(Main[[#This Row],[Class]]="C",WORKDAY(Main[[#This Row],[Tech Start Date]],28),IF(Main[[#This Row],[Class]]="B", WORKDAY(Main[[#This Row],[Tech Start Date]],19),IF(Main[[#This Row],[Class]]="A",WORKDAY(Main[[#This Row],[Tech Start Date]],9),""))))</f>
        <v/>
      </c>
      <c r="Q492" s="74">
        <v>40316</v>
      </c>
      <c r="R492" s="74"/>
      <c r="S492" s="72" t="s">
        <v>11</v>
      </c>
      <c r="T492" s="80" t="s">
        <v>4</v>
      </c>
      <c r="U492" s="72" t="s">
        <v>14</v>
      </c>
      <c r="V492" s="72" t="s">
        <v>1937</v>
      </c>
      <c r="W492" s="72" t="s">
        <v>1943</v>
      </c>
      <c r="X492" s="72" t="s">
        <v>3004</v>
      </c>
      <c r="Y492" s="72" t="s">
        <v>4</v>
      </c>
      <c r="Z492" s="72" t="s">
        <v>4</v>
      </c>
    </row>
    <row r="493" spans="1:26" ht="18.600000000000001" customHeight="1">
      <c r="A493" s="142" t="str">
        <f>IF(priority(Main[[#This Row],[Comments]])&lt;&gt;0, priority(Main[[#This Row],[Comments]]),"")</f>
        <v/>
      </c>
      <c r="B493" s="90" t="s">
        <v>1328</v>
      </c>
      <c r="C493" s="72" t="s">
        <v>216</v>
      </c>
      <c r="D493" s="73" t="s">
        <v>397</v>
      </c>
      <c r="E493" s="74"/>
      <c r="F493" s="74">
        <v>40390</v>
      </c>
      <c r="G493" s="75" t="str">
        <f>IF(stdProdLT(Main[[#This Row],[Comments]])=0.1,"N/A",IF(stdProdLT(Main[[#This Row],[Comments]])=0,"",stdProdLT(Main[[#This Row],[Comments]])))</f>
        <v/>
      </c>
      <c r="H493" s="76" t="str">
        <f>IF(AND(Main[[#This Row],[In Stock Date]]&lt;&gt;"",Main[[#This Row],[Revised Due Date]]&lt;&gt;""),Main[[#This Row],[In Stock Date]]-Main[[#This Row],[Revised Due Date]],"")</f>
        <v/>
      </c>
      <c r="I493" s="72" t="s">
        <v>4</v>
      </c>
      <c r="J493" s="72" t="s">
        <v>4</v>
      </c>
      <c r="K493" s="72" t="s">
        <v>4</v>
      </c>
      <c r="L493" s="74"/>
      <c r="M493" s="77" t="str">
        <f>IF(Main[[#This Row],[Tech Start Date]]&lt;1/1/1990,"",IF(Main[[#This Row],[Class]]="C",WORKDAY(Main[[#This Row],[Tech Start Date]],9),IF(Main[[#This Row],[Class]]="B", WORKDAY(Main[[#This Row],[Tech Start Date]],6),IF(Main[[#This Row],[Class]]="A",WORKDAY(Main[[#This Row],[Tech Start Date]],2),""))))</f>
        <v/>
      </c>
      <c r="N493" s="77" t="str">
        <f>IF(Main[[#This Row],[Tech Start Date]]&lt;1/1/1990,"",IF(Main[[#This Row],[Class]]="C",WORKDAY(Main[[#This Row],[Tech Start Date]],19),IF(Main[[#This Row],[Class]]="B", WORKDAY(Main[[#This Row],[Tech Start Date]],12),IF(Main[[#This Row],[Class]]="A",WORKDAY(Main[[#This Row],[Tech Start Date]],4),""))))</f>
        <v/>
      </c>
      <c r="O493" s="77" t="str">
        <f>IF(Main[[#This Row],[Tech Start Date]]&lt;1/1/1990,"",IF(Main[[#This Row],[Class]]="C",WORKDAY(Main[[#This Row],[Tech Start Date]],23),IF(Main[[#This Row],[Class]]="B", WORKDAY(Main[[#This Row],[Tech Start Date]],15),IF(Main[[#This Row],[Class]]="A",WORKDAY(Main[[#This Row],[Tech Start Date]],5),""))))</f>
        <v/>
      </c>
      <c r="P493" s="77" t="str">
        <f>IF(Main[[#This Row],[Tech Start Date]]&lt;1/1/1990,"",IF(Main[[#This Row],[Class]]="C",WORKDAY(Main[[#This Row],[Tech Start Date]],28),IF(Main[[#This Row],[Class]]="B", WORKDAY(Main[[#This Row],[Tech Start Date]],19),IF(Main[[#This Row],[Class]]="A",WORKDAY(Main[[#This Row],[Tech Start Date]],9),""))))</f>
        <v/>
      </c>
      <c r="Q493" s="74">
        <v>40278</v>
      </c>
      <c r="R493" s="74"/>
      <c r="S493" s="72" t="s">
        <v>11</v>
      </c>
      <c r="T493" s="80" t="s">
        <v>4</v>
      </c>
      <c r="U493" s="72" t="s">
        <v>14</v>
      </c>
      <c r="V493" s="72" t="s">
        <v>1940</v>
      </c>
      <c r="W493" s="72" t="s">
        <v>1942</v>
      </c>
      <c r="X493" s="72" t="s">
        <v>560</v>
      </c>
      <c r="Y493" s="72" t="s">
        <v>4</v>
      </c>
      <c r="Z493" s="72" t="s">
        <v>4</v>
      </c>
    </row>
    <row r="494" spans="1:26" ht="18.600000000000001" customHeight="1">
      <c r="A494" s="142" t="str">
        <f>IF(priority(Main[[#This Row],[Comments]])&lt;&gt;0, priority(Main[[#This Row],[Comments]]),"")</f>
        <v/>
      </c>
      <c r="B494" s="90" t="s">
        <v>1329</v>
      </c>
      <c r="C494" s="72" t="s">
        <v>280</v>
      </c>
      <c r="D494" s="73" t="s">
        <v>398</v>
      </c>
      <c r="E494" s="74"/>
      <c r="F494" s="74">
        <v>40186</v>
      </c>
      <c r="G494" s="75" t="str">
        <f>IF(stdProdLT(Main[[#This Row],[Comments]])=0.1,"N/A",IF(stdProdLT(Main[[#This Row],[Comments]])=0,"",stdProdLT(Main[[#This Row],[Comments]])))</f>
        <v/>
      </c>
      <c r="H494" s="76" t="str">
        <f>IF(AND(Main[[#This Row],[In Stock Date]]&lt;&gt;"",Main[[#This Row],[Revised Due Date]]&lt;&gt;""),Main[[#This Row],[In Stock Date]]-Main[[#This Row],[Revised Due Date]],"")</f>
        <v/>
      </c>
      <c r="I494" s="72" t="s">
        <v>4</v>
      </c>
      <c r="J494" s="72" t="s">
        <v>4</v>
      </c>
      <c r="K494" s="72" t="s">
        <v>4</v>
      </c>
      <c r="L494" s="74"/>
      <c r="M494" s="77" t="str">
        <f>IF(Main[[#This Row],[Tech Start Date]]&lt;1/1/1990,"",IF(Main[[#This Row],[Class]]="C",WORKDAY(Main[[#This Row],[Tech Start Date]],9),IF(Main[[#This Row],[Class]]="B", WORKDAY(Main[[#This Row],[Tech Start Date]],6),IF(Main[[#This Row],[Class]]="A",WORKDAY(Main[[#This Row],[Tech Start Date]],2),""))))</f>
        <v/>
      </c>
      <c r="N494" s="77" t="str">
        <f>IF(Main[[#This Row],[Tech Start Date]]&lt;1/1/1990,"",IF(Main[[#This Row],[Class]]="C",WORKDAY(Main[[#This Row],[Tech Start Date]],19),IF(Main[[#This Row],[Class]]="B", WORKDAY(Main[[#This Row],[Tech Start Date]],12),IF(Main[[#This Row],[Class]]="A",WORKDAY(Main[[#This Row],[Tech Start Date]],4),""))))</f>
        <v/>
      </c>
      <c r="O494" s="77" t="str">
        <f>IF(Main[[#This Row],[Tech Start Date]]&lt;1/1/1990,"",IF(Main[[#This Row],[Class]]="C",WORKDAY(Main[[#This Row],[Tech Start Date]],23),IF(Main[[#This Row],[Class]]="B", WORKDAY(Main[[#This Row],[Tech Start Date]],15),IF(Main[[#This Row],[Class]]="A",WORKDAY(Main[[#This Row],[Tech Start Date]],5),""))))</f>
        <v/>
      </c>
      <c r="P494" s="77" t="str">
        <f>IF(Main[[#This Row],[Tech Start Date]]&lt;1/1/1990,"",IF(Main[[#This Row],[Class]]="C",WORKDAY(Main[[#This Row],[Tech Start Date]],28),IF(Main[[#This Row],[Class]]="B", WORKDAY(Main[[#This Row],[Tech Start Date]],19),IF(Main[[#This Row],[Class]]="A",WORKDAY(Main[[#This Row],[Tech Start Date]],9),""))))</f>
        <v/>
      </c>
      <c r="Q494" s="74">
        <v>40186</v>
      </c>
      <c r="R494" s="74"/>
      <c r="S494" s="72" t="s">
        <v>11</v>
      </c>
      <c r="T494" s="80" t="s">
        <v>4</v>
      </c>
      <c r="U494" s="72" t="s">
        <v>14</v>
      </c>
      <c r="V494" s="72" t="s">
        <v>1940</v>
      </c>
      <c r="W494" s="72" t="s">
        <v>1945</v>
      </c>
      <c r="X494" s="72" t="s">
        <v>2994</v>
      </c>
      <c r="Y494" s="72" t="s">
        <v>4</v>
      </c>
      <c r="Z494" s="72" t="s">
        <v>4</v>
      </c>
    </row>
    <row r="495" spans="1:26" ht="18.600000000000001" customHeight="1">
      <c r="A495" s="142" t="str">
        <f>IF(priority(Main[[#This Row],[Comments]])&lt;&gt;0, priority(Main[[#This Row],[Comments]]),"")</f>
        <v/>
      </c>
      <c r="B495" s="90" t="s">
        <v>1330</v>
      </c>
      <c r="C495" s="72" t="s">
        <v>399</v>
      </c>
      <c r="D495" s="73" t="s">
        <v>400</v>
      </c>
      <c r="E495" s="74"/>
      <c r="F495" s="74"/>
      <c r="G495" s="75" t="str">
        <f>IF(stdProdLT(Main[[#This Row],[Comments]])=0.1,"N/A",IF(stdProdLT(Main[[#This Row],[Comments]])=0,"",stdProdLT(Main[[#This Row],[Comments]])))</f>
        <v/>
      </c>
      <c r="H495" s="76" t="str">
        <f>IF(AND(Main[[#This Row],[In Stock Date]]&lt;&gt;"",Main[[#This Row],[Revised Due Date]]&lt;&gt;""),Main[[#This Row],[In Stock Date]]-Main[[#This Row],[Revised Due Date]],"")</f>
        <v/>
      </c>
      <c r="I495" s="72" t="s">
        <v>4</v>
      </c>
      <c r="J495" s="72" t="s">
        <v>4</v>
      </c>
      <c r="K495" s="72" t="s">
        <v>4</v>
      </c>
      <c r="L495" s="74"/>
      <c r="M495" s="77" t="str">
        <f>IF(Main[[#This Row],[Tech Start Date]]&lt;1/1/1990,"",IF(Main[[#This Row],[Class]]="C",WORKDAY(Main[[#This Row],[Tech Start Date]],9),IF(Main[[#This Row],[Class]]="B", WORKDAY(Main[[#This Row],[Tech Start Date]],6),IF(Main[[#This Row],[Class]]="A",WORKDAY(Main[[#This Row],[Tech Start Date]],2),""))))</f>
        <v/>
      </c>
      <c r="N495" s="77" t="str">
        <f>IF(Main[[#This Row],[Tech Start Date]]&lt;1/1/1990,"",IF(Main[[#This Row],[Class]]="C",WORKDAY(Main[[#This Row],[Tech Start Date]],19),IF(Main[[#This Row],[Class]]="B", WORKDAY(Main[[#This Row],[Tech Start Date]],12),IF(Main[[#This Row],[Class]]="A",WORKDAY(Main[[#This Row],[Tech Start Date]],4),""))))</f>
        <v/>
      </c>
      <c r="O495" s="77" t="str">
        <f>IF(Main[[#This Row],[Tech Start Date]]&lt;1/1/1990,"",IF(Main[[#This Row],[Class]]="C",WORKDAY(Main[[#This Row],[Tech Start Date]],23),IF(Main[[#This Row],[Class]]="B", WORKDAY(Main[[#This Row],[Tech Start Date]],15),IF(Main[[#This Row],[Class]]="A",WORKDAY(Main[[#This Row],[Tech Start Date]],5),""))))</f>
        <v/>
      </c>
      <c r="P495" s="77" t="str">
        <f>IF(Main[[#This Row],[Tech Start Date]]&lt;1/1/1990,"",IF(Main[[#This Row],[Class]]="C",WORKDAY(Main[[#This Row],[Tech Start Date]],28),IF(Main[[#This Row],[Class]]="B", WORKDAY(Main[[#This Row],[Tech Start Date]],19),IF(Main[[#This Row],[Class]]="A",WORKDAY(Main[[#This Row],[Tech Start Date]],9),""))))</f>
        <v/>
      </c>
      <c r="Q495" s="74"/>
      <c r="R495" s="74"/>
      <c r="S495" s="72" t="s">
        <v>11</v>
      </c>
      <c r="T495" s="80" t="s">
        <v>4</v>
      </c>
      <c r="U495" s="72" t="s">
        <v>14</v>
      </c>
      <c r="V495" s="72" t="s">
        <v>1938</v>
      </c>
      <c r="W495" s="72" t="s">
        <v>1945</v>
      </c>
      <c r="X495" s="72" t="s">
        <v>3005</v>
      </c>
      <c r="Y495" s="72" t="s">
        <v>3149</v>
      </c>
      <c r="Z495" s="72" t="s">
        <v>4</v>
      </c>
    </row>
    <row r="496" spans="1:26" ht="18.600000000000001" customHeight="1">
      <c r="A496" s="142" t="str">
        <f>IF(priority(Main[[#This Row],[Comments]])&lt;&gt;0, priority(Main[[#This Row],[Comments]]),"")</f>
        <v/>
      </c>
      <c r="B496" s="90" t="s">
        <v>1332</v>
      </c>
      <c r="C496" s="72" t="s">
        <v>4</v>
      </c>
      <c r="D496" s="73" t="s">
        <v>401</v>
      </c>
      <c r="E496" s="74">
        <v>40319.627523148149</v>
      </c>
      <c r="F496" s="74"/>
      <c r="G496" s="75" t="str">
        <f>IF(stdProdLT(Main[[#This Row],[Comments]])=0.1,"N/A",IF(stdProdLT(Main[[#This Row],[Comments]])=0,"",stdProdLT(Main[[#This Row],[Comments]])))</f>
        <v/>
      </c>
      <c r="H496" s="76" t="str">
        <f>IF(AND(Main[[#This Row],[In Stock Date]]&lt;&gt;"",Main[[#This Row],[Revised Due Date]]&lt;&gt;""),Main[[#This Row],[In Stock Date]]-Main[[#This Row],[Revised Due Date]],"")</f>
        <v/>
      </c>
      <c r="I496" s="72" t="s">
        <v>129</v>
      </c>
      <c r="J496" s="72" t="s">
        <v>4</v>
      </c>
      <c r="K496" s="72" t="s">
        <v>4</v>
      </c>
      <c r="L496" s="74"/>
      <c r="M496" s="77" t="str">
        <f>IF(Main[[#This Row],[Tech Start Date]]&lt;1/1/1990,"",IF(Main[[#This Row],[Class]]="C",WORKDAY(Main[[#This Row],[Tech Start Date]],9),IF(Main[[#This Row],[Class]]="B", WORKDAY(Main[[#This Row],[Tech Start Date]],6),IF(Main[[#This Row],[Class]]="A",WORKDAY(Main[[#This Row],[Tech Start Date]],2),""))))</f>
        <v/>
      </c>
      <c r="N496" s="77" t="str">
        <f>IF(Main[[#This Row],[Tech Start Date]]&lt;1/1/1990,"",IF(Main[[#This Row],[Class]]="C",WORKDAY(Main[[#This Row],[Tech Start Date]],19),IF(Main[[#This Row],[Class]]="B", WORKDAY(Main[[#This Row],[Tech Start Date]],12),IF(Main[[#This Row],[Class]]="A",WORKDAY(Main[[#This Row],[Tech Start Date]],4),""))))</f>
        <v/>
      </c>
      <c r="O496" s="77" t="str">
        <f>IF(Main[[#This Row],[Tech Start Date]]&lt;1/1/1990,"",IF(Main[[#This Row],[Class]]="C",WORKDAY(Main[[#This Row],[Tech Start Date]],23),IF(Main[[#This Row],[Class]]="B", WORKDAY(Main[[#This Row],[Tech Start Date]],15),IF(Main[[#This Row],[Class]]="A",WORKDAY(Main[[#This Row],[Tech Start Date]],5),""))))</f>
        <v/>
      </c>
      <c r="P496" s="77" t="str">
        <f>IF(Main[[#This Row],[Tech Start Date]]&lt;1/1/1990,"",IF(Main[[#This Row],[Class]]="C",WORKDAY(Main[[#This Row],[Tech Start Date]],28),IF(Main[[#This Row],[Class]]="B", WORKDAY(Main[[#This Row],[Tech Start Date]],19),IF(Main[[#This Row],[Class]]="A",WORKDAY(Main[[#This Row],[Tech Start Date]],9),""))))</f>
        <v/>
      </c>
      <c r="Q496" s="74">
        <v>40337</v>
      </c>
      <c r="R496" s="74"/>
      <c r="S496" s="72" t="s">
        <v>6</v>
      </c>
      <c r="T496" s="80" t="s">
        <v>4</v>
      </c>
      <c r="U496" s="72" t="s">
        <v>7</v>
      </c>
      <c r="V496" s="72" t="s">
        <v>1937</v>
      </c>
      <c r="W496" s="72" t="s">
        <v>1941</v>
      </c>
      <c r="X496" s="72" t="s">
        <v>2973</v>
      </c>
      <c r="Y496" s="72" t="s">
        <v>3094</v>
      </c>
      <c r="Z496" s="72" t="s">
        <v>4</v>
      </c>
    </row>
    <row r="497" spans="1:26" ht="18.600000000000001" customHeight="1">
      <c r="A497" s="142" t="str">
        <f>IF(priority(Main[[#This Row],[Comments]])&lt;&gt;0, priority(Main[[#This Row],[Comments]]),"")</f>
        <v/>
      </c>
      <c r="B497" s="90" t="s">
        <v>1333</v>
      </c>
      <c r="C497" s="72" t="s">
        <v>93</v>
      </c>
      <c r="D497" s="73" t="s">
        <v>402</v>
      </c>
      <c r="E497" s="74"/>
      <c r="F497" s="74">
        <v>40132</v>
      </c>
      <c r="G497" s="75" t="str">
        <f>IF(stdProdLT(Main[[#This Row],[Comments]])=0.1,"N/A",IF(stdProdLT(Main[[#This Row],[Comments]])=0,"",stdProdLT(Main[[#This Row],[Comments]])))</f>
        <v/>
      </c>
      <c r="H497" s="76" t="str">
        <f>IF(AND(Main[[#This Row],[In Stock Date]]&lt;&gt;"",Main[[#This Row],[Revised Due Date]]&lt;&gt;""),Main[[#This Row],[In Stock Date]]-Main[[#This Row],[Revised Due Date]],"")</f>
        <v/>
      </c>
      <c r="I497" s="72" t="s">
        <v>4</v>
      </c>
      <c r="J497" s="72" t="s">
        <v>4</v>
      </c>
      <c r="K497" s="72" t="s">
        <v>4</v>
      </c>
      <c r="L497" s="74"/>
      <c r="M497" s="77" t="str">
        <f>IF(Main[[#This Row],[Tech Start Date]]&lt;1/1/1990,"",IF(Main[[#This Row],[Class]]="C",WORKDAY(Main[[#This Row],[Tech Start Date]],9),IF(Main[[#This Row],[Class]]="B", WORKDAY(Main[[#This Row],[Tech Start Date]],6),IF(Main[[#This Row],[Class]]="A",WORKDAY(Main[[#This Row],[Tech Start Date]],2),""))))</f>
        <v/>
      </c>
      <c r="N497" s="77" t="str">
        <f>IF(Main[[#This Row],[Tech Start Date]]&lt;1/1/1990,"",IF(Main[[#This Row],[Class]]="C",WORKDAY(Main[[#This Row],[Tech Start Date]],19),IF(Main[[#This Row],[Class]]="B", WORKDAY(Main[[#This Row],[Tech Start Date]],12),IF(Main[[#This Row],[Class]]="A",WORKDAY(Main[[#This Row],[Tech Start Date]],4),""))))</f>
        <v/>
      </c>
      <c r="O497" s="77" t="str">
        <f>IF(Main[[#This Row],[Tech Start Date]]&lt;1/1/1990,"",IF(Main[[#This Row],[Class]]="C",WORKDAY(Main[[#This Row],[Tech Start Date]],23),IF(Main[[#This Row],[Class]]="B", WORKDAY(Main[[#This Row],[Tech Start Date]],15),IF(Main[[#This Row],[Class]]="A",WORKDAY(Main[[#This Row],[Tech Start Date]],5),""))))</f>
        <v/>
      </c>
      <c r="P497" s="77" t="str">
        <f>IF(Main[[#This Row],[Tech Start Date]]&lt;1/1/1990,"",IF(Main[[#This Row],[Class]]="C",WORKDAY(Main[[#This Row],[Tech Start Date]],28),IF(Main[[#This Row],[Class]]="B", WORKDAY(Main[[#This Row],[Tech Start Date]],19),IF(Main[[#This Row],[Class]]="A",WORKDAY(Main[[#This Row],[Tech Start Date]],9),""))))</f>
        <v/>
      </c>
      <c r="Q497" s="74">
        <v>40132</v>
      </c>
      <c r="R497" s="74"/>
      <c r="S497" s="72" t="s">
        <v>11</v>
      </c>
      <c r="T497" s="80" t="s">
        <v>4</v>
      </c>
      <c r="U497" s="72" t="s">
        <v>14</v>
      </c>
      <c r="V497" s="72" t="s">
        <v>1947</v>
      </c>
      <c r="W497" s="72" t="s">
        <v>1948</v>
      </c>
      <c r="X497" s="72" t="s">
        <v>3008</v>
      </c>
      <c r="Y497" s="72" t="s">
        <v>4</v>
      </c>
      <c r="Z497" s="72" t="s">
        <v>4</v>
      </c>
    </row>
    <row r="498" spans="1:26" ht="18.600000000000001" customHeight="1">
      <c r="A498" s="142" t="str">
        <f>IF(priority(Main[[#This Row],[Comments]])&lt;&gt;0, priority(Main[[#This Row],[Comments]]),"")</f>
        <v/>
      </c>
      <c r="B498" s="90" t="s">
        <v>1334</v>
      </c>
      <c r="C498" s="72" t="s">
        <v>4</v>
      </c>
      <c r="D498" s="73" t="s">
        <v>403</v>
      </c>
      <c r="E498" s="74"/>
      <c r="F498" s="74">
        <v>40385</v>
      </c>
      <c r="G498" s="75" t="str">
        <f>IF(stdProdLT(Main[[#This Row],[Comments]])=0.1,"N/A",IF(stdProdLT(Main[[#This Row],[Comments]])=0,"",stdProdLT(Main[[#This Row],[Comments]])))</f>
        <v/>
      </c>
      <c r="H498" s="76" t="str">
        <f>IF(AND(Main[[#This Row],[In Stock Date]]&lt;&gt;"",Main[[#This Row],[Revised Due Date]]&lt;&gt;""),Main[[#This Row],[In Stock Date]]-Main[[#This Row],[Revised Due Date]],"")</f>
        <v/>
      </c>
      <c r="I498" s="72" t="s">
        <v>404</v>
      </c>
      <c r="J498" s="72" t="s">
        <v>4</v>
      </c>
      <c r="K498" s="81" t="s">
        <v>4</v>
      </c>
      <c r="L498" s="74"/>
      <c r="M498" s="77" t="str">
        <f>IF(Main[[#This Row],[Tech Start Date]]&lt;1/1/1990,"",IF(Main[[#This Row],[Class]]="C",WORKDAY(Main[[#This Row],[Tech Start Date]],9),IF(Main[[#This Row],[Class]]="B", WORKDAY(Main[[#This Row],[Tech Start Date]],6),IF(Main[[#This Row],[Class]]="A",WORKDAY(Main[[#This Row],[Tech Start Date]],2),""))))</f>
        <v/>
      </c>
      <c r="N498" s="77" t="str">
        <f>IF(Main[[#This Row],[Tech Start Date]]&lt;1/1/1990,"",IF(Main[[#This Row],[Class]]="C",WORKDAY(Main[[#This Row],[Tech Start Date]],19),IF(Main[[#This Row],[Class]]="B", WORKDAY(Main[[#This Row],[Tech Start Date]],12),IF(Main[[#This Row],[Class]]="A",WORKDAY(Main[[#This Row],[Tech Start Date]],4),""))))</f>
        <v/>
      </c>
      <c r="O498" s="77" t="str">
        <f>IF(Main[[#This Row],[Tech Start Date]]&lt;1/1/1990,"",IF(Main[[#This Row],[Class]]="C",WORKDAY(Main[[#This Row],[Tech Start Date]],23),IF(Main[[#This Row],[Class]]="B", WORKDAY(Main[[#This Row],[Tech Start Date]],15),IF(Main[[#This Row],[Class]]="A",WORKDAY(Main[[#This Row],[Tech Start Date]],5),""))))</f>
        <v/>
      </c>
      <c r="P498" s="77" t="str">
        <f>IF(Main[[#This Row],[Tech Start Date]]&lt;1/1/1990,"",IF(Main[[#This Row],[Class]]="C",WORKDAY(Main[[#This Row],[Tech Start Date]],28),IF(Main[[#This Row],[Class]]="B", WORKDAY(Main[[#This Row],[Tech Start Date]],19),IF(Main[[#This Row],[Class]]="A",WORKDAY(Main[[#This Row],[Tech Start Date]],9),""))))</f>
        <v/>
      </c>
      <c r="Q498" s="74">
        <v>40359</v>
      </c>
      <c r="R498" s="74"/>
      <c r="S498" s="72" t="s">
        <v>11</v>
      </c>
      <c r="T498" s="80" t="s">
        <v>4</v>
      </c>
      <c r="U498" s="72" t="s">
        <v>14</v>
      </c>
      <c r="V498" s="72" t="s">
        <v>1940</v>
      </c>
      <c r="W498" s="72" t="s">
        <v>1943</v>
      </c>
      <c r="X498" s="72" t="s">
        <v>3033</v>
      </c>
      <c r="Y498" s="72" t="s">
        <v>3188</v>
      </c>
      <c r="Z498" s="72" t="s">
        <v>311</v>
      </c>
    </row>
    <row r="499" spans="1:26" ht="18.600000000000001" customHeight="1">
      <c r="A499" s="142" t="str">
        <f>IF(priority(Main[[#This Row],[Comments]])&lt;&gt;0, priority(Main[[#This Row],[Comments]]),"")</f>
        <v/>
      </c>
      <c r="B499" s="90" t="s">
        <v>1335</v>
      </c>
      <c r="C499" s="72" t="s">
        <v>31</v>
      </c>
      <c r="D499" s="73" t="s">
        <v>405</v>
      </c>
      <c r="E499" s="74"/>
      <c r="F499" s="74">
        <v>40203</v>
      </c>
      <c r="G499" s="75" t="str">
        <f>IF(stdProdLT(Main[[#This Row],[Comments]])=0.1,"N/A",IF(stdProdLT(Main[[#This Row],[Comments]])=0,"",stdProdLT(Main[[#This Row],[Comments]])))</f>
        <v/>
      </c>
      <c r="H499" s="76" t="str">
        <f>IF(AND(Main[[#This Row],[In Stock Date]]&lt;&gt;"",Main[[#This Row],[Revised Due Date]]&lt;&gt;""),Main[[#This Row],[In Stock Date]]-Main[[#This Row],[Revised Due Date]],"")</f>
        <v/>
      </c>
      <c r="I499" s="72" t="s">
        <v>4</v>
      </c>
      <c r="J499" s="72" t="s">
        <v>4</v>
      </c>
      <c r="K499" s="81" t="s">
        <v>4</v>
      </c>
      <c r="L499" s="74"/>
      <c r="M499" s="77" t="str">
        <f>IF(Main[[#This Row],[Tech Start Date]]&lt;1/1/1990,"",IF(Main[[#This Row],[Class]]="C",WORKDAY(Main[[#This Row],[Tech Start Date]],9),IF(Main[[#This Row],[Class]]="B", WORKDAY(Main[[#This Row],[Tech Start Date]],6),IF(Main[[#This Row],[Class]]="A",WORKDAY(Main[[#This Row],[Tech Start Date]],2),""))))</f>
        <v/>
      </c>
      <c r="N499" s="77" t="str">
        <f>IF(Main[[#This Row],[Tech Start Date]]&lt;1/1/1990,"",IF(Main[[#This Row],[Class]]="C",WORKDAY(Main[[#This Row],[Tech Start Date]],19),IF(Main[[#This Row],[Class]]="B", WORKDAY(Main[[#This Row],[Tech Start Date]],12),IF(Main[[#This Row],[Class]]="A",WORKDAY(Main[[#This Row],[Tech Start Date]],4),""))))</f>
        <v/>
      </c>
      <c r="O499" s="77" t="str">
        <f>IF(Main[[#This Row],[Tech Start Date]]&lt;1/1/1990,"",IF(Main[[#This Row],[Class]]="C",WORKDAY(Main[[#This Row],[Tech Start Date]],23),IF(Main[[#This Row],[Class]]="B", WORKDAY(Main[[#This Row],[Tech Start Date]],15),IF(Main[[#This Row],[Class]]="A",WORKDAY(Main[[#This Row],[Tech Start Date]],5),""))))</f>
        <v/>
      </c>
      <c r="P499" s="77" t="str">
        <f>IF(Main[[#This Row],[Tech Start Date]]&lt;1/1/1990,"",IF(Main[[#This Row],[Class]]="C",WORKDAY(Main[[#This Row],[Tech Start Date]],28),IF(Main[[#This Row],[Class]]="B", WORKDAY(Main[[#This Row],[Tech Start Date]],19),IF(Main[[#This Row],[Class]]="A",WORKDAY(Main[[#This Row],[Tech Start Date]],9),""))))</f>
        <v/>
      </c>
      <c r="Q499" s="74">
        <v>40063</v>
      </c>
      <c r="R499" s="74"/>
      <c r="S499" s="72" t="s">
        <v>11</v>
      </c>
      <c r="T499" s="80" t="s">
        <v>4</v>
      </c>
      <c r="U499" s="72" t="s">
        <v>14</v>
      </c>
      <c r="V499" s="72" t="s">
        <v>1947</v>
      </c>
      <c r="W499" s="72" t="s">
        <v>1943</v>
      </c>
      <c r="X499" s="72" t="s">
        <v>3023</v>
      </c>
      <c r="Y499" s="72" t="s">
        <v>4</v>
      </c>
      <c r="Z499" s="72" t="s">
        <v>4</v>
      </c>
    </row>
    <row r="500" spans="1:26" ht="18.600000000000001" customHeight="1">
      <c r="A500" s="142" t="str">
        <f>IF(priority(Main[[#This Row],[Comments]])&lt;&gt;0, priority(Main[[#This Row],[Comments]]),"")</f>
        <v/>
      </c>
      <c r="B500" s="90" t="s">
        <v>1675</v>
      </c>
      <c r="C500" s="72" t="s">
        <v>4</v>
      </c>
      <c r="D500" s="73" t="s">
        <v>731</v>
      </c>
      <c r="E500" s="74"/>
      <c r="F500" s="74"/>
      <c r="G500" s="75" t="str">
        <f>IF(stdProdLT(Main[[#This Row],[Comments]])=0.1,"N/A",IF(stdProdLT(Main[[#This Row],[Comments]])=0,"",stdProdLT(Main[[#This Row],[Comments]])))</f>
        <v/>
      </c>
      <c r="H500" s="76" t="str">
        <f>IF(AND(Main[[#This Row],[In Stock Date]]&lt;&gt;"",Main[[#This Row],[Revised Due Date]]&lt;&gt;""),Main[[#This Row],[In Stock Date]]-Main[[#This Row],[Revised Due Date]],"")</f>
        <v/>
      </c>
      <c r="I500" s="72" t="s">
        <v>4</v>
      </c>
      <c r="J500" s="72" t="s">
        <v>4</v>
      </c>
      <c r="K500" s="72" t="s">
        <v>4</v>
      </c>
      <c r="L500" s="74"/>
      <c r="M500" s="77" t="str">
        <f>IF(Main[[#This Row],[Tech Start Date]]&lt;1/1/1990,"",IF(Main[[#This Row],[Class]]="C",WORKDAY(Main[[#This Row],[Tech Start Date]],9),IF(Main[[#This Row],[Class]]="B", WORKDAY(Main[[#This Row],[Tech Start Date]],6),IF(Main[[#This Row],[Class]]="A",WORKDAY(Main[[#This Row],[Tech Start Date]],2),""))))</f>
        <v/>
      </c>
      <c r="N500" s="77" t="str">
        <f>IF(Main[[#This Row],[Tech Start Date]]&lt;1/1/1990,"",IF(Main[[#This Row],[Class]]="C",WORKDAY(Main[[#This Row],[Tech Start Date]],19),IF(Main[[#This Row],[Class]]="B", WORKDAY(Main[[#This Row],[Tech Start Date]],12),IF(Main[[#This Row],[Class]]="A",WORKDAY(Main[[#This Row],[Tech Start Date]],4),""))))</f>
        <v/>
      </c>
      <c r="O500" s="77" t="str">
        <f>IF(Main[[#This Row],[Tech Start Date]]&lt;1/1/1990,"",IF(Main[[#This Row],[Class]]="C",WORKDAY(Main[[#This Row],[Tech Start Date]],23),IF(Main[[#This Row],[Class]]="B", WORKDAY(Main[[#This Row],[Tech Start Date]],15),IF(Main[[#This Row],[Class]]="A",WORKDAY(Main[[#This Row],[Tech Start Date]],5),""))))</f>
        <v/>
      </c>
      <c r="P500" s="77" t="str">
        <f>IF(Main[[#This Row],[Tech Start Date]]&lt;1/1/1990,"",IF(Main[[#This Row],[Class]]="C",WORKDAY(Main[[#This Row],[Tech Start Date]],28),IF(Main[[#This Row],[Class]]="B", WORKDAY(Main[[#This Row],[Tech Start Date]],19),IF(Main[[#This Row],[Class]]="A",WORKDAY(Main[[#This Row],[Tech Start Date]],9),""))))</f>
        <v/>
      </c>
      <c r="Q500" s="74">
        <v>40676</v>
      </c>
      <c r="R500" s="74"/>
      <c r="S500" s="72" t="s">
        <v>6</v>
      </c>
      <c r="T500" s="80" t="s">
        <v>4</v>
      </c>
      <c r="U500" s="72" t="s">
        <v>14</v>
      </c>
      <c r="V500" s="72" t="s">
        <v>1937</v>
      </c>
      <c r="W500" s="72" t="s">
        <v>1941</v>
      </c>
      <c r="X500" s="72" t="s">
        <v>2973</v>
      </c>
      <c r="Y500" s="72" t="s">
        <v>3094</v>
      </c>
      <c r="Z500" s="72" t="s">
        <v>4</v>
      </c>
    </row>
    <row r="501" spans="1:26" ht="18.600000000000001" customHeight="1">
      <c r="A501" s="142" t="str">
        <f>IF(priority(Main[[#This Row],[Comments]])&lt;&gt;0, priority(Main[[#This Row],[Comments]]),"")</f>
        <v/>
      </c>
      <c r="B501" s="90" t="s">
        <v>1336</v>
      </c>
      <c r="C501" s="72" t="s">
        <v>47</v>
      </c>
      <c r="D501" s="73" t="s">
        <v>147</v>
      </c>
      <c r="E501" s="74"/>
      <c r="F501" s="74"/>
      <c r="G501" s="75" t="str">
        <f>IF(stdProdLT(Main[[#This Row],[Comments]])=0.1,"N/A",IF(stdProdLT(Main[[#This Row],[Comments]])=0,"",stdProdLT(Main[[#This Row],[Comments]])))</f>
        <v/>
      </c>
      <c r="H501" s="76" t="str">
        <f>IF(AND(Main[[#This Row],[In Stock Date]]&lt;&gt;"",Main[[#This Row],[Revised Due Date]]&lt;&gt;""),Main[[#This Row],[In Stock Date]]-Main[[#This Row],[Revised Due Date]],"")</f>
        <v/>
      </c>
      <c r="I501" s="72" t="s">
        <v>4</v>
      </c>
      <c r="J501" s="72" t="s">
        <v>4</v>
      </c>
      <c r="K501" s="72" t="s">
        <v>4</v>
      </c>
      <c r="L501" s="74"/>
      <c r="M501" s="77" t="str">
        <f>IF(Main[[#This Row],[Tech Start Date]]&lt;1/1/1990,"",IF(Main[[#This Row],[Class]]="C",WORKDAY(Main[[#This Row],[Tech Start Date]],9),IF(Main[[#This Row],[Class]]="B", WORKDAY(Main[[#This Row],[Tech Start Date]],6),IF(Main[[#This Row],[Class]]="A",WORKDAY(Main[[#This Row],[Tech Start Date]],2),""))))</f>
        <v/>
      </c>
      <c r="N501" s="77" t="str">
        <f>IF(Main[[#This Row],[Tech Start Date]]&lt;1/1/1990,"",IF(Main[[#This Row],[Class]]="C",WORKDAY(Main[[#This Row],[Tech Start Date]],19),IF(Main[[#This Row],[Class]]="B", WORKDAY(Main[[#This Row],[Tech Start Date]],12),IF(Main[[#This Row],[Class]]="A",WORKDAY(Main[[#This Row],[Tech Start Date]],4),""))))</f>
        <v/>
      </c>
      <c r="O501" s="77" t="str">
        <f>IF(Main[[#This Row],[Tech Start Date]]&lt;1/1/1990,"",IF(Main[[#This Row],[Class]]="C",WORKDAY(Main[[#This Row],[Tech Start Date]],23),IF(Main[[#This Row],[Class]]="B", WORKDAY(Main[[#This Row],[Tech Start Date]],15),IF(Main[[#This Row],[Class]]="A",WORKDAY(Main[[#This Row],[Tech Start Date]],5),""))))</f>
        <v/>
      </c>
      <c r="P501" s="77" t="str">
        <f>IF(Main[[#This Row],[Tech Start Date]]&lt;1/1/1990,"",IF(Main[[#This Row],[Class]]="C",WORKDAY(Main[[#This Row],[Tech Start Date]],28),IF(Main[[#This Row],[Class]]="B", WORKDAY(Main[[#This Row],[Tech Start Date]],19),IF(Main[[#This Row],[Class]]="A",WORKDAY(Main[[#This Row],[Tech Start Date]],9),""))))</f>
        <v/>
      </c>
      <c r="Q501" s="74"/>
      <c r="R501" s="74"/>
      <c r="S501" s="72" t="s">
        <v>4</v>
      </c>
      <c r="T501" s="80" t="s">
        <v>4</v>
      </c>
      <c r="U501" s="72" t="s">
        <v>14</v>
      </c>
      <c r="V501" s="72" t="s">
        <v>1938</v>
      </c>
      <c r="W501" s="72" t="s">
        <v>4</v>
      </c>
      <c r="X501" s="72" t="s">
        <v>311</v>
      </c>
      <c r="Y501" s="72" t="s">
        <v>3099</v>
      </c>
      <c r="Z501" s="72" t="s">
        <v>4</v>
      </c>
    </row>
    <row r="502" spans="1:26" ht="18.600000000000001" customHeight="1">
      <c r="A502" s="142" t="str">
        <f>IF(priority(Main[[#This Row],[Comments]])&lt;&gt;0, priority(Main[[#This Row],[Comments]]),"")</f>
        <v/>
      </c>
      <c r="B502" s="90" t="s">
        <v>1337</v>
      </c>
      <c r="C502" s="72" t="s">
        <v>406</v>
      </c>
      <c r="D502" s="73" t="s">
        <v>407</v>
      </c>
      <c r="E502" s="74"/>
      <c r="F502" s="74">
        <v>40447</v>
      </c>
      <c r="G502" s="75" t="str">
        <f>IF(stdProdLT(Main[[#This Row],[Comments]])=0.1,"N/A",IF(stdProdLT(Main[[#This Row],[Comments]])=0,"",stdProdLT(Main[[#This Row],[Comments]])))</f>
        <v/>
      </c>
      <c r="H502" s="76" t="str">
        <f>IF(AND(Main[[#This Row],[In Stock Date]]&lt;&gt;"",Main[[#This Row],[Revised Due Date]]&lt;&gt;""),Main[[#This Row],[In Stock Date]]-Main[[#This Row],[Revised Due Date]],"")</f>
        <v/>
      </c>
      <c r="I502" s="72" t="s">
        <v>4</v>
      </c>
      <c r="J502" s="72" t="s">
        <v>4</v>
      </c>
      <c r="K502" s="72" t="s">
        <v>4</v>
      </c>
      <c r="L502" s="74"/>
      <c r="M502" s="77" t="str">
        <f>IF(Main[[#This Row],[Tech Start Date]]&lt;1/1/1990,"",IF(Main[[#This Row],[Class]]="C",WORKDAY(Main[[#This Row],[Tech Start Date]],9),IF(Main[[#This Row],[Class]]="B", WORKDAY(Main[[#This Row],[Tech Start Date]],6),IF(Main[[#This Row],[Class]]="A",WORKDAY(Main[[#This Row],[Tech Start Date]],2),""))))</f>
        <v/>
      </c>
      <c r="N502" s="77" t="str">
        <f>IF(Main[[#This Row],[Tech Start Date]]&lt;1/1/1990,"",IF(Main[[#This Row],[Class]]="C",WORKDAY(Main[[#This Row],[Tech Start Date]],19),IF(Main[[#This Row],[Class]]="B", WORKDAY(Main[[#This Row],[Tech Start Date]],12),IF(Main[[#This Row],[Class]]="A",WORKDAY(Main[[#This Row],[Tech Start Date]],4),""))))</f>
        <v/>
      </c>
      <c r="O502" s="77" t="str">
        <f>IF(Main[[#This Row],[Tech Start Date]]&lt;1/1/1990,"",IF(Main[[#This Row],[Class]]="C",WORKDAY(Main[[#This Row],[Tech Start Date]],23),IF(Main[[#This Row],[Class]]="B", WORKDAY(Main[[#This Row],[Tech Start Date]],15),IF(Main[[#This Row],[Class]]="A",WORKDAY(Main[[#This Row],[Tech Start Date]],5),""))))</f>
        <v/>
      </c>
      <c r="P502" s="77" t="str">
        <f>IF(Main[[#This Row],[Tech Start Date]]&lt;1/1/1990,"",IF(Main[[#This Row],[Class]]="C",WORKDAY(Main[[#This Row],[Tech Start Date]],28),IF(Main[[#This Row],[Class]]="B", WORKDAY(Main[[#This Row],[Tech Start Date]],19),IF(Main[[#This Row],[Class]]="A",WORKDAY(Main[[#This Row],[Tech Start Date]],9),""))))</f>
        <v/>
      </c>
      <c r="Q502" s="74">
        <v>40349</v>
      </c>
      <c r="R502" s="74"/>
      <c r="S502" s="72" t="s">
        <v>11</v>
      </c>
      <c r="T502" s="80" t="s">
        <v>4</v>
      </c>
      <c r="U502" s="72" t="s">
        <v>14</v>
      </c>
      <c r="V502" s="72" t="s">
        <v>1947</v>
      </c>
      <c r="W502" s="72" t="s">
        <v>1942</v>
      </c>
      <c r="X502" s="72" t="s">
        <v>3002</v>
      </c>
      <c r="Y502" s="72" t="s">
        <v>4</v>
      </c>
      <c r="Z502" s="72" t="s">
        <v>4</v>
      </c>
    </row>
    <row r="503" spans="1:26" ht="18.600000000000001" customHeight="1">
      <c r="A503" s="142" t="str">
        <f>IF(priority(Main[[#This Row],[Comments]])&lt;&gt;0, priority(Main[[#This Row],[Comments]]),"")</f>
        <v/>
      </c>
      <c r="B503" s="90" t="s">
        <v>2114</v>
      </c>
      <c r="C503" s="72" t="s">
        <v>47</v>
      </c>
      <c r="D503" s="73" t="s">
        <v>890</v>
      </c>
      <c r="E503" s="74"/>
      <c r="F503" s="74"/>
      <c r="G503" s="75" t="str">
        <f>IF(stdProdLT(Main[[#This Row],[Comments]])=0.1,"N/A",IF(stdProdLT(Main[[#This Row],[Comments]])=0,"",stdProdLT(Main[[#This Row],[Comments]])))</f>
        <v/>
      </c>
      <c r="H503" s="76" t="str">
        <f>IF(AND(Main[[#This Row],[In Stock Date]]&lt;&gt;"",Main[[#This Row],[Revised Due Date]]&lt;&gt;""),Main[[#This Row],[In Stock Date]]-Main[[#This Row],[Revised Due Date]],"")</f>
        <v/>
      </c>
      <c r="I503" s="72" t="s">
        <v>4</v>
      </c>
      <c r="J503" s="72" t="s">
        <v>4</v>
      </c>
      <c r="K503" s="81" t="s">
        <v>4</v>
      </c>
      <c r="L503" s="74"/>
      <c r="M503" s="77" t="str">
        <f>IF(Main[[#This Row],[Tech Start Date]]&lt;1/1/1990,"",IF(Main[[#This Row],[Class]]="C",WORKDAY(Main[[#This Row],[Tech Start Date]],9),IF(Main[[#This Row],[Class]]="B", WORKDAY(Main[[#This Row],[Tech Start Date]],6),IF(Main[[#This Row],[Class]]="A",WORKDAY(Main[[#This Row],[Tech Start Date]],2),""))))</f>
        <v/>
      </c>
      <c r="N503" s="77" t="str">
        <f>IF(Main[[#This Row],[Tech Start Date]]&lt;1/1/1990,"",IF(Main[[#This Row],[Class]]="C",WORKDAY(Main[[#This Row],[Tech Start Date]],19),IF(Main[[#This Row],[Class]]="B", WORKDAY(Main[[#This Row],[Tech Start Date]],12),IF(Main[[#This Row],[Class]]="A",WORKDAY(Main[[#This Row],[Tech Start Date]],4),""))))</f>
        <v/>
      </c>
      <c r="O503" s="77" t="str">
        <f>IF(Main[[#This Row],[Tech Start Date]]&lt;1/1/1990,"",IF(Main[[#This Row],[Class]]="C",WORKDAY(Main[[#This Row],[Tech Start Date]],23),IF(Main[[#This Row],[Class]]="B", WORKDAY(Main[[#This Row],[Tech Start Date]],15),IF(Main[[#This Row],[Class]]="A",WORKDAY(Main[[#This Row],[Tech Start Date]],5),""))))</f>
        <v/>
      </c>
      <c r="P503" s="77" t="str">
        <f>IF(Main[[#This Row],[Tech Start Date]]&lt;1/1/1990,"",IF(Main[[#This Row],[Class]]="C",WORKDAY(Main[[#This Row],[Tech Start Date]],28),IF(Main[[#This Row],[Class]]="B", WORKDAY(Main[[#This Row],[Tech Start Date]],19),IF(Main[[#This Row],[Class]]="A",WORKDAY(Main[[#This Row],[Tech Start Date]],9),""))))</f>
        <v/>
      </c>
      <c r="Q503" s="74">
        <v>40267</v>
      </c>
      <c r="R503" s="74"/>
      <c r="S503" s="72" t="s">
        <v>17</v>
      </c>
      <c r="T503" s="80" t="s">
        <v>4</v>
      </c>
      <c r="U503" s="72" t="s">
        <v>14</v>
      </c>
      <c r="V503" s="72" t="s">
        <v>1937</v>
      </c>
      <c r="W503" s="72" t="s">
        <v>1941</v>
      </c>
      <c r="X503" s="72" t="s">
        <v>3034</v>
      </c>
      <c r="Y503" s="72" t="s">
        <v>3099</v>
      </c>
      <c r="Z503" s="72" t="s">
        <v>4</v>
      </c>
    </row>
    <row r="504" spans="1:26" ht="18.600000000000001" customHeight="1">
      <c r="A504" s="142" t="str">
        <f>IF(priority(Main[[#This Row],[Comments]])&lt;&gt;0, priority(Main[[#This Row],[Comments]]),"")</f>
        <v/>
      </c>
      <c r="B504" s="90" t="s">
        <v>1338</v>
      </c>
      <c r="C504" s="72" t="s">
        <v>113</v>
      </c>
      <c r="D504" s="73" t="s">
        <v>408</v>
      </c>
      <c r="E504" s="74"/>
      <c r="F504" s="74"/>
      <c r="G504" s="75" t="str">
        <f>IF(stdProdLT(Main[[#This Row],[Comments]])=0.1,"N/A",IF(stdProdLT(Main[[#This Row],[Comments]])=0,"",stdProdLT(Main[[#This Row],[Comments]])))</f>
        <v/>
      </c>
      <c r="H504" s="76" t="str">
        <f>IF(AND(Main[[#This Row],[In Stock Date]]&lt;&gt;"",Main[[#This Row],[Revised Due Date]]&lt;&gt;""),Main[[#This Row],[In Stock Date]]-Main[[#This Row],[Revised Due Date]],"")</f>
        <v/>
      </c>
      <c r="I504" s="72" t="s">
        <v>4</v>
      </c>
      <c r="J504" s="72" t="s">
        <v>4</v>
      </c>
      <c r="K504" s="72" t="s">
        <v>4</v>
      </c>
      <c r="L504" s="74"/>
      <c r="M504" s="77" t="str">
        <f>IF(Main[[#This Row],[Tech Start Date]]&lt;1/1/1990,"",IF(Main[[#This Row],[Class]]="C",WORKDAY(Main[[#This Row],[Tech Start Date]],9),IF(Main[[#This Row],[Class]]="B", WORKDAY(Main[[#This Row],[Tech Start Date]],6),IF(Main[[#This Row],[Class]]="A",WORKDAY(Main[[#This Row],[Tech Start Date]],2),""))))</f>
        <v/>
      </c>
      <c r="N504" s="77" t="str">
        <f>IF(Main[[#This Row],[Tech Start Date]]&lt;1/1/1990,"",IF(Main[[#This Row],[Class]]="C",WORKDAY(Main[[#This Row],[Tech Start Date]],19),IF(Main[[#This Row],[Class]]="B", WORKDAY(Main[[#This Row],[Tech Start Date]],12),IF(Main[[#This Row],[Class]]="A",WORKDAY(Main[[#This Row],[Tech Start Date]],4),""))))</f>
        <v/>
      </c>
      <c r="O504" s="77" t="str">
        <f>IF(Main[[#This Row],[Tech Start Date]]&lt;1/1/1990,"",IF(Main[[#This Row],[Class]]="C",WORKDAY(Main[[#This Row],[Tech Start Date]],23),IF(Main[[#This Row],[Class]]="B", WORKDAY(Main[[#This Row],[Tech Start Date]],15),IF(Main[[#This Row],[Class]]="A",WORKDAY(Main[[#This Row],[Tech Start Date]],5),""))))</f>
        <v/>
      </c>
      <c r="P504" s="77" t="str">
        <f>IF(Main[[#This Row],[Tech Start Date]]&lt;1/1/1990,"",IF(Main[[#This Row],[Class]]="C",WORKDAY(Main[[#This Row],[Tech Start Date]],28),IF(Main[[#This Row],[Class]]="B", WORKDAY(Main[[#This Row],[Tech Start Date]],19),IF(Main[[#This Row],[Class]]="A",WORKDAY(Main[[#This Row],[Tech Start Date]],9),""))))</f>
        <v/>
      </c>
      <c r="Q504" s="74"/>
      <c r="R504" s="74"/>
      <c r="S504" s="72" t="s">
        <v>11</v>
      </c>
      <c r="T504" s="80" t="s">
        <v>4</v>
      </c>
      <c r="U504" s="72" t="s">
        <v>14</v>
      </c>
      <c r="V504" s="72" t="s">
        <v>1940</v>
      </c>
      <c r="W504" s="72" t="s">
        <v>1945</v>
      </c>
      <c r="X504" s="72" t="s">
        <v>2996</v>
      </c>
      <c r="Y504" s="72" t="s">
        <v>3135</v>
      </c>
      <c r="Z504" s="72" t="s">
        <v>4</v>
      </c>
    </row>
    <row r="505" spans="1:26" ht="18.600000000000001" customHeight="1">
      <c r="A505" s="142" t="str">
        <f>IF(priority(Main[[#This Row],[Comments]])&lt;&gt;0, priority(Main[[#This Row],[Comments]]),"")</f>
        <v/>
      </c>
      <c r="B505" s="90" t="s">
        <v>1339</v>
      </c>
      <c r="C505" s="72" t="s">
        <v>4</v>
      </c>
      <c r="D505" s="73" t="s">
        <v>409</v>
      </c>
      <c r="E505" s="74">
        <v>40585.595960648148</v>
      </c>
      <c r="F505" s="74"/>
      <c r="G505" s="75" t="str">
        <f>IF(stdProdLT(Main[[#This Row],[Comments]])=0.1,"N/A",IF(stdProdLT(Main[[#This Row],[Comments]])=0,"",stdProdLT(Main[[#This Row],[Comments]])))</f>
        <v/>
      </c>
      <c r="H505" s="76" t="str">
        <f>IF(AND(Main[[#This Row],[In Stock Date]]&lt;&gt;"",Main[[#This Row],[Revised Due Date]]&lt;&gt;""),Main[[#This Row],[In Stock Date]]-Main[[#This Row],[Revised Due Date]],"")</f>
        <v/>
      </c>
      <c r="I505" s="72" t="s">
        <v>74</v>
      </c>
      <c r="J505" s="72" t="s">
        <v>4</v>
      </c>
      <c r="K505" s="81" t="s">
        <v>4</v>
      </c>
      <c r="L505" s="74"/>
      <c r="M505" s="77" t="str">
        <f>IF(Main[[#This Row],[Tech Start Date]]&lt;1/1/1990,"",IF(Main[[#This Row],[Class]]="C",WORKDAY(Main[[#This Row],[Tech Start Date]],9),IF(Main[[#This Row],[Class]]="B", WORKDAY(Main[[#This Row],[Tech Start Date]],6),IF(Main[[#This Row],[Class]]="A",WORKDAY(Main[[#This Row],[Tech Start Date]],2),""))))</f>
        <v/>
      </c>
      <c r="N505" s="77" t="str">
        <f>IF(Main[[#This Row],[Tech Start Date]]&lt;1/1/1990,"",IF(Main[[#This Row],[Class]]="C",WORKDAY(Main[[#This Row],[Tech Start Date]],19),IF(Main[[#This Row],[Class]]="B", WORKDAY(Main[[#This Row],[Tech Start Date]],12),IF(Main[[#This Row],[Class]]="A",WORKDAY(Main[[#This Row],[Tech Start Date]],4),""))))</f>
        <v/>
      </c>
      <c r="O505" s="77" t="str">
        <f>IF(Main[[#This Row],[Tech Start Date]]&lt;1/1/1990,"",IF(Main[[#This Row],[Class]]="C",WORKDAY(Main[[#This Row],[Tech Start Date]],23),IF(Main[[#This Row],[Class]]="B", WORKDAY(Main[[#This Row],[Tech Start Date]],15),IF(Main[[#This Row],[Class]]="A",WORKDAY(Main[[#This Row],[Tech Start Date]],5),""))))</f>
        <v/>
      </c>
      <c r="P505" s="77" t="str">
        <f>IF(Main[[#This Row],[Tech Start Date]]&lt;1/1/1990,"",IF(Main[[#This Row],[Class]]="C",WORKDAY(Main[[#This Row],[Tech Start Date]],28),IF(Main[[#This Row],[Class]]="B", WORKDAY(Main[[#This Row],[Tech Start Date]],19),IF(Main[[#This Row],[Class]]="A",WORKDAY(Main[[#This Row],[Tech Start Date]],9),""))))</f>
        <v/>
      </c>
      <c r="Q505" s="74">
        <v>40592</v>
      </c>
      <c r="R505" s="74"/>
      <c r="S505" s="72" t="s">
        <v>6</v>
      </c>
      <c r="T505" s="80" t="s">
        <v>4</v>
      </c>
      <c r="U505" s="72" t="s">
        <v>29</v>
      </c>
      <c r="V505" s="72" t="s">
        <v>1940</v>
      </c>
      <c r="W505" s="72" t="s">
        <v>1941</v>
      </c>
      <c r="X505" s="72" t="s">
        <v>74</v>
      </c>
      <c r="Y505" s="72" t="s">
        <v>3189</v>
      </c>
      <c r="Z505" s="72" t="s">
        <v>421</v>
      </c>
    </row>
    <row r="506" spans="1:26" ht="18.600000000000001" customHeight="1">
      <c r="A506" s="142" t="str">
        <f>IF(priority(Main[[#This Row],[Comments]])&lt;&gt;0, priority(Main[[#This Row],[Comments]]),"")</f>
        <v/>
      </c>
      <c r="B506" s="90" t="s">
        <v>1340</v>
      </c>
      <c r="C506" s="72" t="s">
        <v>4</v>
      </c>
      <c r="D506" s="73" t="s">
        <v>410</v>
      </c>
      <c r="E506" s="74">
        <v>40387.702291666668</v>
      </c>
      <c r="F506" s="74"/>
      <c r="G506" s="75" t="str">
        <f>IF(stdProdLT(Main[[#This Row],[Comments]])=0.1,"N/A",IF(stdProdLT(Main[[#This Row],[Comments]])=0,"",stdProdLT(Main[[#This Row],[Comments]])))</f>
        <v/>
      </c>
      <c r="H506" s="76" t="str">
        <f>IF(AND(Main[[#This Row],[In Stock Date]]&lt;&gt;"",Main[[#This Row],[Revised Due Date]]&lt;&gt;""),Main[[#This Row],[In Stock Date]]-Main[[#This Row],[Revised Due Date]],"")</f>
        <v/>
      </c>
      <c r="I506" s="72" t="s">
        <v>4</v>
      </c>
      <c r="J506" s="72" t="s">
        <v>28</v>
      </c>
      <c r="K506" s="72" t="s">
        <v>4</v>
      </c>
      <c r="L506" s="74"/>
      <c r="M506" s="77" t="str">
        <f>IF(Main[[#This Row],[Tech Start Date]]&lt;1/1/1990,"",IF(Main[[#This Row],[Class]]="C",WORKDAY(Main[[#This Row],[Tech Start Date]],9),IF(Main[[#This Row],[Class]]="B", WORKDAY(Main[[#This Row],[Tech Start Date]],6),IF(Main[[#This Row],[Class]]="A",WORKDAY(Main[[#This Row],[Tech Start Date]],2),""))))</f>
        <v/>
      </c>
      <c r="N506" s="77" t="str">
        <f>IF(Main[[#This Row],[Tech Start Date]]&lt;1/1/1990,"",IF(Main[[#This Row],[Class]]="C",WORKDAY(Main[[#This Row],[Tech Start Date]],19),IF(Main[[#This Row],[Class]]="B", WORKDAY(Main[[#This Row],[Tech Start Date]],12),IF(Main[[#This Row],[Class]]="A",WORKDAY(Main[[#This Row],[Tech Start Date]],4),""))))</f>
        <v/>
      </c>
      <c r="O506" s="77" t="str">
        <f>IF(Main[[#This Row],[Tech Start Date]]&lt;1/1/1990,"",IF(Main[[#This Row],[Class]]="C",WORKDAY(Main[[#This Row],[Tech Start Date]],23),IF(Main[[#This Row],[Class]]="B", WORKDAY(Main[[#This Row],[Tech Start Date]],15),IF(Main[[#This Row],[Class]]="A",WORKDAY(Main[[#This Row],[Tech Start Date]],5),""))))</f>
        <v/>
      </c>
      <c r="P506" s="77" t="str">
        <f>IF(Main[[#This Row],[Tech Start Date]]&lt;1/1/1990,"",IF(Main[[#This Row],[Class]]="C",WORKDAY(Main[[#This Row],[Tech Start Date]],28),IF(Main[[#This Row],[Class]]="B", WORKDAY(Main[[#This Row],[Tech Start Date]],19),IF(Main[[#This Row],[Class]]="A",WORKDAY(Main[[#This Row],[Tech Start Date]],9),""))))</f>
        <v/>
      </c>
      <c r="Q506" s="74">
        <v>40400</v>
      </c>
      <c r="R506" s="74"/>
      <c r="S506" s="72" t="s">
        <v>6</v>
      </c>
      <c r="T506" s="80" t="s">
        <v>4</v>
      </c>
      <c r="U506" s="72" t="s">
        <v>7</v>
      </c>
      <c r="V506" s="72" t="s">
        <v>1937</v>
      </c>
      <c r="W506" s="72" t="s">
        <v>1939</v>
      </c>
      <c r="X506" s="72" t="s">
        <v>102</v>
      </c>
      <c r="Y506" s="72" t="s">
        <v>3190</v>
      </c>
      <c r="Z506" s="72" t="s">
        <v>129</v>
      </c>
    </row>
    <row r="507" spans="1:26" ht="18.600000000000001" customHeight="1">
      <c r="A507" s="142" t="str">
        <f>IF(priority(Main[[#This Row],[Comments]])&lt;&gt;0, priority(Main[[#This Row],[Comments]]),"")</f>
        <v/>
      </c>
      <c r="B507" s="90" t="s">
        <v>2799</v>
      </c>
      <c r="C507" s="72" t="s">
        <v>4</v>
      </c>
      <c r="D507" s="73" t="s">
        <v>2800</v>
      </c>
      <c r="E507" s="74">
        <v>40917.685127314813</v>
      </c>
      <c r="F507" s="74"/>
      <c r="G507" s="75" t="str">
        <f>IF(stdProdLT(Main[[#This Row],[Comments]])=0.1,"N/A",IF(stdProdLT(Main[[#This Row],[Comments]])=0,"",stdProdLT(Main[[#This Row],[Comments]])))</f>
        <v/>
      </c>
      <c r="H507" s="76" t="str">
        <f>IF(AND(Main[[#This Row],[In Stock Date]]&lt;&gt;"",Main[[#This Row],[Revised Due Date]]&lt;&gt;""),Main[[#This Row],[In Stock Date]]-Main[[#This Row],[Revised Due Date]],"")</f>
        <v/>
      </c>
      <c r="I507" s="72" t="s">
        <v>4</v>
      </c>
      <c r="J507" s="72" t="s">
        <v>4</v>
      </c>
      <c r="K507" s="81" t="s">
        <v>4</v>
      </c>
      <c r="L507" s="74"/>
      <c r="M507" s="77" t="str">
        <f>IF(Main[[#This Row],[Tech Start Date]]&lt;1/1/1990,"",IF(Main[[#This Row],[Class]]="C",WORKDAY(Main[[#This Row],[Tech Start Date]],9),IF(Main[[#This Row],[Class]]="B", WORKDAY(Main[[#This Row],[Tech Start Date]],6),IF(Main[[#This Row],[Class]]="A",WORKDAY(Main[[#This Row],[Tech Start Date]],2),""))))</f>
        <v/>
      </c>
      <c r="N507" s="77" t="str">
        <f>IF(Main[[#This Row],[Tech Start Date]]&lt;1/1/1990,"",IF(Main[[#This Row],[Class]]="C",WORKDAY(Main[[#This Row],[Tech Start Date]],19),IF(Main[[#This Row],[Class]]="B", WORKDAY(Main[[#This Row],[Tech Start Date]],12),IF(Main[[#This Row],[Class]]="A",WORKDAY(Main[[#This Row],[Tech Start Date]],4),""))))</f>
        <v/>
      </c>
      <c r="O507" s="77" t="str">
        <f>IF(Main[[#This Row],[Tech Start Date]]&lt;1/1/1990,"",IF(Main[[#This Row],[Class]]="C",WORKDAY(Main[[#This Row],[Tech Start Date]],23),IF(Main[[#This Row],[Class]]="B", WORKDAY(Main[[#This Row],[Tech Start Date]],15),IF(Main[[#This Row],[Class]]="A",WORKDAY(Main[[#This Row],[Tech Start Date]],5),""))))</f>
        <v/>
      </c>
      <c r="P507" s="77" t="str">
        <f>IF(Main[[#This Row],[Tech Start Date]]&lt;1/1/1990,"",IF(Main[[#This Row],[Class]]="C",WORKDAY(Main[[#This Row],[Tech Start Date]],28),IF(Main[[#This Row],[Class]]="B", WORKDAY(Main[[#This Row],[Tech Start Date]],19),IF(Main[[#This Row],[Class]]="A",WORKDAY(Main[[#This Row],[Tech Start Date]],9),""))))</f>
        <v/>
      </c>
      <c r="Q507" s="74"/>
      <c r="R507" s="74"/>
      <c r="S507" s="72" t="s">
        <v>6</v>
      </c>
      <c r="T507" s="80" t="s">
        <v>4</v>
      </c>
      <c r="U507" s="72" t="s">
        <v>7</v>
      </c>
      <c r="V507" s="72" t="s">
        <v>1940</v>
      </c>
      <c r="W507" s="72" t="s">
        <v>4</v>
      </c>
      <c r="X507" s="72" t="s">
        <v>3017</v>
      </c>
      <c r="Y507" s="72" t="s">
        <v>3168</v>
      </c>
      <c r="Z507" s="72" t="s">
        <v>4</v>
      </c>
    </row>
    <row r="508" spans="1:26" ht="18.600000000000001" customHeight="1">
      <c r="A508" s="142" t="str">
        <f>IF(priority(Main[[#This Row],[Comments]])&lt;&gt;0, priority(Main[[#This Row],[Comments]]),"")</f>
        <v/>
      </c>
      <c r="B508" s="90" t="s">
        <v>1341</v>
      </c>
      <c r="C508" s="72" t="s">
        <v>4</v>
      </c>
      <c r="D508" s="73" t="s">
        <v>411</v>
      </c>
      <c r="E508" s="74"/>
      <c r="F508" s="74"/>
      <c r="G508" s="75" t="str">
        <f>IF(stdProdLT(Main[[#This Row],[Comments]])=0.1,"N/A",IF(stdProdLT(Main[[#This Row],[Comments]])=0,"",stdProdLT(Main[[#This Row],[Comments]])))</f>
        <v/>
      </c>
      <c r="H508" s="76" t="str">
        <f>IF(AND(Main[[#This Row],[In Stock Date]]&lt;&gt;"",Main[[#This Row],[Revised Due Date]]&lt;&gt;""),Main[[#This Row],[In Stock Date]]-Main[[#This Row],[Revised Due Date]],"")</f>
        <v/>
      </c>
      <c r="I508" s="72" t="s">
        <v>4</v>
      </c>
      <c r="J508" s="72" t="s">
        <v>4</v>
      </c>
      <c r="K508" s="81" t="s">
        <v>4</v>
      </c>
      <c r="L508" s="74"/>
      <c r="M508" s="77" t="str">
        <f>IF(Main[[#This Row],[Tech Start Date]]&lt;1/1/1990,"",IF(Main[[#This Row],[Class]]="C",WORKDAY(Main[[#This Row],[Tech Start Date]],9),IF(Main[[#This Row],[Class]]="B", WORKDAY(Main[[#This Row],[Tech Start Date]],6),IF(Main[[#This Row],[Class]]="A",WORKDAY(Main[[#This Row],[Tech Start Date]],2),""))))</f>
        <v/>
      </c>
      <c r="N508" s="77" t="str">
        <f>IF(Main[[#This Row],[Tech Start Date]]&lt;1/1/1990,"",IF(Main[[#This Row],[Class]]="C",WORKDAY(Main[[#This Row],[Tech Start Date]],19),IF(Main[[#This Row],[Class]]="B", WORKDAY(Main[[#This Row],[Tech Start Date]],12),IF(Main[[#This Row],[Class]]="A",WORKDAY(Main[[#This Row],[Tech Start Date]],4),""))))</f>
        <v/>
      </c>
      <c r="O508" s="77" t="str">
        <f>IF(Main[[#This Row],[Tech Start Date]]&lt;1/1/1990,"",IF(Main[[#This Row],[Class]]="C",WORKDAY(Main[[#This Row],[Tech Start Date]],23),IF(Main[[#This Row],[Class]]="B", WORKDAY(Main[[#This Row],[Tech Start Date]],15),IF(Main[[#This Row],[Class]]="A",WORKDAY(Main[[#This Row],[Tech Start Date]],5),""))))</f>
        <v/>
      </c>
      <c r="P508" s="77" t="str">
        <f>IF(Main[[#This Row],[Tech Start Date]]&lt;1/1/1990,"",IF(Main[[#This Row],[Class]]="C",WORKDAY(Main[[#This Row],[Tech Start Date]],28),IF(Main[[#This Row],[Class]]="B", WORKDAY(Main[[#This Row],[Tech Start Date]],19),IF(Main[[#This Row],[Class]]="A",WORKDAY(Main[[#This Row],[Tech Start Date]],9),""))))</f>
        <v/>
      </c>
      <c r="Q508" s="74">
        <v>40390</v>
      </c>
      <c r="R508" s="74"/>
      <c r="S508" s="72" t="s">
        <v>6</v>
      </c>
      <c r="T508" s="80" t="s">
        <v>4</v>
      </c>
      <c r="U508" s="72" t="s">
        <v>14</v>
      </c>
      <c r="V508" s="72" t="s">
        <v>1940</v>
      </c>
      <c r="W508" s="72" t="s">
        <v>4</v>
      </c>
      <c r="X508" s="72" t="s">
        <v>2971</v>
      </c>
      <c r="Y508" s="72" t="s">
        <v>3090</v>
      </c>
      <c r="Z508" s="72" t="s">
        <v>4</v>
      </c>
    </row>
    <row r="509" spans="1:26" ht="18.600000000000001" customHeight="1">
      <c r="A509" s="142" t="str">
        <f>IF(priority(Main[[#This Row],[Comments]])&lt;&gt;0, priority(Main[[#This Row],[Comments]]),"")</f>
        <v/>
      </c>
      <c r="B509" s="90" t="s">
        <v>1342</v>
      </c>
      <c r="C509" s="72" t="s">
        <v>171</v>
      </c>
      <c r="D509" s="73" t="s">
        <v>412</v>
      </c>
      <c r="E509" s="74"/>
      <c r="F509" s="74">
        <v>40237</v>
      </c>
      <c r="G509" s="75" t="str">
        <f>IF(stdProdLT(Main[[#This Row],[Comments]])=0.1,"N/A",IF(stdProdLT(Main[[#This Row],[Comments]])=0,"",stdProdLT(Main[[#This Row],[Comments]])))</f>
        <v/>
      </c>
      <c r="H509" s="76" t="str">
        <f>IF(AND(Main[[#This Row],[In Stock Date]]&lt;&gt;"",Main[[#This Row],[Revised Due Date]]&lt;&gt;""),Main[[#This Row],[In Stock Date]]-Main[[#This Row],[Revised Due Date]],"")</f>
        <v/>
      </c>
      <c r="I509" s="72" t="s">
        <v>4</v>
      </c>
      <c r="J509" s="72" t="s">
        <v>4</v>
      </c>
      <c r="K509" s="72" t="s">
        <v>4</v>
      </c>
      <c r="L509" s="74"/>
      <c r="M509" s="77" t="str">
        <f>IF(Main[[#This Row],[Tech Start Date]]&lt;1/1/1990,"",IF(Main[[#This Row],[Class]]="C",WORKDAY(Main[[#This Row],[Tech Start Date]],9),IF(Main[[#This Row],[Class]]="B", WORKDAY(Main[[#This Row],[Tech Start Date]],6),IF(Main[[#This Row],[Class]]="A",WORKDAY(Main[[#This Row],[Tech Start Date]],2),""))))</f>
        <v/>
      </c>
      <c r="N509" s="77" t="str">
        <f>IF(Main[[#This Row],[Tech Start Date]]&lt;1/1/1990,"",IF(Main[[#This Row],[Class]]="C",WORKDAY(Main[[#This Row],[Tech Start Date]],19),IF(Main[[#This Row],[Class]]="B", WORKDAY(Main[[#This Row],[Tech Start Date]],12),IF(Main[[#This Row],[Class]]="A",WORKDAY(Main[[#This Row],[Tech Start Date]],4),""))))</f>
        <v/>
      </c>
      <c r="O509" s="77" t="str">
        <f>IF(Main[[#This Row],[Tech Start Date]]&lt;1/1/1990,"",IF(Main[[#This Row],[Class]]="C",WORKDAY(Main[[#This Row],[Tech Start Date]],23),IF(Main[[#This Row],[Class]]="B", WORKDAY(Main[[#This Row],[Tech Start Date]],15),IF(Main[[#This Row],[Class]]="A",WORKDAY(Main[[#This Row],[Tech Start Date]],5),""))))</f>
        <v/>
      </c>
      <c r="P509" s="77" t="str">
        <f>IF(Main[[#This Row],[Tech Start Date]]&lt;1/1/1990,"",IF(Main[[#This Row],[Class]]="C",WORKDAY(Main[[#This Row],[Tech Start Date]],28),IF(Main[[#This Row],[Class]]="B", WORKDAY(Main[[#This Row],[Tech Start Date]],19),IF(Main[[#This Row],[Class]]="A",WORKDAY(Main[[#This Row],[Tech Start Date]],9),""))))</f>
        <v/>
      </c>
      <c r="Q509" s="74">
        <v>40132</v>
      </c>
      <c r="R509" s="74"/>
      <c r="S509" s="72" t="s">
        <v>11</v>
      </c>
      <c r="T509" s="80" t="s">
        <v>4</v>
      </c>
      <c r="U509" s="72" t="s">
        <v>14</v>
      </c>
      <c r="V509" s="72" t="s">
        <v>1937</v>
      </c>
      <c r="W509" s="72" t="s">
        <v>1942</v>
      </c>
      <c r="X509" s="72" t="s">
        <v>3010</v>
      </c>
      <c r="Y509" s="72" t="s">
        <v>4</v>
      </c>
      <c r="Z509" s="72" t="s">
        <v>4</v>
      </c>
    </row>
    <row r="510" spans="1:26" ht="18.600000000000001" customHeight="1">
      <c r="A510" s="142" t="str">
        <f>IF(priority(Main[[#This Row],[Comments]])&lt;&gt;0, priority(Main[[#This Row],[Comments]]),"")</f>
        <v/>
      </c>
      <c r="B510" s="90" t="s">
        <v>1343</v>
      </c>
      <c r="C510" s="72" t="s">
        <v>171</v>
      </c>
      <c r="D510" s="73" t="s">
        <v>413</v>
      </c>
      <c r="E510" s="74"/>
      <c r="F510" s="74">
        <v>40237</v>
      </c>
      <c r="G510" s="75" t="str">
        <f>IF(stdProdLT(Main[[#This Row],[Comments]])=0.1,"N/A",IF(stdProdLT(Main[[#This Row],[Comments]])=0,"",stdProdLT(Main[[#This Row],[Comments]])))</f>
        <v/>
      </c>
      <c r="H510" s="76" t="str">
        <f>IF(AND(Main[[#This Row],[In Stock Date]]&lt;&gt;"",Main[[#This Row],[Revised Due Date]]&lt;&gt;""),Main[[#This Row],[In Stock Date]]-Main[[#This Row],[Revised Due Date]],"")</f>
        <v/>
      </c>
      <c r="I510" s="72" t="s">
        <v>4</v>
      </c>
      <c r="J510" s="72" t="s">
        <v>4</v>
      </c>
      <c r="K510" s="72" t="s">
        <v>4</v>
      </c>
      <c r="L510" s="74"/>
      <c r="M510" s="77" t="str">
        <f>IF(Main[[#This Row],[Tech Start Date]]&lt;1/1/1990,"",IF(Main[[#This Row],[Class]]="C",WORKDAY(Main[[#This Row],[Tech Start Date]],9),IF(Main[[#This Row],[Class]]="B", WORKDAY(Main[[#This Row],[Tech Start Date]],6),IF(Main[[#This Row],[Class]]="A",WORKDAY(Main[[#This Row],[Tech Start Date]],2),""))))</f>
        <v/>
      </c>
      <c r="N510" s="77" t="str">
        <f>IF(Main[[#This Row],[Tech Start Date]]&lt;1/1/1990,"",IF(Main[[#This Row],[Class]]="C",WORKDAY(Main[[#This Row],[Tech Start Date]],19),IF(Main[[#This Row],[Class]]="B", WORKDAY(Main[[#This Row],[Tech Start Date]],12),IF(Main[[#This Row],[Class]]="A",WORKDAY(Main[[#This Row],[Tech Start Date]],4),""))))</f>
        <v/>
      </c>
      <c r="O510" s="77" t="str">
        <f>IF(Main[[#This Row],[Tech Start Date]]&lt;1/1/1990,"",IF(Main[[#This Row],[Class]]="C",WORKDAY(Main[[#This Row],[Tech Start Date]],23),IF(Main[[#This Row],[Class]]="B", WORKDAY(Main[[#This Row],[Tech Start Date]],15),IF(Main[[#This Row],[Class]]="A",WORKDAY(Main[[#This Row],[Tech Start Date]],5),""))))</f>
        <v/>
      </c>
      <c r="P510" s="77" t="str">
        <f>IF(Main[[#This Row],[Tech Start Date]]&lt;1/1/1990,"",IF(Main[[#This Row],[Class]]="C",WORKDAY(Main[[#This Row],[Tech Start Date]],28),IF(Main[[#This Row],[Class]]="B", WORKDAY(Main[[#This Row],[Tech Start Date]],19),IF(Main[[#This Row],[Class]]="A",WORKDAY(Main[[#This Row],[Tech Start Date]],9),""))))</f>
        <v/>
      </c>
      <c r="Q510" s="74">
        <v>40132</v>
      </c>
      <c r="R510" s="74"/>
      <c r="S510" s="72" t="s">
        <v>11</v>
      </c>
      <c r="T510" s="80" t="s">
        <v>4</v>
      </c>
      <c r="U510" s="72" t="s">
        <v>14</v>
      </c>
      <c r="V510" s="72" t="s">
        <v>1937</v>
      </c>
      <c r="W510" s="72" t="s">
        <v>1942</v>
      </c>
      <c r="X510" s="72" t="s">
        <v>3010</v>
      </c>
      <c r="Y510" s="72" t="s">
        <v>4</v>
      </c>
      <c r="Z510" s="72" t="s">
        <v>4</v>
      </c>
    </row>
    <row r="511" spans="1:26" ht="18.600000000000001" customHeight="1">
      <c r="A511" s="142" t="str">
        <f>IF(priority(Main[[#This Row],[Comments]])&lt;&gt;0, priority(Main[[#This Row],[Comments]]),"")</f>
        <v/>
      </c>
      <c r="B511" s="90" t="s">
        <v>1344</v>
      </c>
      <c r="C511" s="72" t="s">
        <v>4</v>
      </c>
      <c r="D511" s="73" t="s">
        <v>414</v>
      </c>
      <c r="E511" s="74"/>
      <c r="F511" s="74"/>
      <c r="G511" s="75" t="str">
        <f>IF(stdProdLT(Main[[#This Row],[Comments]])=0.1,"N/A",IF(stdProdLT(Main[[#This Row],[Comments]])=0,"",stdProdLT(Main[[#This Row],[Comments]])))</f>
        <v/>
      </c>
      <c r="H511" s="76" t="str">
        <f>IF(AND(Main[[#This Row],[In Stock Date]]&lt;&gt;"",Main[[#This Row],[Revised Due Date]]&lt;&gt;""),Main[[#This Row],[In Stock Date]]-Main[[#This Row],[Revised Due Date]],"")</f>
        <v/>
      </c>
      <c r="I511" s="72" t="s">
        <v>4</v>
      </c>
      <c r="J511" s="72" t="s">
        <v>28</v>
      </c>
      <c r="K511" s="72" t="s">
        <v>4</v>
      </c>
      <c r="L511" s="74"/>
      <c r="M511" s="77" t="str">
        <f>IF(Main[[#This Row],[Tech Start Date]]&lt;1/1/1990,"",IF(Main[[#This Row],[Class]]="C",WORKDAY(Main[[#This Row],[Tech Start Date]],9),IF(Main[[#This Row],[Class]]="B", WORKDAY(Main[[#This Row],[Tech Start Date]],6),IF(Main[[#This Row],[Class]]="A",WORKDAY(Main[[#This Row],[Tech Start Date]],2),""))))</f>
        <v/>
      </c>
      <c r="N511" s="77" t="str">
        <f>IF(Main[[#This Row],[Tech Start Date]]&lt;1/1/1990,"",IF(Main[[#This Row],[Class]]="C",WORKDAY(Main[[#This Row],[Tech Start Date]],19),IF(Main[[#This Row],[Class]]="B", WORKDAY(Main[[#This Row],[Tech Start Date]],12),IF(Main[[#This Row],[Class]]="A",WORKDAY(Main[[#This Row],[Tech Start Date]],4),""))))</f>
        <v/>
      </c>
      <c r="O511" s="77" t="str">
        <f>IF(Main[[#This Row],[Tech Start Date]]&lt;1/1/1990,"",IF(Main[[#This Row],[Class]]="C",WORKDAY(Main[[#This Row],[Tech Start Date]],23),IF(Main[[#This Row],[Class]]="B", WORKDAY(Main[[#This Row],[Tech Start Date]],15),IF(Main[[#This Row],[Class]]="A",WORKDAY(Main[[#This Row],[Tech Start Date]],5),""))))</f>
        <v/>
      </c>
      <c r="P511" s="77" t="str">
        <f>IF(Main[[#This Row],[Tech Start Date]]&lt;1/1/1990,"",IF(Main[[#This Row],[Class]]="C",WORKDAY(Main[[#This Row],[Tech Start Date]],28),IF(Main[[#This Row],[Class]]="B", WORKDAY(Main[[#This Row],[Tech Start Date]],19),IF(Main[[#This Row],[Class]]="A",WORKDAY(Main[[#This Row],[Tech Start Date]],9),""))))</f>
        <v/>
      </c>
      <c r="Q511" s="74">
        <v>40471</v>
      </c>
      <c r="R511" s="74"/>
      <c r="S511" s="72" t="s">
        <v>6</v>
      </c>
      <c r="T511" s="80" t="s">
        <v>4</v>
      </c>
      <c r="U511" s="72" t="s">
        <v>14</v>
      </c>
      <c r="V511" s="72" t="s">
        <v>1940</v>
      </c>
      <c r="W511" s="72" t="s">
        <v>1939</v>
      </c>
      <c r="X511" s="72" t="s">
        <v>2974</v>
      </c>
      <c r="Y511" s="72" t="s">
        <v>3096</v>
      </c>
      <c r="Z511" s="72" t="s">
        <v>536</v>
      </c>
    </row>
    <row r="512" spans="1:26" ht="18.600000000000001" customHeight="1">
      <c r="A512" s="142" t="str">
        <f>IF(priority(Main[[#This Row],[Comments]])&lt;&gt;0, priority(Main[[#This Row],[Comments]]),"")</f>
        <v/>
      </c>
      <c r="B512" s="90" t="s">
        <v>1345</v>
      </c>
      <c r="C512" s="72" t="s">
        <v>4</v>
      </c>
      <c r="D512" s="73" t="s">
        <v>415</v>
      </c>
      <c r="E512" s="74"/>
      <c r="F512" s="74"/>
      <c r="G512" s="75" t="str">
        <f>IF(stdProdLT(Main[[#This Row],[Comments]])=0.1,"N/A",IF(stdProdLT(Main[[#This Row],[Comments]])=0,"",stdProdLT(Main[[#This Row],[Comments]])))</f>
        <v/>
      </c>
      <c r="H512" s="76" t="str">
        <f>IF(AND(Main[[#This Row],[In Stock Date]]&lt;&gt;"",Main[[#This Row],[Revised Due Date]]&lt;&gt;""),Main[[#This Row],[In Stock Date]]-Main[[#This Row],[Revised Due Date]],"")</f>
        <v/>
      </c>
      <c r="I512" s="72" t="s">
        <v>4</v>
      </c>
      <c r="J512" s="72" t="s">
        <v>4</v>
      </c>
      <c r="K512" s="72" t="s">
        <v>4</v>
      </c>
      <c r="L512" s="74"/>
      <c r="M512" s="77" t="str">
        <f>IF(Main[[#This Row],[Tech Start Date]]&lt;1/1/1990,"",IF(Main[[#This Row],[Class]]="C",WORKDAY(Main[[#This Row],[Tech Start Date]],9),IF(Main[[#This Row],[Class]]="B", WORKDAY(Main[[#This Row],[Tech Start Date]],6),IF(Main[[#This Row],[Class]]="A",WORKDAY(Main[[#This Row],[Tech Start Date]],2),""))))</f>
        <v/>
      </c>
      <c r="N512" s="77" t="str">
        <f>IF(Main[[#This Row],[Tech Start Date]]&lt;1/1/1990,"",IF(Main[[#This Row],[Class]]="C",WORKDAY(Main[[#This Row],[Tech Start Date]],19),IF(Main[[#This Row],[Class]]="B", WORKDAY(Main[[#This Row],[Tech Start Date]],12),IF(Main[[#This Row],[Class]]="A",WORKDAY(Main[[#This Row],[Tech Start Date]],4),""))))</f>
        <v/>
      </c>
      <c r="O512" s="77" t="str">
        <f>IF(Main[[#This Row],[Tech Start Date]]&lt;1/1/1990,"",IF(Main[[#This Row],[Class]]="C",WORKDAY(Main[[#This Row],[Tech Start Date]],23),IF(Main[[#This Row],[Class]]="B", WORKDAY(Main[[#This Row],[Tech Start Date]],15),IF(Main[[#This Row],[Class]]="A",WORKDAY(Main[[#This Row],[Tech Start Date]],5),""))))</f>
        <v/>
      </c>
      <c r="P512" s="77" t="str">
        <f>IF(Main[[#This Row],[Tech Start Date]]&lt;1/1/1990,"",IF(Main[[#This Row],[Class]]="C",WORKDAY(Main[[#This Row],[Tech Start Date]],28),IF(Main[[#This Row],[Class]]="B", WORKDAY(Main[[#This Row],[Tech Start Date]],19),IF(Main[[#This Row],[Class]]="A",WORKDAY(Main[[#This Row],[Tech Start Date]],9),""))))</f>
        <v/>
      </c>
      <c r="Q512" s="74"/>
      <c r="R512" s="74"/>
      <c r="S512" s="72" t="s">
        <v>6</v>
      </c>
      <c r="T512" s="80" t="s">
        <v>4</v>
      </c>
      <c r="U512" s="72" t="s">
        <v>12</v>
      </c>
      <c r="V512" s="72" t="s">
        <v>1938</v>
      </c>
      <c r="W512" s="72" t="s">
        <v>1945</v>
      </c>
      <c r="X512" s="72" t="s">
        <v>957</v>
      </c>
      <c r="Y512" s="72" t="s">
        <v>3153</v>
      </c>
      <c r="Z512" s="72" t="s">
        <v>4</v>
      </c>
    </row>
    <row r="513" spans="1:26" ht="18.600000000000001" customHeight="1">
      <c r="A513" s="142" t="str">
        <f>IF(priority(Main[[#This Row],[Comments]])&lt;&gt;0, priority(Main[[#This Row],[Comments]]),"")</f>
        <v/>
      </c>
      <c r="B513" s="90" t="s">
        <v>1346</v>
      </c>
      <c r="C513" s="72" t="s">
        <v>4</v>
      </c>
      <c r="D513" s="73" t="s">
        <v>416</v>
      </c>
      <c r="E513" s="74"/>
      <c r="F513" s="74"/>
      <c r="G513" s="75" t="str">
        <f>IF(stdProdLT(Main[[#This Row],[Comments]])=0.1,"N/A",IF(stdProdLT(Main[[#This Row],[Comments]])=0,"",stdProdLT(Main[[#This Row],[Comments]])))</f>
        <v/>
      </c>
      <c r="H513" s="76" t="str">
        <f>IF(AND(Main[[#This Row],[In Stock Date]]&lt;&gt;"",Main[[#This Row],[Revised Due Date]]&lt;&gt;""),Main[[#This Row],[In Stock Date]]-Main[[#This Row],[Revised Due Date]],"")</f>
        <v/>
      </c>
      <c r="I513" s="72" t="s">
        <v>4</v>
      </c>
      <c r="J513" s="72" t="s">
        <v>4</v>
      </c>
      <c r="K513" s="72" t="s">
        <v>4</v>
      </c>
      <c r="L513" s="74"/>
      <c r="M513" s="77" t="str">
        <f>IF(Main[[#This Row],[Tech Start Date]]&lt;1/1/1990,"",IF(Main[[#This Row],[Class]]="C",WORKDAY(Main[[#This Row],[Tech Start Date]],9),IF(Main[[#This Row],[Class]]="B", WORKDAY(Main[[#This Row],[Tech Start Date]],6),IF(Main[[#This Row],[Class]]="A",WORKDAY(Main[[#This Row],[Tech Start Date]],2),""))))</f>
        <v/>
      </c>
      <c r="N513" s="77" t="str">
        <f>IF(Main[[#This Row],[Tech Start Date]]&lt;1/1/1990,"",IF(Main[[#This Row],[Class]]="C",WORKDAY(Main[[#This Row],[Tech Start Date]],19),IF(Main[[#This Row],[Class]]="B", WORKDAY(Main[[#This Row],[Tech Start Date]],12),IF(Main[[#This Row],[Class]]="A",WORKDAY(Main[[#This Row],[Tech Start Date]],4),""))))</f>
        <v/>
      </c>
      <c r="O513" s="77" t="str">
        <f>IF(Main[[#This Row],[Tech Start Date]]&lt;1/1/1990,"",IF(Main[[#This Row],[Class]]="C",WORKDAY(Main[[#This Row],[Tech Start Date]],23),IF(Main[[#This Row],[Class]]="B", WORKDAY(Main[[#This Row],[Tech Start Date]],15),IF(Main[[#This Row],[Class]]="A",WORKDAY(Main[[#This Row],[Tech Start Date]],5),""))))</f>
        <v/>
      </c>
      <c r="P513" s="77" t="str">
        <f>IF(Main[[#This Row],[Tech Start Date]]&lt;1/1/1990,"",IF(Main[[#This Row],[Class]]="C",WORKDAY(Main[[#This Row],[Tech Start Date]],28),IF(Main[[#This Row],[Class]]="B", WORKDAY(Main[[#This Row],[Tech Start Date]],19),IF(Main[[#This Row],[Class]]="A",WORKDAY(Main[[#This Row],[Tech Start Date]],9),""))))</f>
        <v/>
      </c>
      <c r="Q513" s="74"/>
      <c r="R513" s="74"/>
      <c r="S513" s="72" t="s">
        <v>417</v>
      </c>
      <c r="T513" s="80" t="s">
        <v>4</v>
      </c>
      <c r="U513" s="72" t="s">
        <v>14</v>
      </c>
      <c r="V513" s="72" t="s">
        <v>1938</v>
      </c>
      <c r="W513" s="72" t="s">
        <v>1941</v>
      </c>
      <c r="X513" s="72" t="s">
        <v>937</v>
      </c>
      <c r="Y513" s="72" t="s">
        <v>3140</v>
      </c>
      <c r="Z513" s="72" t="s">
        <v>4</v>
      </c>
    </row>
    <row r="514" spans="1:26" ht="18.600000000000001" customHeight="1">
      <c r="A514" s="142" t="str">
        <f>IF(priority(Main[[#This Row],[Comments]])&lt;&gt;0, priority(Main[[#This Row],[Comments]]),"")</f>
        <v/>
      </c>
      <c r="B514" s="90" t="s">
        <v>1638</v>
      </c>
      <c r="C514" s="72" t="s">
        <v>702</v>
      </c>
      <c r="D514" s="73" t="s">
        <v>703</v>
      </c>
      <c r="E514" s="74"/>
      <c r="F514" s="74"/>
      <c r="G514" s="75" t="str">
        <f>IF(stdProdLT(Main[[#This Row],[Comments]])=0.1,"N/A",IF(stdProdLT(Main[[#This Row],[Comments]])=0,"",stdProdLT(Main[[#This Row],[Comments]])))</f>
        <v/>
      </c>
      <c r="H514" s="76" t="str">
        <f>IF(AND(Main[[#This Row],[In Stock Date]]&lt;&gt;"",Main[[#This Row],[Revised Due Date]]&lt;&gt;""),Main[[#This Row],[In Stock Date]]-Main[[#This Row],[Revised Due Date]],"")</f>
        <v/>
      </c>
      <c r="I514" s="72" t="s">
        <v>4</v>
      </c>
      <c r="J514" s="72" t="s">
        <v>4</v>
      </c>
      <c r="K514" s="72" t="s">
        <v>4</v>
      </c>
      <c r="L514" s="74"/>
      <c r="M514" s="77" t="str">
        <f>IF(Main[[#This Row],[Tech Start Date]]&lt;1/1/1990,"",IF(Main[[#This Row],[Class]]="C",WORKDAY(Main[[#This Row],[Tech Start Date]],9),IF(Main[[#This Row],[Class]]="B", WORKDAY(Main[[#This Row],[Tech Start Date]],6),IF(Main[[#This Row],[Class]]="A",WORKDAY(Main[[#This Row],[Tech Start Date]],2),""))))</f>
        <v/>
      </c>
      <c r="N514" s="77" t="str">
        <f>IF(Main[[#This Row],[Tech Start Date]]&lt;1/1/1990,"",IF(Main[[#This Row],[Class]]="C",WORKDAY(Main[[#This Row],[Tech Start Date]],19),IF(Main[[#This Row],[Class]]="B", WORKDAY(Main[[#This Row],[Tech Start Date]],12),IF(Main[[#This Row],[Class]]="A",WORKDAY(Main[[#This Row],[Tech Start Date]],4),""))))</f>
        <v/>
      </c>
      <c r="O514" s="77" t="str">
        <f>IF(Main[[#This Row],[Tech Start Date]]&lt;1/1/1990,"",IF(Main[[#This Row],[Class]]="C",WORKDAY(Main[[#This Row],[Tech Start Date]],23),IF(Main[[#This Row],[Class]]="B", WORKDAY(Main[[#This Row],[Tech Start Date]],15),IF(Main[[#This Row],[Class]]="A",WORKDAY(Main[[#This Row],[Tech Start Date]],5),""))))</f>
        <v/>
      </c>
      <c r="P514" s="77" t="str">
        <f>IF(Main[[#This Row],[Tech Start Date]]&lt;1/1/1990,"",IF(Main[[#This Row],[Class]]="C",WORKDAY(Main[[#This Row],[Tech Start Date]],28),IF(Main[[#This Row],[Class]]="B", WORKDAY(Main[[#This Row],[Tech Start Date]],19),IF(Main[[#This Row],[Class]]="A",WORKDAY(Main[[#This Row],[Tech Start Date]],9),""))))</f>
        <v/>
      </c>
      <c r="Q514" s="74">
        <v>40672</v>
      </c>
      <c r="R514" s="74"/>
      <c r="S514" s="72" t="s">
        <v>11</v>
      </c>
      <c r="T514" s="80" t="s">
        <v>4</v>
      </c>
      <c r="U514" s="72" t="s">
        <v>14</v>
      </c>
      <c r="V514" s="72" t="s">
        <v>1937</v>
      </c>
      <c r="W514" s="72" t="s">
        <v>1939</v>
      </c>
      <c r="X514" s="72" t="s">
        <v>3035</v>
      </c>
      <c r="Y514" s="72" t="s">
        <v>4</v>
      </c>
      <c r="Z514" s="72" t="s">
        <v>4</v>
      </c>
    </row>
    <row r="515" spans="1:26" ht="18.600000000000001" customHeight="1">
      <c r="A515" s="142" t="str">
        <f>IF(priority(Main[[#This Row],[Comments]])&lt;&gt;0, priority(Main[[#This Row],[Comments]]),"")</f>
        <v/>
      </c>
      <c r="B515" s="90" t="s">
        <v>1220</v>
      </c>
      <c r="C515" s="72" t="s">
        <v>171</v>
      </c>
      <c r="D515" s="73" t="s">
        <v>265</v>
      </c>
      <c r="E515" s="74"/>
      <c r="F515" s="74">
        <v>40237</v>
      </c>
      <c r="G515" s="75" t="str">
        <f>IF(stdProdLT(Main[[#This Row],[Comments]])=0.1,"N/A",IF(stdProdLT(Main[[#This Row],[Comments]])=0,"",stdProdLT(Main[[#This Row],[Comments]])))</f>
        <v/>
      </c>
      <c r="H515" s="76" t="str">
        <f>IF(AND(Main[[#This Row],[In Stock Date]]&lt;&gt;"",Main[[#This Row],[Revised Due Date]]&lt;&gt;""),Main[[#This Row],[In Stock Date]]-Main[[#This Row],[Revised Due Date]],"")</f>
        <v/>
      </c>
      <c r="I515" s="72" t="s">
        <v>4</v>
      </c>
      <c r="J515" s="72" t="s">
        <v>4</v>
      </c>
      <c r="K515" s="72" t="s">
        <v>4</v>
      </c>
      <c r="L515" s="74"/>
      <c r="M515" s="77" t="str">
        <f>IF(Main[[#This Row],[Tech Start Date]]&lt;1/1/1990,"",IF(Main[[#This Row],[Class]]="C",WORKDAY(Main[[#This Row],[Tech Start Date]],9),IF(Main[[#This Row],[Class]]="B", WORKDAY(Main[[#This Row],[Tech Start Date]],6),IF(Main[[#This Row],[Class]]="A",WORKDAY(Main[[#This Row],[Tech Start Date]],2),""))))</f>
        <v/>
      </c>
      <c r="N515" s="77" t="str">
        <f>IF(Main[[#This Row],[Tech Start Date]]&lt;1/1/1990,"",IF(Main[[#This Row],[Class]]="C",WORKDAY(Main[[#This Row],[Tech Start Date]],19),IF(Main[[#This Row],[Class]]="B", WORKDAY(Main[[#This Row],[Tech Start Date]],12),IF(Main[[#This Row],[Class]]="A",WORKDAY(Main[[#This Row],[Tech Start Date]],4),""))))</f>
        <v/>
      </c>
      <c r="O515" s="77" t="str">
        <f>IF(Main[[#This Row],[Tech Start Date]]&lt;1/1/1990,"",IF(Main[[#This Row],[Class]]="C",WORKDAY(Main[[#This Row],[Tech Start Date]],23),IF(Main[[#This Row],[Class]]="B", WORKDAY(Main[[#This Row],[Tech Start Date]],15),IF(Main[[#This Row],[Class]]="A",WORKDAY(Main[[#This Row],[Tech Start Date]],5),""))))</f>
        <v/>
      </c>
      <c r="P515" s="77" t="str">
        <f>IF(Main[[#This Row],[Tech Start Date]]&lt;1/1/1990,"",IF(Main[[#This Row],[Class]]="C",WORKDAY(Main[[#This Row],[Tech Start Date]],28),IF(Main[[#This Row],[Class]]="B", WORKDAY(Main[[#This Row],[Tech Start Date]],19),IF(Main[[#This Row],[Class]]="A",WORKDAY(Main[[#This Row],[Tech Start Date]],9),""))))</f>
        <v/>
      </c>
      <c r="Q515" s="74">
        <v>40132</v>
      </c>
      <c r="R515" s="74"/>
      <c r="S515" s="72" t="s">
        <v>11</v>
      </c>
      <c r="T515" s="80" t="s">
        <v>4</v>
      </c>
      <c r="U515" s="72" t="s">
        <v>14</v>
      </c>
      <c r="V515" s="72" t="s">
        <v>1938</v>
      </c>
      <c r="W515" s="72" t="s">
        <v>1942</v>
      </c>
      <c r="X515" s="72" t="s">
        <v>3010</v>
      </c>
      <c r="Y515" s="72" t="s">
        <v>4</v>
      </c>
      <c r="Z515" s="72" t="s">
        <v>4</v>
      </c>
    </row>
    <row r="516" spans="1:26" ht="18.600000000000001" customHeight="1">
      <c r="A516" s="142" t="str">
        <f>IF(priority(Main[[#This Row],[Comments]])&lt;&gt;0, priority(Main[[#This Row],[Comments]]),"")</f>
        <v/>
      </c>
      <c r="B516" s="90" t="s">
        <v>1243</v>
      </c>
      <c r="C516" s="72" t="s">
        <v>33</v>
      </c>
      <c r="D516" s="73" t="s">
        <v>293</v>
      </c>
      <c r="E516" s="74"/>
      <c r="F516" s="74"/>
      <c r="G516" s="75" t="str">
        <f>IF(stdProdLT(Main[[#This Row],[Comments]])=0.1,"N/A",IF(stdProdLT(Main[[#This Row],[Comments]])=0,"",stdProdLT(Main[[#This Row],[Comments]])))</f>
        <v/>
      </c>
      <c r="H516" s="76" t="str">
        <f>IF(AND(Main[[#This Row],[In Stock Date]]&lt;&gt;"",Main[[#This Row],[Revised Due Date]]&lt;&gt;""),Main[[#This Row],[In Stock Date]]-Main[[#This Row],[Revised Due Date]],"")</f>
        <v/>
      </c>
      <c r="I516" s="72" t="s">
        <v>4</v>
      </c>
      <c r="J516" s="72" t="s">
        <v>4</v>
      </c>
      <c r="K516" s="72" t="s">
        <v>4</v>
      </c>
      <c r="L516" s="74"/>
      <c r="M516" s="77" t="str">
        <f>IF(Main[[#This Row],[Tech Start Date]]&lt;1/1/1990,"",IF(Main[[#This Row],[Class]]="C",WORKDAY(Main[[#This Row],[Tech Start Date]],9),IF(Main[[#This Row],[Class]]="B", WORKDAY(Main[[#This Row],[Tech Start Date]],6),IF(Main[[#This Row],[Class]]="A",WORKDAY(Main[[#This Row],[Tech Start Date]],2),""))))</f>
        <v/>
      </c>
      <c r="N516" s="77" t="str">
        <f>IF(Main[[#This Row],[Tech Start Date]]&lt;1/1/1990,"",IF(Main[[#This Row],[Class]]="C",WORKDAY(Main[[#This Row],[Tech Start Date]],19),IF(Main[[#This Row],[Class]]="B", WORKDAY(Main[[#This Row],[Tech Start Date]],12),IF(Main[[#This Row],[Class]]="A",WORKDAY(Main[[#This Row],[Tech Start Date]],4),""))))</f>
        <v/>
      </c>
      <c r="O516" s="77" t="str">
        <f>IF(Main[[#This Row],[Tech Start Date]]&lt;1/1/1990,"",IF(Main[[#This Row],[Class]]="C",WORKDAY(Main[[#This Row],[Tech Start Date]],23),IF(Main[[#This Row],[Class]]="B", WORKDAY(Main[[#This Row],[Tech Start Date]],15),IF(Main[[#This Row],[Class]]="A",WORKDAY(Main[[#This Row],[Tech Start Date]],5),""))))</f>
        <v/>
      </c>
      <c r="P516" s="77" t="str">
        <f>IF(Main[[#This Row],[Tech Start Date]]&lt;1/1/1990,"",IF(Main[[#This Row],[Class]]="C",WORKDAY(Main[[#This Row],[Tech Start Date]],28),IF(Main[[#This Row],[Class]]="B", WORKDAY(Main[[#This Row],[Tech Start Date]],19),IF(Main[[#This Row],[Class]]="A",WORKDAY(Main[[#This Row],[Tech Start Date]],9),""))))</f>
        <v/>
      </c>
      <c r="Q516" s="74"/>
      <c r="R516" s="74"/>
      <c r="S516" s="72" t="s">
        <v>11</v>
      </c>
      <c r="T516" s="80" t="s">
        <v>4</v>
      </c>
      <c r="U516" s="72" t="s">
        <v>14</v>
      </c>
      <c r="V516" s="72" t="s">
        <v>1938</v>
      </c>
      <c r="W516" s="72" t="s">
        <v>1945</v>
      </c>
      <c r="X516" s="72" t="s">
        <v>2979</v>
      </c>
      <c r="Y516" s="72" t="s">
        <v>3106</v>
      </c>
      <c r="Z516" s="72" t="s">
        <v>4</v>
      </c>
    </row>
    <row r="517" spans="1:26" ht="18.600000000000001" customHeight="1">
      <c r="A517" s="142" t="str">
        <f>IF(priority(Main[[#This Row],[Comments]])&lt;&gt;0, priority(Main[[#This Row],[Comments]]),"")</f>
        <v/>
      </c>
      <c r="B517" s="90" t="s">
        <v>1740</v>
      </c>
      <c r="C517" s="72" t="s">
        <v>282</v>
      </c>
      <c r="D517" s="73" t="s">
        <v>785</v>
      </c>
      <c r="E517" s="74"/>
      <c r="F517" s="74">
        <v>40680</v>
      </c>
      <c r="G517" s="75" t="str">
        <f>IF(stdProdLT(Main[[#This Row],[Comments]])=0.1,"N/A",IF(stdProdLT(Main[[#This Row],[Comments]])=0,"",stdProdLT(Main[[#This Row],[Comments]])))</f>
        <v/>
      </c>
      <c r="H517" s="76" t="str">
        <f>IF(AND(Main[[#This Row],[In Stock Date]]&lt;&gt;"",Main[[#This Row],[Revised Due Date]]&lt;&gt;""),Main[[#This Row],[In Stock Date]]-Main[[#This Row],[Revised Due Date]],"")</f>
        <v/>
      </c>
      <c r="I517" s="72" t="s">
        <v>4</v>
      </c>
      <c r="J517" s="72" t="s">
        <v>28</v>
      </c>
      <c r="K517" s="72" t="s">
        <v>4</v>
      </c>
      <c r="L517" s="74"/>
      <c r="M517" s="77" t="str">
        <f>IF(Main[[#This Row],[Tech Start Date]]&lt;1/1/1990,"",IF(Main[[#This Row],[Class]]="C",WORKDAY(Main[[#This Row],[Tech Start Date]],9),IF(Main[[#This Row],[Class]]="B", WORKDAY(Main[[#This Row],[Tech Start Date]],6),IF(Main[[#This Row],[Class]]="A",WORKDAY(Main[[#This Row],[Tech Start Date]],2),""))))</f>
        <v/>
      </c>
      <c r="N517" s="77" t="str">
        <f>IF(Main[[#This Row],[Tech Start Date]]&lt;1/1/1990,"",IF(Main[[#This Row],[Class]]="C",WORKDAY(Main[[#This Row],[Tech Start Date]],19),IF(Main[[#This Row],[Class]]="B", WORKDAY(Main[[#This Row],[Tech Start Date]],12),IF(Main[[#This Row],[Class]]="A",WORKDAY(Main[[#This Row],[Tech Start Date]],4),""))))</f>
        <v/>
      </c>
      <c r="O517" s="77" t="str">
        <f>IF(Main[[#This Row],[Tech Start Date]]&lt;1/1/1990,"",IF(Main[[#This Row],[Class]]="C",WORKDAY(Main[[#This Row],[Tech Start Date]],23),IF(Main[[#This Row],[Class]]="B", WORKDAY(Main[[#This Row],[Tech Start Date]],15),IF(Main[[#This Row],[Class]]="A",WORKDAY(Main[[#This Row],[Tech Start Date]],5),""))))</f>
        <v/>
      </c>
      <c r="P517" s="77" t="str">
        <f>IF(Main[[#This Row],[Tech Start Date]]&lt;1/1/1990,"",IF(Main[[#This Row],[Class]]="C",WORKDAY(Main[[#This Row],[Tech Start Date]],28),IF(Main[[#This Row],[Class]]="B", WORKDAY(Main[[#This Row],[Tech Start Date]],19),IF(Main[[#This Row],[Class]]="A",WORKDAY(Main[[#This Row],[Tech Start Date]],9),""))))</f>
        <v/>
      </c>
      <c r="Q517" s="74">
        <v>40568</v>
      </c>
      <c r="R517" s="74"/>
      <c r="S517" s="72" t="s">
        <v>11</v>
      </c>
      <c r="T517" s="80" t="s">
        <v>786</v>
      </c>
      <c r="U517" s="72" t="s">
        <v>14</v>
      </c>
      <c r="V517" s="72" t="s">
        <v>1938</v>
      </c>
      <c r="W517" s="72" t="s">
        <v>1942</v>
      </c>
      <c r="X517" s="72" t="s">
        <v>3012</v>
      </c>
      <c r="Y517" s="72" t="s">
        <v>3162</v>
      </c>
      <c r="Z517" s="72" t="s">
        <v>4</v>
      </c>
    </row>
    <row r="518" spans="1:26" ht="18.600000000000001" customHeight="1">
      <c r="A518" s="142" t="str">
        <f>IF(priority(Main[[#This Row],[Comments]])&lt;&gt;0, priority(Main[[#This Row],[Comments]]),"")</f>
        <v/>
      </c>
      <c r="B518" s="90" t="s">
        <v>1355</v>
      </c>
      <c r="C518" s="72" t="s">
        <v>33</v>
      </c>
      <c r="D518" s="73" t="s">
        <v>425</v>
      </c>
      <c r="E518" s="74"/>
      <c r="F518" s="74">
        <v>40266</v>
      </c>
      <c r="G518" s="75" t="str">
        <f>IF(stdProdLT(Main[[#This Row],[Comments]])=0.1,"N/A",IF(stdProdLT(Main[[#This Row],[Comments]])=0,"",stdProdLT(Main[[#This Row],[Comments]])))</f>
        <v/>
      </c>
      <c r="H518" s="76" t="str">
        <f>IF(AND(Main[[#This Row],[In Stock Date]]&lt;&gt;"",Main[[#This Row],[Revised Due Date]]&lt;&gt;""),Main[[#This Row],[In Stock Date]]-Main[[#This Row],[Revised Due Date]],"")</f>
        <v/>
      </c>
      <c r="I518" s="72" t="s">
        <v>4</v>
      </c>
      <c r="J518" s="72" t="s">
        <v>4</v>
      </c>
      <c r="K518" s="72" t="s">
        <v>4</v>
      </c>
      <c r="L518" s="74"/>
      <c r="M518" s="77" t="str">
        <f>IF(Main[[#This Row],[Tech Start Date]]&lt;1/1/1990,"",IF(Main[[#This Row],[Class]]="C",WORKDAY(Main[[#This Row],[Tech Start Date]],9),IF(Main[[#This Row],[Class]]="B", WORKDAY(Main[[#This Row],[Tech Start Date]],6),IF(Main[[#This Row],[Class]]="A",WORKDAY(Main[[#This Row],[Tech Start Date]],2),""))))</f>
        <v/>
      </c>
      <c r="N518" s="77" t="str">
        <f>IF(Main[[#This Row],[Tech Start Date]]&lt;1/1/1990,"",IF(Main[[#This Row],[Class]]="C",WORKDAY(Main[[#This Row],[Tech Start Date]],19),IF(Main[[#This Row],[Class]]="B", WORKDAY(Main[[#This Row],[Tech Start Date]],12),IF(Main[[#This Row],[Class]]="A",WORKDAY(Main[[#This Row],[Tech Start Date]],4),""))))</f>
        <v/>
      </c>
      <c r="O518" s="77" t="str">
        <f>IF(Main[[#This Row],[Tech Start Date]]&lt;1/1/1990,"",IF(Main[[#This Row],[Class]]="C",WORKDAY(Main[[#This Row],[Tech Start Date]],23),IF(Main[[#This Row],[Class]]="B", WORKDAY(Main[[#This Row],[Tech Start Date]],15),IF(Main[[#This Row],[Class]]="A",WORKDAY(Main[[#This Row],[Tech Start Date]],5),""))))</f>
        <v/>
      </c>
      <c r="P518" s="77" t="str">
        <f>IF(Main[[#This Row],[Tech Start Date]]&lt;1/1/1990,"",IF(Main[[#This Row],[Class]]="C",WORKDAY(Main[[#This Row],[Tech Start Date]],28),IF(Main[[#This Row],[Class]]="B", WORKDAY(Main[[#This Row],[Tech Start Date]],19),IF(Main[[#This Row],[Class]]="A",WORKDAY(Main[[#This Row],[Tech Start Date]],9),""))))</f>
        <v/>
      </c>
      <c r="Q518" s="74">
        <v>40266</v>
      </c>
      <c r="R518" s="74"/>
      <c r="S518" s="72" t="s">
        <v>11</v>
      </c>
      <c r="T518" s="80" t="s">
        <v>4</v>
      </c>
      <c r="U518" s="72" t="s">
        <v>14</v>
      </c>
      <c r="V518" s="72" t="s">
        <v>1940</v>
      </c>
      <c r="W518" s="72" t="s">
        <v>1942</v>
      </c>
      <c r="X518" s="72" t="s">
        <v>3002</v>
      </c>
      <c r="Y518" s="72" t="s">
        <v>4</v>
      </c>
      <c r="Z518" s="72" t="s">
        <v>4</v>
      </c>
    </row>
    <row r="519" spans="1:26" ht="18.600000000000001" customHeight="1">
      <c r="A519" s="142" t="str">
        <f>IF(priority(Main[[#This Row],[Comments]])&lt;&gt;0, priority(Main[[#This Row],[Comments]]),"")</f>
        <v/>
      </c>
      <c r="B519" s="90" t="s">
        <v>1411</v>
      </c>
      <c r="C519" s="72" t="s">
        <v>93</v>
      </c>
      <c r="D519" s="73" t="s">
        <v>426</v>
      </c>
      <c r="E519" s="74"/>
      <c r="F519" s="74">
        <v>40269</v>
      </c>
      <c r="G519" s="75" t="str">
        <f>IF(stdProdLT(Main[[#This Row],[Comments]])=0.1,"N/A",IF(stdProdLT(Main[[#This Row],[Comments]])=0,"",stdProdLT(Main[[#This Row],[Comments]])))</f>
        <v/>
      </c>
      <c r="H519" s="76" t="str">
        <f>IF(AND(Main[[#This Row],[In Stock Date]]&lt;&gt;"",Main[[#This Row],[Revised Due Date]]&lt;&gt;""),Main[[#This Row],[In Stock Date]]-Main[[#This Row],[Revised Due Date]],"")</f>
        <v/>
      </c>
      <c r="I519" s="72" t="s">
        <v>4</v>
      </c>
      <c r="J519" s="72" t="s">
        <v>4</v>
      </c>
      <c r="K519" s="81" t="s">
        <v>4</v>
      </c>
      <c r="L519" s="74"/>
      <c r="M519" s="77" t="str">
        <f>IF(Main[[#This Row],[Tech Start Date]]&lt;1/1/1990,"",IF(Main[[#This Row],[Class]]="C",WORKDAY(Main[[#This Row],[Tech Start Date]],9),IF(Main[[#This Row],[Class]]="B", WORKDAY(Main[[#This Row],[Tech Start Date]],6),IF(Main[[#This Row],[Class]]="A",WORKDAY(Main[[#This Row],[Tech Start Date]],2),""))))</f>
        <v/>
      </c>
      <c r="N519" s="77" t="str">
        <f>IF(Main[[#This Row],[Tech Start Date]]&lt;1/1/1990,"",IF(Main[[#This Row],[Class]]="C",WORKDAY(Main[[#This Row],[Tech Start Date]],19),IF(Main[[#This Row],[Class]]="B", WORKDAY(Main[[#This Row],[Tech Start Date]],12),IF(Main[[#This Row],[Class]]="A",WORKDAY(Main[[#This Row],[Tech Start Date]],4),""))))</f>
        <v/>
      </c>
      <c r="O519" s="77" t="str">
        <f>IF(Main[[#This Row],[Tech Start Date]]&lt;1/1/1990,"",IF(Main[[#This Row],[Class]]="C",WORKDAY(Main[[#This Row],[Tech Start Date]],23),IF(Main[[#This Row],[Class]]="B", WORKDAY(Main[[#This Row],[Tech Start Date]],15),IF(Main[[#This Row],[Class]]="A",WORKDAY(Main[[#This Row],[Tech Start Date]],5),""))))</f>
        <v/>
      </c>
      <c r="P519" s="77" t="str">
        <f>IF(Main[[#This Row],[Tech Start Date]]&lt;1/1/1990,"",IF(Main[[#This Row],[Class]]="C",WORKDAY(Main[[#This Row],[Tech Start Date]],28),IF(Main[[#This Row],[Class]]="B", WORKDAY(Main[[#This Row],[Tech Start Date]],19),IF(Main[[#This Row],[Class]]="A",WORKDAY(Main[[#This Row],[Tech Start Date]],9),""))))</f>
        <v/>
      </c>
      <c r="Q519" s="74">
        <v>40185</v>
      </c>
      <c r="R519" s="74"/>
      <c r="S519" s="72" t="s">
        <v>11</v>
      </c>
      <c r="T519" s="80" t="s">
        <v>4</v>
      </c>
      <c r="U519" s="72" t="s">
        <v>12</v>
      </c>
      <c r="V519" s="72" t="s">
        <v>1947</v>
      </c>
      <c r="W519" s="72" t="s">
        <v>1948</v>
      </c>
      <c r="X519" s="72" t="s">
        <v>2997</v>
      </c>
      <c r="Y519" s="72" t="s">
        <v>4</v>
      </c>
      <c r="Z519" s="72" t="s">
        <v>4</v>
      </c>
    </row>
    <row r="520" spans="1:26" ht="18.600000000000001" customHeight="1">
      <c r="A520" s="142" t="str">
        <f>IF(priority(Main[[#This Row],[Comments]])&lt;&gt;0, priority(Main[[#This Row],[Comments]]),"")</f>
        <v/>
      </c>
      <c r="B520" s="90" t="s">
        <v>1412</v>
      </c>
      <c r="C520" s="72" t="s">
        <v>171</v>
      </c>
      <c r="D520" s="73" t="s">
        <v>427</v>
      </c>
      <c r="E520" s="74"/>
      <c r="F520" s="74">
        <v>40237</v>
      </c>
      <c r="G520" s="75" t="str">
        <f>IF(stdProdLT(Main[[#This Row],[Comments]])=0.1,"N/A",IF(stdProdLT(Main[[#This Row],[Comments]])=0,"",stdProdLT(Main[[#This Row],[Comments]])))</f>
        <v/>
      </c>
      <c r="H520" s="76" t="str">
        <f>IF(AND(Main[[#This Row],[In Stock Date]]&lt;&gt;"",Main[[#This Row],[Revised Due Date]]&lt;&gt;""),Main[[#This Row],[In Stock Date]]-Main[[#This Row],[Revised Due Date]],"")</f>
        <v/>
      </c>
      <c r="I520" s="72" t="s">
        <v>4</v>
      </c>
      <c r="J520" s="72" t="s">
        <v>4</v>
      </c>
      <c r="K520" s="72" t="s">
        <v>4</v>
      </c>
      <c r="L520" s="74"/>
      <c r="M520" s="77" t="str">
        <f>IF(Main[[#This Row],[Tech Start Date]]&lt;1/1/1990,"",IF(Main[[#This Row],[Class]]="C",WORKDAY(Main[[#This Row],[Tech Start Date]],9),IF(Main[[#This Row],[Class]]="B", WORKDAY(Main[[#This Row],[Tech Start Date]],6),IF(Main[[#This Row],[Class]]="A",WORKDAY(Main[[#This Row],[Tech Start Date]],2),""))))</f>
        <v/>
      </c>
      <c r="N520" s="77" t="str">
        <f>IF(Main[[#This Row],[Tech Start Date]]&lt;1/1/1990,"",IF(Main[[#This Row],[Class]]="C",WORKDAY(Main[[#This Row],[Tech Start Date]],19),IF(Main[[#This Row],[Class]]="B", WORKDAY(Main[[#This Row],[Tech Start Date]],12),IF(Main[[#This Row],[Class]]="A",WORKDAY(Main[[#This Row],[Tech Start Date]],4),""))))</f>
        <v/>
      </c>
      <c r="O520" s="77" t="str">
        <f>IF(Main[[#This Row],[Tech Start Date]]&lt;1/1/1990,"",IF(Main[[#This Row],[Class]]="C",WORKDAY(Main[[#This Row],[Tech Start Date]],23),IF(Main[[#This Row],[Class]]="B", WORKDAY(Main[[#This Row],[Tech Start Date]],15),IF(Main[[#This Row],[Class]]="A",WORKDAY(Main[[#This Row],[Tech Start Date]],5),""))))</f>
        <v/>
      </c>
      <c r="P520" s="77" t="str">
        <f>IF(Main[[#This Row],[Tech Start Date]]&lt;1/1/1990,"",IF(Main[[#This Row],[Class]]="C",WORKDAY(Main[[#This Row],[Tech Start Date]],28),IF(Main[[#This Row],[Class]]="B", WORKDAY(Main[[#This Row],[Tech Start Date]],19),IF(Main[[#This Row],[Class]]="A",WORKDAY(Main[[#This Row],[Tech Start Date]],9),""))))</f>
        <v/>
      </c>
      <c r="Q520" s="74">
        <v>40132</v>
      </c>
      <c r="R520" s="74"/>
      <c r="S520" s="72" t="s">
        <v>11</v>
      </c>
      <c r="T520" s="80" t="s">
        <v>4</v>
      </c>
      <c r="U520" s="72" t="s">
        <v>14</v>
      </c>
      <c r="V520" s="72" t="s">
        <v>1937</v>
      </c>
      <c r="W520" s="72" t="s">
        <v>1942</v>
      </c>
      <c r="X520" s="72" t="s">
        <v>3010</v>
      </c>
      <c r="Y520" s="72" t="s">
        <v>4</v>
      </c>
      <c r="Z520" s="72" t="s">
        <v>4</v>
      </c>
    </row>
    <row r="521" spans="1:26" ht="18.600000000000001" customHeight="1">
      <c r="A521" s="142" t="str">
        <f>IF(priority(Main[[#This Row],[Comments]])&lt;&gt;0, priority(Main[[#This Row],[Comments]]),"")</f>
        <v/>
      </c>
      <c r="B521" s="90" t="s">
        <v>1413</v>
      </c>
      <c r="C521" s="72" t="s">
        <v>93</v>
      </c>
      <c r="D521" s="73" t="s">
        <v>428</v>
      </c>
      <c r="E521" s="74"/>
      <c r="F521" s="74">
        <v>40144</v>
      </c>
      <c r="G521" s="75" t="str">
        <f>IF(stdProdLT(Main[[#This Row],[Comments]])=0.1,"N/A",IF(stdProdLT(Main[[#This Row],[Comments]])=0,"",stdProdLT(Main[[#This Row],[Comments]])))</f>
        <v/>
      </c>
      <c r="H521" s="76" t="str">
        <f>IF(AND(Main[[#This Row],[In Stock Date]]&lt;&gt;"",Main[[#This Row],[Revised Due Date]]&lt;&gt;""),Main[[#This Row],[In Stock Date]]-Main[[#This Row],[Revised Due Date]],"")</f>
        <v/>
      </c>
      <c r="I521" s="72" t="s">
        <v>4</v>
      </c>
      <c r="J521" s="72" t="s">
        <v>4</v>
      </c>
      <c r="K521" s="72" t="s">
        <v>4</v>
      </c>
      <c r="L521" s="74"/>
      <c r="M521" s="77" t="str">
        <f>IF(Main[[#This Row],[Tech Start Date]]&lt;1/1/1990,"",IF(Main[[#This Row],[Class]]="C",WORKDAY(Main[[#This Row],[Tech Start Date]],9),IF(Main[[#This Row],[Class]]="B", WORKDAY(Main[[#This Row],[Tech Start Date]],6),IF(Main[[#This Row],[Class]]="A",WORKDAY(Main[[#This Row],[Tech Start Date]],2),""))))</f>
        <v/>
      </c>
      <c r="N521" s="77" t="str">
        <f>IF(Main[[#This Row],[Tech Start Date]]&lt;1/1/1990,"",IF(Main[[#This Row],[Class]]="C",WORKDAY(Main[[#This Row],[Tech Start Date]],19),IF(Main[[#This Row],[Class]]="B", WORKDAY(Main[[#This Row],[Tech Start Date]],12),IF(Main[[#This Row],[Class]]="A",WORKDAY(Main[[#This Row],[Tech Start Date]],4),""))))</f>
        <v/>
      </c>
      <c r="O521" s="77" t="str">
        <f>IF(Main[[#This Row],[Tech Start Date]]&lt;1/1/1990,"",IF(Main[[#This Row],[Class]]="C",WORKDAY(Main[[#This Row],[Tech Start Date]],23),IF(Main[[#This Row],[Class]]="B", WORKDAY(Main[[#This Row],[Tech Start Date]],15),IF(Main[[#This Row],[Class]]="A",WORKDAY(Main[[#This Row],[Tech Start Date]],5),""))))</f>
        <v/>
      </c>
      <c r="P521" s="77" t="str">
        <f>IF(Main[[#This Row],[Tech Start Date]]&lt;1/1/1990,"",IF(Main[[#This Row],[Class]]="C",WORKDAY(Main[[#This Row],[Tech Start Date]],28),IF(Main[[#This Row],[Class]]="B", WORKDAY(Main[[#This Row],[Tech Start Date]],19),IF(Main[[#This Row],[Class]]="A",WORKDAY(Main[[#This Row],[Tech Start Date]],9),""))))</f>
        <v/>
      </c>
      <c r="Q521" s="74">
        <v>40144</v>
      </c>
      <c r="R521" s="74"/>
      <c r="S521" s="72" t="s">
        <v>11</v>
      </c>
      <c r="T521" s="80" t="s">
        <v>4</v>
      </c>
      <c r="U521" s="72" t="s">
        <v>14</v>
      </c>
      <c r="V521" s="72" t="s">
        <v>1940</v>
      </c>
      <c r="W521" s="72" t="s">
        <v>1948</v>
      </c>
      <c r="X521" s="72" t="s">
        <v>3008</v>
      </c>
      <c r="Y521" s="72" t="s">
        <v>4</v>
      </c>
      <c r="Z521" s="72" t="s">
        <v>4</v>
      </c>
    </row>
    <row r="522" spans="1:26" ht="18.600000000000001" customHeight="1">
      <c r="A522" s="142" t="str">
        <f>IF(priority(Main[[#This Row],[Comments]])&lt;&gt;0, priority(Main[[#This Row],[Comments]]),"")</f>
        <v/>
      </c>
      <c r="B522" s="90" t="s">
        <v>1356</v>
      </c>
      <c r="C522" s="72" t="s">
        <v>93</v>
      </c>
      <c r="D522" s="73" t="s">
        <v>429</v>
      </c>
      <c r="E522" s="74"/>
      <c r="F522" s="74">
        <v>40162</v>
      </c>
      <c r="G522" s="75" t="str">
        <f>IF(stdProdLT(Main[[#This Row],[Comments]])=0.1,"N/A",IF(stdProdLT(Main[[#This Row],[Comments]])=0,"",stdProdLT(Main[[#This Row],[Comments]])))</f>
        <v/>
      </c>
      <c r="H522" s="76" t="str">
        <f>IF(AND(Main[[#This Row],[In Stock Date]]&lt;&gt;"",Main[[#This Row],[Revised Due Date]]&lt;&gt;""),Main[[#This Row],[In Stock Date]]-Main[[#This Row],[Revised Due Date]],"")</f>
        <v/>
      </c>
      <c r="I522" s="72" t="s">
        <v>4</v>
      </c>
      <c r="J522" s="72" t="s">
        <v>4</v>
      </c>
      <c r="K522" s="81" t="s">
        <v>4</v>
      </c>
      <c r="L522" s="74"/>
      <c r="M522" s="77" t="str">
        <f>IF(Main[[#This Row],[Tech Start Date]]&lt;1/1/1990,"",IF(Main[[#This Row],[Class]]="C",WORKDAY(Main[[#This Row],[Tech Start Date]],9),IF(Main[[#This Row],[Class]]="B", WORKDAY(Main[[#This Row],[Tech Start Date]],6),IF(Main[[#This Row],[Class]]="A",WORKDAY(Main[[#This Row],[Tech Start Date]],2),""))))</f>
        <v/>
      </c>
      <c r="N522" s="77" t="str">
        <f>IF(Main[[#This Row],[Tech Start Date]]&lt;1/1/1990,"",IF(Main[[#This Row],[Class]]="C",WORKDAY(Main[[#This Row],[Tech Start Date]],19),IF(Main[[#This Row],[Class]]="B", WORKDAY(Main[[#This Row],[Tech Start Date]],12),IF(Main[[#This Row],[Class]]="A",WORKDAY(Main[[#This Row],[Tech Start Date]],4),""))))</f>
        <v/>
      </c>
      <c r="O522" s="77" t="str">
        <f>IF(Main[[#This Row],[Tech Start Date]]&lt;1/1/1990,"",IF(Main[[#This Row],[Class]]="C",WORKDAY(Main[[#This Row],[Tech Start Date]],23),IF(Main[[#This Row],[Class]]="B", WORKDAY(Main[[#This Row],[Tech Start Date]],15),IF(Main[[#This Row],[Class]]="A",WORKDAY(Main[[#This Row],[Tech Start Date]],5),""))))</f>
        <v/>
      </c>
      <c r="P522" s="77" t="str">
        <f>IF(Main[[#This Row],[Tech Start Date]]&lt;1/1/1990,"",IF(Main[[#This Row],[Class]]="C",WORKDAY(Main[[#This Row],[Tech Start Date]],28),IF(Main[[#This Row],[Class]]="B", WORKDAY(Main[[#This Row],[Tech Start Date]],19),IF(Main[[#This Row],[Class]]="A",WORKDAY(Main[[#This Row],[Tech Start Date]],9),""))))</f>
        <v/>
      </c>
      <c r="Q522" s="74">
        <v>40127</v>
      </c>
      <c r="R522" s="74"/>
      <c r="S522" s="72" t="s">
        <v>11</v>
      </c>
      <c r="T522" s="80" t="s">
        <v>4</v>
      </c>
      <c r="U522" s="72" t="s">
        <v>14</v>
      </c>
      <c r="V522" s="72" t="s">
        <v>1947</v>
      </c>
      <c r="W522" s="72" t="s">
        <v>1948</v>
      </c>
      <c r="X522" s="72" t="s">
        <v>2997</v>
      </c>
      <c r="Y522" s="72" t="s">
        <v>4</v>
      </c>
      <c r="Z522" s="72" t="s">
        <v>4</v>
      </c>
    </row>
    <row r="523" spans="1:26" ht="18.600000000000001" customHeight="1">
      <c r="A523" s="142" t="str">
        <f>IF(priority(Main[[#This Row],[Comments]])&lt;&gt;0, priority(Main[[#This Row],[Comments]]),"")</f>
        <v/>
      </c>
      <c r="B523" s="90" t="s">
        <v>1357</v>
      </c>
      <c r="C523" s="72" t="s">
        <v>430</v>
      </c>
      <c r="D523" s="73" t="s">
        <v>431</v>
      </c>
      <c r="E523" s="74"/>
      <c r="F523" s="74">
        <v>40179</v>
      </c>
      <c r="G523" s="75" t="str">
        <f>IF(stdProdLT(Main[[#This Row],[Comments]])=0.1,"N/A",IF(stdProdLT(Main[[#This Row],[Comments]])=0,"",stdProdLT(Main[[#This Row],[Comments]])))</f>
        <v/>
      </c>
      <c r="H523" s="76" t="str">
        <f>IF(AND(Main[[#This Row],[In Stock Date]]&lt;&gt;"",Main[[#This Row],[Revised Due Date]]&lt;&gt;""),Main[[#This Row],[In Stock Date]]-Main[[#This Row],[Revised Due Date]],"")</f>
        <v/>
      </c>
      <c r="I523" s="72" t="s">
        <v>4</v>
      </c>
      <c r="J523" s="72" t="s">
        <v>4</v>
      </c>
      <c r="K523" s="72" t="s">
        <v>4</v>
      </c>
      <c r="L523" s="74"/>
      <c r="M523" s="77" t="str">
        <f>IF(Main[[#This Row],[Tech Start Date]]&lt;1/1/1990,"",IF(Main[[#This Row],[Class]]="C",WORKDAY(Main[[#This Row],[Tech Start Date]],9),IF(Main[[#This Row],[Class]]="B", WORKDAY(Main[[#This Row],[Tech Start Date]],6),IF(Main[[#This Row],[Class]]="A",WORKDAY(Main[[#This Row],[Tech Start Date]],2),""))))</f>
        <v/>
      </c>
      <c r="N523" s="77" t="str">
        <f>IF(Main[[#This Row],[Tech Start Date]]&lt;1/1/1990,"",IF(Main[[#This Row],[Class]]="C",WORKDAY(Main[[#This Row],[Tech Start Date]],19),IF(Main[[#This Row],[Class]]="B", WORKDAY(Main[[#This Row],[Tech Start Date]],12),IF(Main[[#This Row],[Class]]="A",WORKDAY(Main[[#This Row],[Tech Start Date]],4),""))))</f>
        <v/>
      </c>
      <c r="O523" s="77" t="str">
        <f>IF(Main[[#This Row],[Tech Start Date]]&lt;1/1/1990,"",IF(Main[[#This Row],[Class]]="C",WORKDAY(Main[[#This Row],[Tech Start Date]],23),IF(Main[[#This Row],[Class]]="B", WORKDAY(Main[[#This Row],[Tech Start Date]],15),IF(Main[[#This Row],[Class]]="A",WORKDAY(Main[[#This Row],[Tech Start Date]],5),""))))</f>
        <v/>
      </c>
      <c r="P523" s="77" t="str">
        <f>IF(Main[[#This Row],[Tech Start Date]]&lt;1/1/1990,"",IF(Main[[#This Row],[Class]]="C",WORKDAY(Main[[#This Row],[Tech Start Date]],28),IF(Main[[#This Row],[Class]]="B", WORKDAY(Main[[#This Row],[Tech Start Date]],19),IF(Main[[#This Row],[Class]]="A",WORKDAY(Main[[#This Row],[Tech Start Date]],9),""))))</f>
        <v/>
      </c>
      <c r="Q523" s="74">
        <v>40179</v>
      </c>
      <c r="R523" s="74"/>
      <c r="S523" s="72" t="s">
        <v>11</v>
      </c>
      <c r="T523" s="80" t="s">
        <v>4</v>
      </c>
      <c r="U523" s="72" t="s">
        <v>14</v>
      </c>
      <c r="V523" s="72" t="s">
        <v>1937</v>
      </c>
      <c r="W523" s="72" t="s">
        <v>1942</v>
      </c>
      <c r="X523" s="72" t="s">
        <v>3006</v>
      </c>
      <c r="Y523" s="72" t="s">
        <v>4</v>
      </c>
      <c r="Z523" s="72" t="s">
        <v>4</v>
      </c>
    </row>
    <row r="524" spans="1:26" ht="18.600000000000001" customHeight="1">
      <c r="A524" s="142" t="str">
        <f>IF(priority(Main[[#This Row],[Comments]])&lt;&gt;0, priority(Main[[#This Row],[Comments]]),"")</f>
        <v/>
      </c>
      <c r="B524" s="90" t="s">
        <v>1358</v>
      </c>
      <c r="C524" s="72" t="s">
        <v>200</v>
      </c>
      <c r="D524" s="73" t="s">
        <v>432</v>
      </c>
      <c r="E524" s="74"/>
      <c r="F524" s="74"/>
      <c r="G524" s="75" t="str">
        <f>IF(stdProdLT(Main[[#This Row],[Comments]])=0.1,"N/A",IF(stdProdLT(Main[[#This Row],[Comments]])=0,"",stdProdLT(Main[[#This Row],[Comments]])))</f>
        <v/>
      </c>
      <c r="H524" s="76" t="str">
        <f>IF(AND(Main[[#This Row],[In Stock Date]]&lt;&gt;"",Main[[#This Row],[Revised Due Date]]&lt;&gt;""),Main[[#This Row],[In Stock Date]]-Main[[#This Row],[Revised Due Date]],"")</f>
        <v/>
      </c>
      <c r="I524" s="72" t="s">
        <v>4</v>
      </c>
      <c r="J524" s="72" t="s">
        <v>4</v>
      </c>
      <c r="K524" s="72" t="s">
        <v>4</v>
      </c>
      <c r="L524" s="74"/>
      <c r="M524" s="77" t="str">
        <f>IF(Main[[#This Row],[Tech Start Date]]&lt;1/1/1990,"",IF(Main[[#This Row],[Class]]="C",WORKDAY(Main[[#This Row],[Tech Start Date]],9),IF(Main[[#This Row],[Class]]="B", WORKDAY(Main[[#This Row],[Tech Start Date]],6),IF(Main[[#This Row],[Class]]="A",WORKDAY(Main[[#This Row],[Tech Start Date]],2),""))))</f>
        <v/>
      </c>
      <c r="N524" s="77" t="str">
        <f>IF(Main[[#This Row],[Tech Start Date]]&lt;1/1/1990,"",IF(Main[[#This Row],[Class]]="C",WORKDAY(Main[[#This Row],[Tech Start Date]],19),IF(Main[[#This Row],[Class]]="B", WORKDAY(Main[[#This Row],[Tech Start Date]],12),IF(Main[[#This Row],[Class]]="A",WORKDAY(Main[[#This Row],[Tech Start Date]],4),""))))</f>
        <v/>
      </c>
      <c r="O524" s="77" t="str">
        <f>IF(Main[[#This Row],[Tech Start Date]]&lt;1/1/1990,"",IF(Main[[#This Row],[Class]]="C",WORKDAY(Main[[#This Row],[Tech Start Date]],23),IF(Main[[#This Row],[Class]]="B", WORKDAY(Main[[#This Row],[Tech Start Date]],15),IF(Main[[#This Row],[Class]]="A",WORKDAY(Main[[#This Row],[Tech Start Date]],5),""))))</f>
        <v/>
      </c>
      <c r="P524" s="77" t="str">
        <f>IF(Main[[#This Row],[Tech Start Date]]&lt;1/1/1990,"",IF(Main[[#This Row],[Class]]="C",WORKDAY(Main[[#This Row],[Tech Start Date]],28),IF(Main[[#This Row],[Class]]="B", WORKDAY(Main[[#This Row],[Tech Start Date]],19),IF(Main[[#This Row],[Class]]="A",WORKDAY(Main[[#This Row],[Tech Start Date]],9),""))))</f>
        <v/>
      </c>
      <c r="Q524" s="74">
        <v>40165</v>
      </c>
      <c r="R524" s="74"/>
      <c r="S524" s="72" t="s">
        <v>11</v>
      </c>
      <c r="T524" s="80" t="s">
        <v>4</v>
      </c>
      <c r="U524" s="72" t="s">
        <v>14</v>
      </c>
      <c r="V524" s="72" t="s">
        <v>1947</v>
      </c>
      <c r="W524" s="72" t="s">
        <v>1943</v>
      </c>
      <c r="X524" s="72" t="s">
        <v>897</v>
      </c>
      <c r="Y524" s="72" t="s">
        <v>3121</v>
      </c>
      <c r="Z524" s="72" t="s">
        <v>4</v>
      </c>
    </row>
    <row r="525" spans="1:26" ht="18.600000000000001" customHeight="1">
      <c r="A525" s="142" t="str">
        <f>IF(priority(Main[[#This Row],[Comments]])&lt;&gt;0, priority(Main[[#This Row],[Comments]]),"")</f>
        <v/>
      </c>
      <c r="B525" s="90" t="s">
        <v>1359</v>
      </c>
      <c r="C525" s="72" t="s">
        <v>4</v>
      </c>
      <c r="D525" s="73" t="s">
        <v>433</v>
      </c>
      <c r="E525" s="74"/>
      <c r="F525" s="74"/>
      <c r="G525" s="75" t="str">
        <f>IF(stdProdLT(Main[[#This Row],[Comments]])=0.1,"N/A",IF(stdProdLT(Main[[#This Row],[Comments]])=0,"",stdProdLT(Main[[#This Row],[Comments]])))</f>
        <v/>
      </c>
      <c r="H525" s="76" t="str">
        <f>IF(AND(Main[[#This Row],[In Stock Date]]&lt;&gt;"",Main[[#This Row],[Revised Due Date]]&lt;&gt;""),Main[[#This Row],[In Stock Date]]-Main[[#This Row],[Revised Due Date]],"")</f>
        <v/>
      </c>
      <c r="I525" s="72" t="s">
        <v>4</v>
      </c>
      <c r="J525" s="72" t="s">
        <v>4</v>
      </c>
      <c r="K525" s="72" t="s">
        <v>4</v>
      </c>
      <c r="L525" s="74"/>
      <c r="M525" s="77" t="str">
        <f>IF(Main[[#This Row],[Tech Start Date]]&lt;1/1/1990,"",IF(Main[[#This Row],[Class]]="C",WORKDAY(Main[[#This Row],[Tech Start Date]],9),IF(Main[[#This Row],[Class]]="B", WORKDAY(Main[[#This Row],[Tech Start Date]],6),IF(Main[[#This Row],[Class]]="A",WORKDAY(Main[[#This Row],[Tech Start Date]],2),""))))</f>
        <v/>
      </c>
      <c r="N525" s="77" t="str">
        <f>IF(Main[[#This Row],[Tech Start Date]]&lt;1/1/1990,"",IF(Main[[#This Row],[Class]]="C",WORKDAY(Main[[#This Row],[Tech Start Date]],19),IF(Main[[#This Row],[Class]]="B", WORKDAY(Main[[#This Row],[Tech Start Date]],12),IF(Main[[#This Row],[Class]]="A",WORKDAY(Main[[#This Row],[Tech Start Date]],4),""))))</f>
        <v/>
      </c>
      <c r="O525" s="77" t="str">
        <f>IF(Main[[#This Row],[Tech Start Date]]&lt;1/1/1990,"",IF(Main[[#This Row],[Class]]="C",WORKDAY(Main[[#This Row],[Tech Start Date]],23),IF(Main[[#This Row],[Class]]="B", WORKDAY(Main[[#This Row],[Tech Start Date]],15),IF(Main[[#This Row],[Class]]="A",WORKDAY(Main[[#This Row],[Tech Start Date]],5),""))))</f>
        <v/>
      </c>
      <c r="P525" s="77" t="str">
        <f>IF(Main[[#This Row],[Tech Start Date]]&lt;1/1/1990,"",IF(Main[[#This Row],[Class]]="C",WORKDAY(Main[[#This Row],[Tech Start Date]],28),IF(Main[[#This Row],[Class]]="B", WORKDAY(Main[[#This Row],[Tech Start Date]],19),IF(Main[[#This Row],[Class]]="A",WORKDAY(Main[[#This Row],[Tech Start Date]],9),""))))</f>
        <v/>
      </c>
      <c r="Q525" s="74"/>
      <c r="R525" s="74"/>
      <c r="S525" s="72" t="s">
        <v>6</v>
      </c>
      <c r="T525" s="80" t="s">
        <v>4</v>
      </c>
      <c r="U525" s="72" t="s">
        <v>12</v>
      </c>
      <c r="V525" s="72" t="s">
        <v>1937</v>
      </c>
      <c r="W525" s="72" t="s">
        <v>4</v>
      </c>
      <c r="X525" s="72" t="s">
        <v>927</v>
      </c>
      <c r="Y525" s="72" t="s">
        <v>4</v>
      </c>
      <c r="Z525" s="72" t="s">
        <v>4</v>
      </c>
    </row>
    <row r="526" spans="1:26" ht="18.600000000000001" customHeight="1">
      <c r="A526" s="142" t="str">
        <f>IF(priority(Main[[#This Row],[Comments]])&lt;&gt;0, priority(Main[[#This Row],[Comments]]),"")</f>
        <v/>
      </c>
      <c r="B526" s="90" t="s">
        <v>1360</v>
      </c>
      <c r="C526" s="72" t="s">
        <v>4</v>
      </c>
      <c r="D526" s="73" t="s">
        <v>434</v>
      </c>
      <c r="E526" s="74">
        <v>40367.39403935185</v>
      </c>
      <c r="F526" s="74"/>
      <c r="G526" s="75" t="str">
        <f>IF(stdProdLT(Main[[#This Row],[Comments]])=0.1,"N/A",IF(stdProdLT(Main[[#This Row],[Comments]])=0,"",stdProdLT(Main[[#This Row],[Comments]])))</f>
        <v/>
      </c>
      <c r="H526" s="76" t="str">
        <f>IF(AND(Main[[#This Row],[In Stock Date]]&lt;&gt;"",Main[[#This Row],[Revised Due Date]]&lt;&gt;""),Main[[#This Row],[In Stock Date]]-Main[[#This Row],[Revised Due Date]],"")</f>
        <v/>
      </c>
      <c r="I526" s="72" t="s">
        <v>126</v>
      </c>
      <c r="J526" s="72" t="s">
        <v>28</v>
      </c>
      <c r="K526" s="81" t="s">
        <v>1946</v>
      </c>
      <c r="L526" s="74"/>
      <c r="M526" s="77" t="str">
        <f>IF(Main[[#This Row],[Tech Start Date]]&lt;1/1/1990,"",IF(Main[[#This Row],[Class]]="C",WORKDAY(Main[[#This Row],[Tech Start Date]],9),IF(Main[[#This Row],[Class]]="B", WORKDAY(Main[[#This Row],[Tech Start Date]],6),IF(Main[[#This Row],[Class]]="A",WORKDAY(Main[[#This Row],[Tech Start Date]],2),""))))</f>
        <v/>
      </c>
      <c r="N526" s="77" t="str">
        <f>IF(Main[[#This Row],[Tech Start Date]]&lt;1/1/1990,"",IF(Main[[#This Row],[Class]]="C",WORKDAY(Main[[#This Row],[Tech Start Date]],19),IF(Main[[#This Row],[Class]]="B", WORKDAY(Main[[#This Row],[Tech Start Date]],12),IF(Main[[#This Row],[Class]]="A",WORKDAY(Main[[#This Row],[Tech Start Date]],4),""))))</f>
        <v/>
      </c>
      <c r="O526" s="77" t="str">
        <f>IF(Main[[#This Row],[Tech Start Date]]&lt;1/1/1990,"",IF(Main[[#This Row],[Class]]="C",WORKDAY(Main[[#This Row],[Tech Start Date]],23),IF(Main[[#This Row],[Class]]="B", WORKDAY(Main[[#This Row],[Tech Start Date]],15),IF(Main[[#This Row],[Class]]="A",WORKDAY(Main[[#This Row],[Tech Start Date]],5),""))))</f>
        <v/>
      </c>
      <c r="P526" s="77" t="str">
        <f>IF(Main[[#This Row],[Tech Start Date]]&lt;1/1/1990,"",IF(Main[[#This Row],[Class]]="C",WORKDAY(Main[[#This Row],[Tech Start Date]],28),IF(Main[[#This Row],[Class]]="B", WORKDAY(Main[[#This Row],[Tech Start Date]],19),IF(Main[[#This Row],[Class]]="A",WORKDAY(Main[[#This Row],[Tech Start Date]],9),""))))</f>
        <v/>
      </c>
      <c r="Q526" s="74">
        <v>40405</v>
      </c>
      <c r="R526" s="74"/>
      <c r="S526" s="72" t="s">
        <v>6</v>
      </c>
      <c r="T526" s="80" t="s">
        <v>4</v>
      </c>
      <c r="U526" s="72" t="s">
        <v>29</v>
      </c>
      <c r="V526" s="72" t="s">
        <v>1937</v>
      </c>
      <c r="W526" s="72" t="s">
        <v>1945</v>
      </c>
      <c r="X526" s="72" t="s">
        <v>2079</v>
      </c>
      <c r="Y526" s="72" t="s">
        <v>3130</v>
      </c>
      <c r="Z526" s="72" t="s">
        <v>129</v>
      </c>
    </row>
    <row r="527" spans="1:26" ht="18.600000000000001" customHeight="1">
      <c r="A527" s="142" t="str">
        <f>IF(priority(Main[[#This Row],[Comments]])&lt;&gt;0, priority(Main[[#This Row],[Comments]]),"")</f>
        <v/>
      </c>
      <c r="B527" s="90" t="s">
        <v>1835</v>
      </c>
      <c r="C527" s="72" t="s">
        <v>95</v>
      </c>
      <c r="D527" s="73" t="s">
        <v>878</v>
      </c>
      <c r="E527" s="74"/>
      <c r="F527" s="74"/>
      <c r="G527" s="75" t="str">
        <f>IF(stdProdLT(Main[[#This Row],[Comments]])=0.1,"N/A",IF(stdProdLT(Main[[#This Row],[Comments]])=0,"",stdProdLT(Main[[#This Row],[Comments]])))</f>
        <v/>
      </c>
      <c r="H527" s="76" t="str">
        <f>IF(AND(Main[[#This Row],[In Stock Date]]&lt;&gt;"",Main[[#This Row],[Revised Due Date]]&lt;&gt;""),Main[[#This Row],[In Stock Date]]-Main[[#This Row],[Revised Due Date]],"")</f>
        <v/>
      </c>
      <c r="I527" s="72" t="s">
        <v>4</v>
      </c>
      <c r="J527" s="72" t="s">
        <v>4</v>
      </c>
      <c r="K527" s="72" t="s">
        <v>4</v>
      </c>
      <c r="L527" s="74"/>
      <c r="M527" s="77" t="str">
        <f>IF(Main[[#This Row],[Tech Start Date]]&lt;1/1/1990,"",IF(Main[[#This Row],[Class]]="C",WORKDAY(Main[[#This Row],[Tech Start Date]],9),IF(Main[[#This Row],[Class]]="B", WORKDAY(Main[[#This Row],[Tech Start Date]],6),IF(Main[[#This Row],[Class]]="A",WORKDAY(Main[[#This Row],[Tech Start Date]],2),""))))</f>
        <v/>
      </c>
      <c r="N527" s="77" t="str">
        <f>IF(Main[[#This Row],[Tech Start Date]]&lt;1/1/1990,"",IF(Main[[#This Row],[Class]]="C",WORKDAY(Main[[#This Row],[Tech Start Date]],19),IF(Main[[#This Row],[Class]]="B", WORKDAY(Main[[#This Row],[Tech Start Date]],12),IF(Main[[#This Row],[Class]]="A",WORKDAY(Main[[#This Row],[Tech Start Date]],4),""))))</f>
        <v/>
      </c>
      <c r="O527" s="77" t="str">
        <f>IF(Main[[#This Row],[Tech Start Date]]&lt;1/1/1990,"",IF(Main[[#This Row],[Class]]="C",WORKDAY(Main[[#This Row],[Tech Start Date]],23),IF(Main[[#This Row],[Class]]="B", WORKDAY(Main[[#This Row],[Tech Start Date]],15),IF(Main[[#This Row],[Class]]="A",WORKDAY(Main[[#This Row],[Tech Start Date]],5),""))))</f>
        <v/>
      </c>
      <c r="P527" s="77" t="str">
        <f>IF(Main[[#This Row],[Tech Start Date]]&lt;1/1/1990,"",IF(Main[[#This Row],[Class]]="C",WORKDAY(Main[[#This Row],[Tech Start Date]],28),IF(Main[[#This Row],[Class]]="B", WORKDAY(Main[[#This Row],[Tech Start Date]],19),IF(Main[[#This Row],[Class]]="A",WORKDAY(Main[[#This Row],[Tech Start Date]],9),""))))</f>
        <v/>
      </c>
      <c r="Q527" s="74">
        <v>40206</v>
      </c>
      <c r="R527" s="74">
        <v>40284</v>
      </c>
      <c r="S527" s="72" t="s">
        <v>11</v>
      </c>
      <c r="T527" s="80" t="s">
        <v>4</v>
      </c>
      <c r="U527" s="72" t="s">
        <v>14</v>
      </c>
      <c r="V527" s="72" t="s">
        <v>1938</v>
      </c>
      <c r="W527" s="72" t="s">
        <v>1939</v>
      </c>
      <c r="X527" s="72" t="s">
        <v>2989</v>
      </c>
      <c r="Y527" s="72" t="s">
        <v>3193</v>
      </c>
      <c r="Z527" s="72" t="s">
        <v>4</v>
      </c>
    </row>
    <row r="528" spans="1:26" ht="18.600000000000001" customHeight="1">
      <c r="A528" s="142" t="str">
        <f>IF(priority(Main[[#This Row],[Comments]])&lt;&gt;0, priority(Main[[#This Row],[Comments]]),"")</f>
        <v/>
      </c>
      <c r="B528" s="90" t="s">
        <v>1625</v>
      </c>
      <c r="C528" s="72" t="s">
        <v>4</v>
      </c>
      <c r="D528" s="73" t="s">
        <v>687</v>
      </c>
      <c r="E528" s="74">
        <v>40619.658206018517</v>
      </c>
      <c r="F528" s="74"/>
      <c r="G528" s="75" t="str">
        <f>IF(stdProdLT(Main[[#This Row],[Comments]])=0.1,"N/A",IF(stdProdLT(Main[[#This Row],[Comments]])=0,"",stdProdLT(Main[[#This Row],[Comments]])))</f>
        <v/>
      </c>
      <c r="H528" s="76" t="str">
        <f>IF(AND(Main[[#This Row],[In Stock Date]]&lt;&gt;"",Main[[#This Row],[Revised Due Date]]&lt;&gt;""),Main[[#This Row],[In Stock Date]]-Main[[#This Row],[Revised Due Date]],"")</f>
        <v/>
      </c>
      <c r="I528" s="72" t="s">
        <v>937</v>
      </c>
      <c r="J528" s="72" t="s">
        <v>28</v>
      </c>
      <c r="K528" s="81" t="s">
        <v>1946</v>
      </c>
      <c r="L528" s="74"/>
      <c r="M528" s="77" t="str">
        <f>IF(Main[[#This Row],[Tech Start Date]]&lt;1/1/1990,"",IF(Main[[#This Row],[Class]]="C",WORKDAY(Main[[#This Row],[Tech Start Date]],9),IF(Main[[#This Row],[Class]]="B", WORKDAY(Main[[#This Row],[Tech Start Date]],6),IF(Main[[#This Row],[Class]]="A",WORKDAY(Main[[#This Row],[Tech Start Date]],2),""))))</f>
        <v/>
      </c>
      <c r="N528" s="77" t="str">
        <f>IF(Main[[#This Row],[Tech Start Date]]&lt;1/1/1990,"",IF(Main[[#This Row],[Class]]="C",WORKDAY(Main[[#This Row],[Tech Start Date]],19),IF(Main[[#This Row],[Class]]="B", WORKDAY(Main[[#This Row],[Tech Start Date]],12),IF(Main[[#This Row],[Class]]="A",WORKDAY(Main[[#This Row],[Tech Start Date]],4),""))))</f>
        <v/>
      </c>
      <c r="O528" s="77" t="str">
        <f>IF(Main[[#This Row],[Tech Start Date]]&lt;1/1/1990,"",IF(Main[[#This Row],[Class]]="C",WORKDAY(Main[[#This Row],[Tech Start Date]],23),IF(Main[[#This Row],[Class]]="B", WORKDAY(Main[[#This Row],[Tech Start Date]],15),IF(Main[[#This Row],[Class]]="A",WORKDAY(Main[[#This Row],[Tech Start Date]],5),""))))</f>
        <v/>
      </c>
      <c r="P528" s="77" t="str">
        <f>IF(Main[[#This Row],[Tech Start Date]]&lt;1/1/1990,"",IF(Main[[#This Row],[Class]]="C",WORKDAY(Main[[#This Row],[Tech Start Date]],28),IF(Main[[#This Row],[Class]]="B", WORKDAY(Main[[#This Row],[Tech Start Date]],19),IF(Main[[#This Row],[Class]]="A",WORKDAY(Main[[#This Row],[Tech Start Date]],9),""))))</f>
        <v/>
      </c>
      <c r="Q528" s="74"/>
      <c r="R528" s="74"/>
      <c r="S528" s="72" t="s">
        <v>6</v>
      </c>
      <c r="T528" s="80" t="s">
        <v>4</v>
      </c>
      <c r="U528" s="72" t="s">
        <v>29</v>
      </c>
      <c r="V528" s="72" t="s">
        <v>1952</v>
      </c>
      <c r="W528" s="72" t="s">
        <v>1939</v>
      </c>
      <c r="X528" s="72" t="s">
        <v>937</v>
      </c>
      <c r="Y528" s="72" t="s">
        <v>3140</v>
      </c>
      <c r="Z528" s="72" t="s">
        <v>2242</v>
      </c>
    </row>
    <row r="529" spans="1:26" ht="18.600000000000001" customHeight="1">
      <c r="A529" s="142" t="str">
        <f>IF(priority(Main[[#This Row],[Comments]])&lt;&gt;0, priority(Main[[#This Row],[Comments]]),"")</f>
        <v/>
      </c>
      <c r="B529" s="90" t="s">
        <v>1362</v>
      </c>
      <c r="C529" s="72" t="s">
        <v>4</v>
      </c>
      <c r="D529" s="73" t="s">
        <v>436</v>
      </c>
      <c r="E529" s="74">
        <v>40585.693101851852</v>
      </c>
      <c r="F529" s="74"/>
      <c r="G529" s="75" t="str">
        <f>IF(stdProdLT(Main[[#This Row],[Comments]])=0.1,"N/A",IF(stdProdLT(Main[[#This Row],[Comments]])=0,"",stdProdLT(Main[[#This Row],[Comments]])))</f>
        <v/>
      </c>
      <c r="H529" s="76" t="str">
        <f>IF(AND(Main[[#This Row],[In Stock Date]]&lt;&gt;"",Main[[#This Row],[Revised Due Date]]&lt;&gt;""),Main[[#This Row],[In Stock Date]]-Main[[#This Row],[Revised Due Date]],"")</f>
        <v/>
      </c>
      <c r="I529" s="72" t="s">
        <v>437</v>
      </c>
      <c r="J529" s="72" t="s">
        <v>21</v>
      </c>
      <c r="K529" s="72" t="s">
        <v>4</v>
      </c>
      <c r="L529" s="74"/>
      <c r="M529" s="77" t="str">
        <f>IF(Main[[#This Row],[Tech Start Date]]&lt;1/1/1990,"",IF(Main[[#This Row],[Class]]="C",WORKDAY(Main[[#This Row],[Tech Start Date]],9),IF(Main[[#This Row],[Class]]="B", WORKDAY(Main[[#This Row],[Tech Start Date]],6),IF(Main[[#This Row],[Class]]="A",WORKDAY(Main[[#This Row],[Tech Start Date]],2),""))))</f>
        <v/>
      </c>
      <c r="N529" s="77" t="str">
        <f>IF(Main[[#This Row],[Tech Start Date]]&lt;1/1/1990,"",IF(Main[[#This Row],[Class]]="C",WORKDAY(Main[[#This Row],[Tech Start Date]],19),IF(Main[[#This Row],[Class]]="B", WORKDAY(Main[[#This Row],[Tech Start Date]],12),IF(Main[[#This Row],[Class]]="A",WORKDAY(Main[[#This Row],[Tech Start Date]],4),""))))</f>
        <v/>
      </c>
      <c r="O529" s="77" t="str">
        <f>IF(Main[[#This Row],[Tech Start Date]]&lt;1/1/1990,"",IF(Main[[#This Row],[Class]]="C",WORKDAY(Main[[#This Row],[Tech Start Date]],23),IF(Main[[#This Row],[Class]]="B", WORKDAY(Main[[#This Row],[Tech Start Date]],15),IF(Main[[#This Row],[Class]]="A",WORKDAY(Main[[#This Row],[Tech Start Date]],5),""))))</f>
        <v/>
      </c>
      <c r="P529" s="77" t="str">
        <f>IF(Main[[#This Row],[Tech Start Date]]&lt;1/1/1990,"",IF(Main[[#This Row],[Class]]="C",WORKDAY(Main[[#This Row],[Tech Start Date]],28),IF(Main[[#This Row],[Class]]="B", WORKDAY(Main[[#This Row],[Tech Start Date]],19),IF(Main[[#This Row],[Class]]="A",WORKDAY(Main[[#This Row],[Tech Start Date]],9),""))))</f>
        <v/>
      </c>
      <c r="Q529" s="74">
        <v>40602</v>
      </c>
      <c r="R529" s="74"/>
      <c r="S529" s="72" t="s">
        <v>6</v>
      </c>
      <c r="T529" s="80" t="s">
        <v>4</v>
      </c>
      <c r="U529" s="72" t="s">
        <v>29</v>
      </c>
      <c r="V529" s="72" t="s">
        <v>1940</v>
      </c>
      <c r="W529" s="72" t="s">
        <v>1941</v>
      </c>
      <c r="X529" s="72" t="s">
        <v>30</v>
      </c>
      <c r="Y529" s="72" t="s">
        <v>3115</v>
      </c>
      <c r="Z529" s="72" t="s">
        <v>421</v>
      </c>
    </row>
    <row r="530" spans="1:26" ht="18.600000000000001" customHeight="1">
      <c r="A530" s="142" t="str">
        <f>IF(priority(Main[[#This Row],[Comments]])&lt;&gt;0, priority(Main[[#This Row],[Comments]]),"")</f>
        <v/>
      </c>
      <c r="B530" s="90" t="s">
        <v>1363</v>
      </c>
      <c r="C530" s="72" t="s">
        <v>4</v>
      </c>
      <c r="D530" s="73" t="s">
        <v>438</v>
      </c>
      <c r="E530" s="74"/>
      <c r="F530" s="74"/>
      <c r="G530" s="75" t="str">
        <f>IF(stdProdLT(Main[[#This Row],[Comments]])=0.1,"N/A",IF(stdProdLT(Main[[#This Row],[Comments]])=0,"",stdProdLT(Main[[#This Row],[Comments]])))</f>
        <v/>
      </c>
      <c r="H530" s="76" t="str">
        <f>IF(AND(Main[[#This Row],[In Stock Date]]&lt;&gt;"",Main[[#This Row],[Revised Due Date]]&lt;&gt;""),Main[[#This Row],[In Stock Date]]-Main[[#This Row],[Revised Due Date]],"")</f>
        <v/>
      </c>
      <c r="I530" s="72" t="s">
        <v>4</v>
      </c>
      <c r="J530" s="72" t="s">
        <v>4</v>
      </c>
      <c r="K530" s="72" t="s">
        <v>4</v>
      </c>
      <c r="L530" s="74"/>
      <c r="M530" s="77" t="str">
        <f>IF(Main[[#This Row],[Tech Start Date]]&lt;1/1/1990,"",IF(Main[[#This Row],[Class]]="C",WORKDAY(Main[[#This Row],[Tech Start Date]],9),IF(Main[[#This Row],[Class]]="B", WORKDAY(Main[[#This Row],[Tech Start Date]],6),IF(Main[[#This Row],[Class]]="A",WORKDAY(Main[[#This Row],[Tech Start Date]],2),""))))</f>
        <v/>
      </c>
      <c r="N530" s="77" t="str">
        <f>IF(Main[[#This Row],[Tech Start Date]]&lt;1/1/1990,"",IF(Main[[#This Row],[Class]]="C",WORKDAY(Main[[#This Row],[Tech Start Date]],19),IF(Main[[#This Row],[Class]]="B", WORKDAY(Main[[#This Row],[Tech Start Date]],12),IF(Main[[#This Row],[Class]]="A",WORKDAY(Main[[#This Row],[Tech Start Date]],4),""))))</f>
        <v/>
      </c>
      <c r="O530" s="77" t="str">
        <f>IF(Main[[#This Row],[Tech Start Date]]&lt;1/1/1990,"",IF(Main[[#This Row],[Class]]="C",WORKDAY(Main[[#This Row],[Tech Start Date]],23),IF(Main[[#This Row],[Class]]="B", WORKDAY(Main[[#This Row],[Tech Start Date]],15),IF(Main[[#This Row],[Class]]="A",WORKDAY(Main[[#This Row],[Tech Start Date]],5),""))))</f>
        <v/>
      </c>
      <c r="P530" s="77" t="str">
        <f>IF(Main[[#This Row],[Tech Start Date]]&lt;1/1/1990,"",IF(Main[[#This Row],[Class]]="C",WORKDAY(Main[[#This Row],[Tech Start Date]],28),IF(Main[[#This Row],[Class]]="B", WORKDAY(Main[[#This Row],[Tech Start Date]],19),IF(Main[[#This Row],[Class]]="A",WORKDAY(Main[[#This Row],[Tech Start Date]],9),""))))</f>
        <v/>
      </c>
      <c r="Q530" s="74"/>
      <c r="R530" s="74"/>
      <c r="S530" s="72" t="s">
        <v>4</v>
      </c>
      <c r="T530" s="80" t="s">
        <v>4</v>
      </c>
      <c r="U530" s="72" t="s">
        <v>14</v>
      </c>
      <c r="V530" s="72" t="s">
        <v>1937</v>
      </c>
      <c r="W530" s="72" t="s">
        <v>1951</v>
      </c>
      <c r="X530" s="72" t="s">
        <v>937</v>
      </c>
      <c r="Y530" s="72" t="s">
        <v>4</v>
      </c>
      <c r="Z530" s="72" t="s">
        <v>4</v>
      </c>
    </row>
    <row r="531" spans="1:26" ht="18.600000000000001" customHeight="1">
      <c r="A531" s="142" t="str">
        <f>IF(priority(Main[[#This Row],[Comments]])&lt;&gt;0, priority(Main[[#This Row],[Comments]]),"")</f>
        <v/>
      </c>
      <c r="B531" s="90" t="s">
        <v>1365</v>
      </c>
      <c r="C531" s="72" t="s">
        <v>31</v>
      </c>
      <c r="D531" s="73" t="s">
        <v>441</v>
      </c>
      <c r="E531" s="74"/>
      <c r="F531" s="74"/>
      <c r="G531" s="75" t="str">
        <f>IF(stdProdLT(Main[[#This Row],[Comments]])=0.1,"N/A",IF(stdProdLT(Main[[#This Row],[Comments]])=0,"",stdProdLT(Main[[#This Row],[Comments]])))</f>
        <v/>
      </c>
      <c r="H531" s="76" t="str">
        <f>IF(AND(Main[[#This Row],[In Stock Date]]&lt;&gt;"",Main[[#This Row],[Revised Due Date]]&lt;&gt;""),Main[[#This Row],[In Stock Date]]-Main[[#This Row],[Revised Due Date]],"")</f>
        <v/>
      </c>
      <c r="I531" s="72" t="s">
        <v>4</v>
      </c>
      <c r="J531" s="72" t="s">
        <v>4</v>
      </c>
      <c r="K531" s="72" t="s">
        <v>4</v>
      </c>
      <c r="L531" s="74"/>
      <c r="M531" s="77" t="str">
        <f>IF(Main[[#This Row],[Tech Start Date]]&lt;1/1/1990,"",IF(Main[[#This Row],[Class]]="C",WORKDAY(Main[[#This Row],[Tech Start Date]],9),IF(Main[[#This Row],[Class]]="B", WORKDAY(Main[[#This Row],[Tech Start Date]],6),IF(Main[[#This Row],[Class]]="A",WORKDAY(Main[[#This Row],[Tech Start Date]],2),""))))</f>
        <v/>
      </c>
      <c r="N531" s="77" t="str">
        <f>IF(Main[[#This Row],[Tech Start Date]]&lt;1/1/1990,"",IF(Main[[#This Row],[Class]]="C",WORKDAY(Main[[#This Row],[Tech Start Date]],19),IF(Main[[#This Row],[Class]]="B", WORKDAY(Main[[#This Row],[Tech Start Date]],12),IF(Main[[#This Row],[Class]]="A",WORKDAY(Main[[#This Row],[Tech Start Date]],4),""))))</f>
        <v/>
      </c>
      <c r="O531" s="77" t="str">
        <f>IF(Main[[#This Row],[Tech Start Date]]&lt;1/1/1990,"",IF(Main[[#This Row],[Class]]="C",WORKDAY(Main[[#This Row],[Tech Start Date]],23),IF(Main[[#This Row],[Class]]="B", WORKDAY(Main[[#This Row],[Tech Start Date]],15),IF(Main[[#This Row],[Class]]="A",WORKDAY(Main[[#This Row],[Tech Start Date]],5),""))))</f>
        <v/>
      </c>
      <c r="P531" s="77" t="str">
        <f>IF(Main[[#This Row],[Tech Start Date]]&lt;1/1/1990,"",IF(Main[[#This Row],[Class]]="C",WORKDAY(Main[[#This Row],[Tech Start Date]],28),IF(Main[[#This Row],[Class]]="B", WORKDAY(Main[[#This Row],[Tech Start Date]],19),IF(Main[[#This Row],[Class]]="A",WORKDAY(Main[[#This Row],[Tech Start Date]],9),""))))</f>
        <v/>
      </c>
      <c r="Q531" s="74">
        <v>40318</v>
      </c>
      <c r="R531" s="74"/>
      <c r="S531" s="72" t="s">
        <v>11</v>
      </c>
      <c r="T531" s="80" t="s">
        <v>4</v>
      </c>
      <c r="U531" s="72" t="s">
        <v>14</v>
      </c>
      <c r="V531" s="72" t="s">
        <v>1940</v>
      </c>
      <c r="W531" s="72" t="s">
        <v>1939</v>
      </c>
      <c r="X531" s="72" t="s">
        <v>2982</v>
      </c>
      <c r="Y531" s="72" t="s">
        <v>4</v>
      </c>
      <c r="Z531" s="72" t="s">
        <v>4</v>
      </c>
    </row>
    <row r="532" spans="1:26" ht="18.600000000000001" customHeight="1">
      <c r="A532" s="142" t="str">
        <f>IF(priority(Main[[#This Row],[Comments]])&lt;&gt;0, priority(Main[[#This Row],[Comments]]),"")</f>
        <v/>
      </c>
      <c r="B532" s="90" t="s">
        <v>1366</v>
      </c>
      <c r="C532" s="72" t="s">
        <v>442</v>
      </c>
      <c r="D532" s="73" t="s">
        <v>443</v>
      </c>
      <c r="E532" s="74"/>
      <c r="F532" s="74">
        <v>40056</v>
      </c>
      <c r="G532" s="75" t="str">
        <f>IF(stdProdLT(Main[[#This Row],[Comments]])=0.1,"N/A",IF(stdProdLT(Main[[#This Row],[Comments]])=0,"",stdProdLT(Main[[#This Row],[Comments]])))</f>
        <v/>
      </c>
      <c r="H532" s="76" t="str">
        <f>IF(AND(Main[[#This Row],[In Stock Date]]&lt;&gt;"",Main[[#This Row],[Revised Due Date]]&lt;&gt;""),Main[[#This Row],[In Stock Date]]-Main[[#This Row],[Revised Due Date]],"")</f>
        <v/>
      </c>
      <c r="I532" s="72" t="s">
        <v>4</v>
      </c>
      <c r="J532" s="72" t="s">
        <v>4</v>
      </c>
      <c r="K532" s="72" t="s">
        <v>4</v>
      </c>
      <c r="L532" s="74"/>
      <c r="M532" s="77" t="str">
        <f>IF(Main[[#This Row],[Tech Start Date]]&lt;1/1/1990,"",IF(Main[[#This Row],[Class]]="C",WORKDAY(Main[[#This Row],[Tech Start Date]],9),IF(Main[[#This Row],[Class]]="B", WORKDAY(Main[[#This Row],[Tech Start Date]],6),IF(Main[[#This Row],[Class]]="A",WORKDAY(Main[[#This Row],[Tech Start Date]],2),""))))</f>
        <v/>
      </c>
      <c r="N532" s="77" t="str">
        <f>IF(Main[[#This Row],[Tech Start Date]]&lt;1/1/1990,"",IF(Main[[#This Row],[Class]]="C",WORKDAY(Main[[#This Row],[Tech Start Date]],19),IF(Main[[#This Row],[Class]]="B", WORKDAY(Main[[#This Row],[Tech Start Date]],12),IF(Main[[#This Row],[Class]]="A",WORKDAY(Main[[#This Row],[Tech Start Date]],4),""))))</f>
        <v/>
      </c>
      <c r="O532" s="77" t="str">
        <f>IF(Main[[#This Row],[Tech Start Date]]&lt;1/1/1990,"",IF(Main[[#This Row],[Class]]="C",WORKDAY(Main[[#This Row],[Tech Start Date]],23),IF(Main[[#This Row],[Class]]="B", WORKDAY(Main[[#This Row],[Tech Start Date]],15),IF(Main[[#This Row],[Class]]="A",WORKDAY(Main[[#This Row],[Tech Start Date]],5),""))))</f>
        <v/>
      </c>
      <c r="P532" s="77" t="str">
        <f>IF(Main[[#This Row],[Tech Start Date]]&lt;1/1/1990,"",IF(Main[[#This Row],[Class]]="C",WORKDAY(Main[[#This Row],[Tech Start Date]],28),IF(Main[[#This Row],[Class]]="B", WORKDAY(Main[[#This Row],[Tech Start Date]],19),IF(Main[[#This Row],[Class]]="A",WORKDAY(Main[[#This Row],[Tech Start Date]],9),""))))</f>
        <v/>
      </c>
      <c r="Q532" s="74"/>
      <c r="R532" s="74"/>
      <c r="S532" s="72" t="s">
        <v>11</v>
      </c>
      <c r="T532" s="80" t="s">
        <v>4</v>
      </c>
      <c r="U532" s="72" t="s">
        <v>14</v>
      </c>
      <c r="V532" s="72" t="s">
        <v>1937</v>
      </c>
      <c r="W532" s="72" t="s">
        <v>1945</v>
      </c>
      <c r="X532" s="72" t="s">
        <v>3005</v>
      </c>
      <c r="Y532" s="72" t="s">
        <v>3149</v>
      </c>
      <c r="Z532" s="72" t="s">
        <v>4</v>
      </c>
    </row>
    <row r="533" spans="1:26" ht="18.600000000000001" customHeight="1">
      <c r="A533" s="142" t="str">
        <f>IF(priority(Main[[#This Row],[Comments]])&lt;&gt;0, priority(Main[[#This Row],[Comments]]),"")</f>
        <v/>
      </c>
      <c r="B533" s="90" t="s">
        <v>1367</v>
      </c>
      <c r="C533" s="72" t="s">
        <v>31</v>
      </c>
      <c r="D533" s="73" t="s">
        <v>444</v>
      </c>
      <c r="E533" s="74"/>
      <c r="F533" s="74"/>
      <c r="G533" s="75" t="str">
        <f>IF(stdProdLT(Main[[#This Row],[Comments]])=0.1,"N/A",IF(stdProdLT(Main[[#This Row],[Comments]])=0,"",stdProdLT(Main[[#This Row],[Comments]])))</f>
        <v/>
      </c>
      <c r="H533" s="76" t="str">
        <f>IF(AND(Main[[#This Row],[In Stock Date]]&lt;&gt;"",Main[[#This Row],[Revised Due Date]]&lt;&gt;""),Main[[#This Row],[In Stock Date]]-Main[[#This Row],[Revised Due Date]],"")</f>
        <v/>
      </c>
      <c r="I533" s="72" t="s">
        <v>4</v>
      </c>
      <c r="J533" s="72" t="s">
        <v>4</v>
      </c>
      <c r="K533" s="72" t="s">
        <v>4</v>
      </c>
      <c r="L533" s="74"/>
      <c r="M533" s="77" t="str">
        <f>IF(Main[[#This Row],[Tech Start Date]]&lt;1/1/1990,"",IF(Main[[#This Row],[Class]]="C",WORKDAY(Main[[#This Row],[Tech Start Date]],9),IF(Main[[#This Row],[Class]]="B", WORKDAY(Main[[#This Row],[Tech Start Date]],6),IF(Main[[#This Row],[Class]]="A",WORKDAY(Main[[#This Row],[Tech Start Date]],2),""))))</f>
        <v/>
      </c>
      <c r="N533" s="77" t="str">
        <f>IF(Main[[#This Row],[Tech Start Date]]&lt;1/1/1990,"",IF(Main[[#This Row],[Class]]="C",WORKDAY(Main[[#This Row],[Tech Start Date]],19),IF(Main[[#This Row],[Class]]="B", WORKDAY(Main[[#This Row],[Tech Start Date]],12),IF(Main[[#This Row],[Class]]="A",WORKDAY(Main[[#This Row],[Tech Start Date]],4),""))))</f>
        <v/>
      </c>
      <c r="O533" s="77" t="str">
        <f>IF(Main[[#This Row],[Tech Start Date]]&lt;1/1/1990,"",IF(Main[[#This Row],[Class]]="C",WORKDAY(Main[[#This Row],[Tech Start Date]],23),IF(Main[[#This Row],[Class]]="B", WORKDAY(Main[[#This Row],[Tech Start Date]],15),IF(Main[[#This Row],[Class]]="A",WORKDAY(Main[[#This Row],[Tech Start Date]],5),""))))</f>
        <v/>
      </c>
      <c r="P533" s="77" t="str">
        <f>IF(Main[[#This Row],[Tech Start Date]]&lt;1/1/1990,"",IF(Main[[#This Row],[Class]]="C",WORKDAY(Main[[#This Row],[Tech Start Date]],28),IF(Main[[#This Row],[Class]]="B", WORKDAY(Main[[#This Row],[Tech Start Date]],19),IF(Main[[#This Row],[Class]]="A",WORKDAY(Main[[#This Row],[Tech Start Date]],9),""))))</f>
        <v/>
      </c>
      <c r="Q533" s="74">
        <v>40318</v>
      </c>
      <c r="R533" s="74"/>
      <c r="S533" s="72" t="s">
        <v>11</v>
      </c>
      <c r="T533" s="80" t="s">
        <v>4</v>
      </c>
      <c r="U533" s="72" t="s">
        <v>14</v>
      </c>
      <c r="V533" s="72" t="s">
        <v>1940</v>
      </c>
      <c r="W533" s="72" t="s">
        <v>1948</v>
      </c>
      <c r="X533" s="72" t="s">
        <v>2982</v>
      </c>
      <c r="Y533" s="72" t="s">
        <v>4</v>
      </c>
      <c r="Z533" s="72" t="s">
        <v>4</v>
      </c>
    </row>
    <row r="534" spans="1:26" ht="18.600000000000001" customHeight="1">
      <c r="A534" s="142" t="str">
        <f>IF(priority(Main[[#This Row],[Comments]])&lt;&gt;0, priority(Main[[#This Row],[Comments]]),"")</f>
        <v/>
      </c>
      <c r="B534" s="90" t="s">
        <v>1368</v>
      </c>
      <c r="C534" s="72" t="s">
        <v>31</v>
      </c>
      <c r="D534" s="73" t="s">
        <v>445</v>
      </c>
      <c r="E534" s="74"/>
      <c r="F534" s="74"/>
      <c r="G534" s="75" t="str">
        <f>IF(stdProdLT(Main[[#This Row],[Comments]])=0.1,"N/A",IF(stdProdLT(Main[[#This Row],[Comments]])=0,"",stdProdLT(Main[[#This Row],[Comments]])))</f>
        <v/>
      </c>
      <c r="H534" s="76" t="str">
        <f>IF(AND(Main[[#This Row],[In Stock Date]]&lt;&gt;"",Main[[#This Row],[Revised Due Date]]&lt;&gt;""),Main[[#This Row],[In Stock Date]]-Main[[#This Row],[Revised Due Date]],"")</f>
        <v/>
      </c>
      <c r="I534" s="72" t="s">
        <v>4</v>
      </c>
      <c r="J534" s="72" t="s">
        <v>4</v>
      </c>
      <c r="K534" s="72" t="s">
        <v>4</v>
      </c>
      <c r="L534" s="74"/>
      <c r="M534" s="77" t="str">
        <f>IF(Main[[#This Row],[Tech Start Date]]&lt;1/1/1990,"",IF(Main[[#This Row],[Class]]="C",WORKDAY(Main[[#This Row],[Tech Start Date]],9),IF(Main[[#This Row],[Class]]="B", WORKDAY(Main[[#This Row],[Tech Start Date]],6),IF(Main[[#This Row],[Class]]="A",WORKDAY(Main[[#This Row],[Tech Start Date]],2),""))))</f>
        <v/>
      </c>
      <c r="N534" s="77" t="str">
        <f>IF(Main[[#This Row],[Tech Start Date]]&lt;1/1/1990,"",IF(Main[[#This Row],[Class]]="C",WORKDAY(Main[[#This Row],[Tech Start Date]],19),IF(Main[[#This Row],[Class]]="B", WORKDAY(Main[[#This Row],[Tech Start Date]],12),IF(Main[[#This Row],[Class]]="A",WORKDAY(Main[[#This Row],[Tech Start Date]],4),""))))</f>
        <v/>
      </c>
      <c r="O534" s="77" t="str">
        <f>IF(Main[[#This Row],[Tech Start Date]]&lt;1/1/1990,"",IF(Main[[#This Row],[Class]]="C",WORKDAY(Main[[#This Row],[Tech Start Date]],23),IF(Main[[#This Row],[Class]]="B", WORKDAY(Main[[#This Row],[Tech Start Date]],15),IF(Main[[#This Row],[Class]]="A",WORKDAY(Main[[#This Row],[Tech Start Date]],5),""))))</f>
        <v/>
      </c>
      <c r="P534" s="77" t="str">
        <f>IF(Main[[#This Row],[Tech Start Date]]&lt;1/1/1990,"",IF(Main[[#This Row],[Class]]="C",WORKDAY(Main[[#This Row],[Tech Start Date]],28),IF(Main[[#This Row],[Class]]="B", WORKDAY(Main[[#This Row],[Tech Start Date]],19),IF(Main[[#This Row],[Class]]="A",WORKDAY(Main[[#This Row],[Tech Start Date]],9),""))))</f>
        <v/>
      </c>
      <c r="Q534" s="74">
        <v>40318</v>
      </c>
      <c r="R534" s="74"/>
      <c r="S534" s="72" t="s">
        <v>11</v>
      </c>
      <c r="T534" s="80" t="s">
        <v>4</v>
      </c>
      <c r="U534" s="72" t="s">
        <v>14</v>
      </c>
      <c r="V534" s="72" t="s">
        <v>1940</v>
      </c>
      <c r="W534" s="72" t="s">
        <v>1939</v>
      </c>
      <c r="X534" s="72" t="s">
        <v>2982</v>
      </c>
      <c r="Y534" s="72" t="s">
        <v>4</v>
      </c>
      <c r="Z534" s="72" t="s">
        <v>4</v>
      </c>
    </row>
    <row r="535" spans="1:26" ht="18.600000000000001" customHeight="1">
      <c r="A535" s="142" t="str">
        <f>IF(priority(Main[[#This Row],[Comments]])&lt;&gt;0, priority(Main[[#This Row],[Comments]]),"")</f>
        <v/>
      </c>
      <c r="B535" s="90" t="s">
        <v>1370</v>
      </c>
      <c r="C535" s="72" t="s">
        <v>4</v>
      </c>
      <c r="D535" s="73" t="s">
        <v>447</v>
      </c>
      <c r="E535" s="74">
        <v>40371.342870370368</v>
      </c>
      <c r="F535" s="74"/>
      <c r="G535" s="75" t="str">
        <f>IF(stdProdLT(Main[[#This Row],[Comments]])=0.1,"N/A",IF(stdProdLT(Main[[#This Row],[Comments]])=0,"",stdProdLT(Main[[#This Row],[Comments]])))</f>
        <v/>
      </c>
      <c r="H535" s="76" t="str">
        <f>IF(AND(Main[[#This Row],[In Stock Date]]&lt;&gt;"",Main[[#This Row],[Revised Due Date]]&lt;&gt;""),Main[[#This Row],[In Stock Date]]-Main[[#This Row],[Revised Due Date]],"")</f>
        <v/>
      </c>
      <c r="I535" s="72" t="s">
        <v>4</v>
      </c>
      <c r="J535" s="72" t="s">
        <v>4</v>
      </c>
      <c r="K535" s="72" t="s">
        <v>4</v>
      </c>
      <c r="L535" s="74"/>
      <c r="M535" s="77" t="str">
        <f>IF(Main[[#This Row],[Tech Start Date]]&lt;1/1/1990,"",IF(Main[[#This Row],[Class]]="C",WORKDAY(Main[[#This Row],[Tech Start Date]],9),IF(Main[[#This Row],[Class]]="B", WORKDAY(Main[[#This Row],[Tech Start Date]],6),IF(Main[[#This Row],[Class]]="A",WORKDAY(Main[[#This Row],[Tech Start Date]],2),""))))</f>
        <v/>
      </c>
      <c r="N535" s="77" t="str">
        <f>IF(Main[[#This Row],[Tech Start Date]]&lt;1/1/1990,"",IF(Main[[#This Row],[Class]]="C",WORKDAY(Main[[#This Row],[Tech Start Date]],19),IF(Main[[#This Row],[Class]]="B", WORKDAY(Main[[#This Row],[Tech Start Date]],12),IF(Main[[#This Row],[Class]]="A",WORKDAY(Main[[#This Row],[Tech Start Date]],4),""))))</f>
        <v/>
      </c>
      <c r="O535" s="77" t="str">
        <f>IF(Main[[#This Row],[Tech Start Date]]&lt;1/1/1990,"",IF(Main[[#This Row],[Class]]="C",WORKDAY(Main[[#This Row],[Tech Start Date]],23),IF(Main[[#This Row],[Class]]="B", WORKDAY(Main[[#This Row],[Tech Start Date]],15),IF(Main[[#This Row],[Class]]="A",WORKDAY(Main[[#This Row],[Tech Start Date]],5),""))))</f>
        <v/>
      </c>
      <c r="P535" s="77" t="str">
        <f>IF(Main[[#This Row],[Tech Start Date]]&lt;1/1/1990,"",IF(Main[[#This Row],[Class]]="C",WORKDAY(Main[[#This Row],[Tech Start Date]],28),IF(Main[[#This Row],[Class]]="B", WORKDAY(Main[[#This Row],[Tech Start Date]],19),IF(Main[[#This Row],[Class]]="A",WORKDAY(Main[[#This Row],[Tech Start Date]],9),""))))</f>
        <v/>
      </c>
      <c r="Q535" s="74">
        <v>40385</v>
      </c>
      <c r="R535" s="74"/>
      <c r="S535" s="72" t="s">
        <v>6</v>
      </c>
      <c r="T535" s="80" t="s">
        <v>4</v>
      </c>
      <c r="U535" s="72" t="s">
        <v>7</v>
      </c>
      <c r="V535" s="72" t="s">
        <v>1937</v>
      </c>
      <c r="W535" s="72" t="s">
        <v>1939</v>
      </c>
      <c r="X535" s="72" t="s">
        <v>102</v>
      </c>
      <c r="Y535" s="72" t="s">
        <v>3190</v>
      </c>
      <c r="Z535" s="72" t="s">
        <v>4</v>
      </c>
    </row>
    <row r="536" spans="1:26" ht="18.600000000000001" customHeight="1">
      <c r="A536" s="142" t="str">
        <f>IF(priority(Main[[#This Row],[Comments]])&lt;&gt;0, priority(Main[[#This Row],[Comments]]),"")</f>
        <v/>
      </c>
      <c r="B536" s="90" t="s">
        <v>1371</v>
      </c>
      <c r="C536" s="72" t="s">
        <v>4</v>
      </c>
      <c r="D536" s="73" t="s">
        <v>448</v>
      </c>
      <c r="E536" s="74">
        <v>40679.250891203701</v>
      </c>
      <c r="F536" s="74"/>
      <c r="G536" s="75" t="str">
        <f>IF(stdProdLT(Main[[#This Row],[Comments]])=0.1,"N/A",IF(stdProdLT(Main[[#This Row],[Comments]])=0,"",stdProdLT(Main[[#This Row],[Comments]])))</f>
        <v/>
      </c>
      <c r="H536" s="76" t="str">
        <f>IF(AND(Main[[#This Row],[In Stock Date]]&lt;&gt;"",Main[[#This Row],[Revised Due Date]]&lt;&gt;""),Main[[#This Row],[In Stock Date]]-Main[[#This Row],[Revised Due Date]],"")</f>
        <v/>
      </c>
      <c r="I536" s="72" t="s">
        <v>4</v>
      </c>
      <c r="J536" s="72" t="s">
        <v>4</v>
      </c>
      <c r="K536" s="72" t="s">
        <v>4</v>
      </c>
      <c r="L536" s="74"/>
      <c r="M536" s="77" t="str">
        <f>IF(Main[[#This Row],[Tech Start Date]]&lt;1/1/1990,"",IF(Main[[#This Row],[Class]]="C",WORKDAY(Main[[#This Row],[Tech Start Date]],9),IF(Main[[#This Row],[Class]]="B", WORKDAY(Main[[#This Row],[Tech Start Date]],6),IF(Main[[#This Row],[Class]]="A",WORKDAY(Main[[#This Row],[Tech Start Date]],2),""))))</f>
        <v/>
      </c>
      <c r="N536" s="77" t="str">
        <f>IF(Main[[#This Row],[Tech Start Date]]&lt;1/1/1990,"",IF(Main[[#This Row],[Class]]="C",WORKDAY(Main[[#This Row],[Tech Start Date]],19),IF(Main[[#This Row],[Class]]="B", WORKDAY(Main[[#This Row],[Tech Start Date]],12),IF(Main[[#This Row],[Class]]="A",WORKDAY(Main[[#This Row],[Tech Start Date]],4),""))))</f>
        <v/>
      </c>
      <c r="O536" s="77" t="str">
        <f>IF(Main[[#This Row],[Tech Start Date]]&lt;1/1/1990,"",IF(Main[[#This Row],[Class]]="C",WORKDAY(Main[[#This Row],[Tech Start Date]],23),IF(Main[[#This Row],[Class]]="B", WORKDAY(Main[[#This Row],[Tech Start Date]],15),IF(Main[[#This Row],[Class]]="A",WORKDAY(Main[[#This Row],[Tech Start Date]],5),""))))</f>
        <v/>
      </c>
      <c r="P536" s="77" t="str">
        <f>IF(Main[[#This Row],[Tech Start Date]]&lt;1/1/1990,"",IF(Main[[#This Row],[Class]]="C",WORKDAY(Main[[#This Row],[Tech Start Date]],28),IF(Main[[#This Row],[Class]]="B", WORKDAY(Main[[#This Row],[Tech Start Date]],19),IF(Main[[#This Row],[Class]]="A",WORKDAY(Main[[#This Row],[Tech Start Date]],9),""))))</f>
        <v/>
      </c>
      <c r="Q536" s="74">
        <v>40724</v>
      </c>
      <c r="R536" s="74"/>
      <c r="S536" s="72" t="s">
        <v>6</v>
      </c>
      <c r="T536" s="80" t="s">
        <v>4</v>
      </c>
      <c r="U536" s="72" t="s">
        <v>7</v>
      </c>
      <c r="V536" s="72" t="s">
        <v>1937</v>
      </c>
      <c r="W536" s="72" t="s">
        <v>4</v>
      </c>
      <c r="X536" s="72" t="s">
        <v>2974</v>
      </c>
      <c r="Y536" s="72" t="s">
        <v>3096</v>
      </c>
      <c r="Z536" s="72" t="s">
        <v>4</v>
      </c>
    </row>
    <row r="537" spans="1:26" ht="18.600000000000001" customHeight="1">
      <c r="A537" s="142" t="str">
        <f>IF(priority(Main[[#This Row],[Comments]])&lt;&gt;0, priority(Main[[#This Row],[Comments]]),"")</f>
        <v/>
      </c>
      <c r="B537" s="90" t="s">
        <v>1372</v>
      </c>
      <c r="C537" s="72" t="s">
        <v>4</v>
      </c>
      <c r="D537" s="73" t="s">
        <v>449</v>
      </c>
      <c r="E537" s="74"/>
      <c r="F537" s="74"/>
      <c r="G537" s="75" t="str">
        <f>IF(stdProdLT(Main[[#This Row],[Comments]])=0.1,"N/A",IF(stdProdLT(Main[[#This Row],[Comments]])=0,"",stdProdLT(Main[[#This Row],[Comments]])))</f>
        <v/>
      </c>
      <c r="H537" s="76" t="str">
        <f>IF(AND(Main[[#This Row],[In Stock Date]]&lt;&gt;"",Main[[#This Row],[Revised Due Date]]&lt;&gt;""),Main[[#This Row],[In Stock Date]]-Main[[#This Row],[Revised Due Date]],"")</f>
        <v/>
      </c>
      <c r="I537" s="72" t="s">
        <v>4</v>
      </c>
      <c r="J537" s="72" t="s">
        <v>4</v>
      </c>
      <c r="K537" s="72" t="s">
        <v>4</v>
      </c>
      <c r="L537" s="74"/>
      <c r="M537" s="77" t="str">
        <f>IF(Main[[#This Row],[Tech Start Date]]&lt;1/1/1990,"",IF(Main[[#This Row],[Class]]="C",WORKDAY(Main[[#This Row],[Tech Start Date]],9),IF(Main[[#This Row],[Class]]="B", WORKDAY(Main[[#This Row],[Tech Start Date]],6),IF(Main[[#This Row],[Class]]="A",WORKDAY(Main[[#This Row],[Tech Start Date]],2),""))))</f>
        <v/>
      </c>
      <c r="N537" s="77" t="str">
        <f>IF(Main[[#This Row],[Tech Start Date]]&lt;1/1/1990,"",IF(Main[[#This Row],[Class]]="C",WORKDAY(Main[[#This Row],[Tech Start Date]],19),IF(Main[[#This Row],[Class]]="B", WORKDAY(Main[[#This Row],[Tech Start Date]],12),IF(Main[[#This Row],[Class]]="A",WORKDAY(Main[[#This Row],[Tech Start Date]],4),""))))</f>
        <v/>
      </c>
      <c r="O537" s="77" t="str">
        <f>IF(Main[[#This Row],[Tech Start Date]]&lt;1/1/1990,"",IF(Main[[#This Row],[Class]]="C",WORKDAY(Main[[#This Row],[Tech Start Date]],23),IF(Main[[#This Row],[Class]]="B", WORKDAY(Main[[#This Row],[Tech Start Date]],15),IF(Main[[#This Row],[Class]]="A",WORKDAY(Main[[#This Row],[Tech Start Date]],5),""))))</f>
        <v/>
      </c>
      <c r="P537" s="77" t="str">
        <f>IF(Main[[#This Row],[Tech Start Date]]&lt;1/1/1990,"",IF(Main[[#This Row],[Class]]="C",WORKDAY(Main[[#This Row],[Tech Start Date]],28),IF(Main[[#This Row],[Class]]="B", WORKDAY(Main[[#This Row],[Tech Start Date]],19),IF(Main[[#This Row],[Class]]="A",WORKDAY(Main[[#This Row],[Tech Start Date]],9),""))))</f>
        <v/>
      </c>
      <c r="Q537" s="74"/>
      <c r="R537" s="74"/>
      <c r="S537" s="72" t="s">
        <v>11</v>
      </c>
      <c r="T537" s="80" t="s">
        <v>4</v>
      </c>
      <c r="U537" s="72" t="s">
        <v>14</v>
      </c>
      <c r="V537" s="72" t="s">
        <v>1947</v>
      </c>
      <c r="W537" s="72" t="s">
        <v>1943</v>
      </c>
      <c r="X537" s="72" t="s">
        <v>3020</v>
      </c>
      <c r="Y537" s="72" t="s">
        <v>3194</v>
      </c>
      <c r="Z537" s="72" t="s">
        <v>4</v>
      </c>
    </row>
    <row r="538" spans="1:26" ht="18.600000000000001" customHeight="1">
      <c r="A538" s="142" t="str">
        <f>IF(priority(Main[[#This Row],[Comments]])&lt;&gt;0, priority(Main[[#This Row],[Comments]]),"")</f>
        <v/>
      </c>
      <c r="B538" s="90" t="s">
        <v>1373</v>
      </c>
      <c r="C538" s="72" t="s">
        <v>442</v>
      </c>
      <c r="D538" s="73" t="s">
        <v>450</v>
      </c>
      <c r="E538" s="74"/>
      <c r="F538" s="74"/>
      <c r="G538" s="75" t="str">
        <f>IF(stdProdLT(Main[[#This Row],[Comments]])=0.1,"N/A",IF(stdProdLT(Main[[#This Row],[Comments]])=0,"",stdProdLT(Main[[#This Row],[Comments]])))</f>
        <v/>
      </c>
      <c r="H538" s="76" t="str">
        <f>IF(AND(Main[[#This Row],[In Stock Date]]&lt;&gt;"",Main[[#This Row],[Revised Due Date]]&lt;&gt;""),Main[[#This Row],[In Stock Date]]-Main[[#This Row],[Revised Due Date]],"")</f>
        <v/>
      </c>
      <c r="I538" s="72" t="s">
        <v>4</v>
      </c>
      <c r="J538" s="72" t="s">
        <v>4</v>
      </c>
      <c r="K538" s="72" t="s">
        <v>4</v>
      </c>
      <c r="L538" s="74"/>
      <c r="M538" s="77" t="str">
        <f>IF(Main[[#This Row],[Tech Start Date]]&lt;1/1/1990,"",IF(Main[[#This Row],[Class]]="C",WORKDAY(Main[[#This Row],[Tech Start Date]],9),IF(Main[[#This Row],[Class]]="B", WORKDAY(Main[[#This Row],[Tech Start Date]],6),IF(Main[[#This Row],[Class]]="A",WORKDAY(Main[[#This Row],[Tech Start Date]],2),""))))</f>
        <v/>
      </c>
      <c r="N538" s="77" t="str">
        <f>IF(Main[[#This Row],[Tech Start Date]]&lt;1/1/1990,"",IF(Main[[#This Row],[Class]]="C",WORKDAY(Main[[#This Row],[Tech Start Date]],19),IF(Main[[#This Row],[Class]]="B", WORKDAY(Main[[#This Row],[Tech Start Date]],12),IF(Main[[#This Row],[Class]]="A",WORKDAY(Main[[#This Row],[Tech Start Date]],4),""))))</f>
        <v/>
      </c>
      <c r="O538" s="77" t="str">
        <f>IF(Main[[#This Row],[Tech Start Date]]&lt;1/1/1990,"",IF(Main[[#This Row],[Class]]="C",WORKDAY(Main[[#This Row],[Tech Start Date]],23),IF(Main[[#This Row],[Class]]="B", WORKDAY(Main[[#This Row],[Tech Start Date]],15),IF(Main[[#This Row],[Class]]="A",WORKDAY(Main[[#This Row],[Tech Start Date]],5),""))))</f>
        <v/>
      </c>
      <c r="P538" s="77" t="str">
        <f>IF(Main[[#This Row],[Tech Start Date]]&lt;1/1/1990,"",IF(Main[[#This Row],[Class]]="C",WORKDAY(Main[[#This Row],[Tech Start Date]],28),IF(Main[[#This Row],[Class]]="B", WORKDAY(Main[[#This Row],[Tech Start Date]],19),IF(Main[[#This Row],[Class]]="A",WORKDAY(Main[[#This Row],[Tech Start Date]],9),""))))</f>
        <v/>
      </c>
      <c r="Q538" s="74"/>
      <c r="R538" s="74"/>
      <c r="S538" s="72" t="s">
        <v>11</v>
      </c>
      <c r="T538" s="80" t="s">
        <v>4</v>
      </c>
      <c r="U538" s="72" t="s">
        <v>14</v>
      </c>
      <c r="V538" s="72" t="s">
        <v>1938</v>
      </c>
      <c r="W538" s="72" t="s">
        <v>1945</v>
      </c>
      <c r="X538" s="72" t="s">
        <v>2979</v>
      </c>
      <c r="Y538" s="72" t="s">
        <v>3106</v>
      </c>
      <c r="Z538" s="72" t="s">
        <v>4</v>
      </c>
    </row>
    <row r="539" spans="1:26" ht="18.600000000000001" customHeight="1">
      <c r="A539" s="142" t="str">
        <f>IF(priority(Main[[#This Row],[Comments]])&lt;&gt;0, priority(Main[[#This Row],[Comments]]),"")</f>
        <v/>
      </c>
      <c r="B539" s="90" t="s">
        <v>1374</v>
      </c>
      <c r="C539" s="72" t="s">
        <v>47</v>
      </c>
      <c r="D539" s="73" t="s">
        <v>451</v>
      </c>
      <c r="E539" s="74"/>
      <c r="F539" s="74"/>
      <c r="G539" s="75" t="str">
        <f>IF(stdProdLT(Main[[#This Row],[Comments]])=0.1,"N/A",IF(stdProdLT(Main[[#This Row],[Comments]])=0,"",stdProdLT(Main[[#This Row],[Comments]])))</f>
        <v/>
      </c>
      <c r="H539" s="76" t="str">
        <f>IF(AND(Main[[#This Row],[In Stock Date]]&lt;&gt;"",Main[[#This Row],[Revised Due Date]]&lt;&gt;""),Main[[#This Row],[In Stock Date]]-Main[[#This Row],[Revised Due Date]],"")</f>
        <v/>
      </c>
      <c r="I539" s="72" t="s">
        <v>4</v>
      </c>
      <c r="J539" s="72" t="s">
        <v>4</v>
      </c>
      <c r="K539" s="81" t="s">
        <v>4</v>
      </c>
      <c r="L539" s="74"/>
      <c r="M539" s="77" t="str">
        <f>IF(Main[[#This Row],[Tech Start Date]]&lt;1/1/1990,"",IF(Main[[#This Row],[Class]]="C",WORKDAY(Main[[#This Row],[Tech Start Date]],9),IF(Main[[#This Row],[Class]]="B", WORKDAY(Main[[#This Row],[Tech Start Date]],6),IF(Main[[#This Row],[Class]]="A",WORKDAY(Main[[#This Row],[Tech Start Date]],2),""))))</f>
        <v/>
      </c>
      <c r="N539" s="77" t="str">
        <f>IF(Main[[#This Row],[Tech Start Date]]&lt;1/1/1990,"",IF(Main[[#This Row],[Class]]="C",WORKDAY(Main[[#This Row],[Tech Start Date]],19),IF(Main[[#This Row],[Class]]="B", WORKDAY(Main[[#This Row],[Tech Start Date]],12),IF(Main[[#This Row],[Class]]="A",WORKDAY(Main[[#This Row],[Tech Start Date]],4),""))))</f>
        <v/>
      </c>
      <c r="O539" s="77" t="str">
        <f>IF(Main[[#This Row],[Tech Start Date]]&lt;1/1/1990,"",IF(Main[[#This Row],[Class]]="C",WORKDAY(Main[[#This Row],[Tech Start Date]],23),IF(Main[[#This Row],[Class]]="B", WORKDAY(Main[[#This Row],[Tech Start Date]],15),IF(Main[[#This Row],[Class]]="A",WORKDAY(Main[[#This Row],[Tech Start Date]],5),""))))</f>
        <v/>
      </c>
      <c r="P539" s="77" t="str">
        <f>IF(Main[[#This Row],[Tech Start Date]]&lt;1/1/1990,"",IF(Main[[#This Row],[Class]]="C",WORKDAY(Main[[#This Row],[Tech Start Date]],28),IF(Main[[#This Row],[Class]]="B", WORKDAY(Main[[#This Row],[Tech Start Date]],19),IF(Main[[#This Row],[Class]]="A",WORKDAY(Main[[#This Row],[Tech Start Date]],9),""))))</f>
        <v/>
      </c>
      <c r="Q539" s="74"/>
      <c r="R539" s="74"/>
      <c r="S539" s="72" t="s">
        <v>49</v>
      </c>
      <c r="T539" s="80" t="s">
        <v>4</v>
      </c>
      <c r="U539" s="72" t="s">
        <v>14</v>
      </c>
      <c r="V539" s="72" t="s">
        <v>1940</v>
      </c>
      <c r="W539" s="72" t="s">
        <v>1941</v>
      </c>
      <c r="X539" s="72" t="s">
        <v>311</v>
      </c>
      <c r="Y539" s="72" t="s">
        <v>3099</v>
      </c>
      <c r="Z539" s="72" t="s">
        <v>4</v>
      </c>
    </row>
    <row r="540" spans="1:26" ht="18.600000000000001" customHeight="1">
      <c r="A540" s="143" t="str">
        <f>IF(priority(Main[[#This Row],[Comments]])&lt;&gt;0, priority(Main[[#This Row],[Comments]]),"")</f>
        <v/>
      </c>
      <c r="B540" s="90" t="s">
        <v>1375</v>
      </c>
      <c r="C540" s="83" t="s">
        <v>47</v>
      </c>
      <c r="D540" s="84" t="s">
        <v>452</v>
      </c>
      <c r="E540" s="85">
        <v>40323.347812499997</v>
      </c>
      <c r="F540" s="85"/>
      <c r="G540" s="83" t="str">
        <f>IF(stdProdLT(Main[[#This Row],[Comments]])=0.1,"N/A",IF(stdProdLT(Main[[#This Row],[Comments]])=0,"",stdProdLT(Main[[#This Row],[Comments]])))</f>
        <v/>
      </c>
      <c r="H540" s="86" t="str">
        <f>IF(AND(Main[[#This Row],[In Stock Date]]&lt;&gt;"",Main[[#This Row],[Revised Due Date]]&lt;&gt;""),Main[[#This Row],[In Stock Date]]-Main[[#This Row],[Revised Due Date]],"")</f>
        <v/>
      </c>
      <c r="I540" s="83" t="s">
        <v>129</v>
      </c>
      <c r="J540" s="83" t="s">
        <v>4</v>
      </c>
      <c r="K540" s="83" t="s">
        <v>4</v>
      </c>
      <c r="L540" s="85"/>
      <c r="M540" s="87" t="str">
        <f>IF(Main[[#This Row],[Tech Start Date]]&lt;1/1/1990,"",IF(Main[[#This Row],[Class]]="C",WORKDAY(Main[[#This Row],[Tech Start Date]],9),IF(Main[[#This Row],[Class]]="B", WORKDAY(Main[[#This Row],[Tech Start Date]],6),IF(Main[[#This Row],[Class]]="A",WORKDAY(Main[[#This Row],[Tech Start Date]],2),""))))</f>
        <v/>
      </c>
      <c r="N540" s="87" t="str">
        <f>IF(Main[[#This Row],[Tech Start Date]]&lt;1/1/1990,"",IF(Main[[#This Row],[Class]]="C",WORKDAY(Main[[#This Row],[Tech Start Date]],19),IF(Main[[#This Row],[Class]]="B", WORKDAY(Main[[#This Row],[Tech Start Date]],12),IF(Main[[#This Row],[Class]]="A",WORKDAY(Main[[#This Row],[Tech Start Date]],4),""))))</f>
        <v/>
      </c>
      <c r="O540" s="87" t="str">
        <f>IF(Main[[#This Row],[Tech Start Date]]&lt;1/1/1990,"",IF(Main[[#This Row],[Class]]="C",WORKDAY(Main[[#This Row],[Tech Start Date]],23),IF(Main[[#This Row],[Class]]="B", WORKDAY(Main[[#This Row],[Tech Start Date]],15),IF(Main[[#This Row],[Class]]="A",WORKDAY(Main[[#This Row],[Tech Start Date]],5),""))))</f>
        <v/>
      </c>
      <c r="P540" s="87" t="str">
        <f>IF(Main[[#This Row],[Tech Start Date]]&lt;1/1/1990,"",IF(Main[[#This Row],[Class]]="C",WORKDAY(Main[[#This Row],[Tech Start Date]],28),IF(Main[[#This Row],[Class]]="B", WORKDAY(Main[[#This Row],[Tech Start Date]],19),IF(Main[[#This Row],[Class]]="A",WORKDAY(Main[[#This Row],[Tech Start Date]],9),""))))</f>
        <v/>
      </c>
      <c r="Q540" s="85">
        <v>40340</v>
      </c>
      <c r="R540" s="85"/>
      <c r="S540" s="83" t="s">
        <v>6</v>
      </c>
      <c r="T540" s="88" t="s">
        <v>4</v>
      </c>
      <c r="U540" s="83" t="s">
        <v>29</v>
      </c>
      <c r="V540" s="83" t="s">
        <v>1937</v>
      </c>
      <c r="W540" s="83" t="s">
        <v>1941</v>
      </c>
      <c r="X540" s="83" t="s">
        <v>311</v>
      </c>
      <c r="Y540" s="83" t="s">
        <v>4</v>
      </c>
      <c r="Z540" s="83" t="s">
        <v>129</v>
      </c>
    </row>
    <row r="541" spans="1:26" ht="18.600000000000001" customHeight="1">
      <c r="A541" s="143" t="str">
        <f>IF(priority(Main[[#This Row],[Comments]])&lt;&gt;0, priority(Main[[#This Row],[Comments]]),"")</f>
        <v/>
      </c>
      <c r="B541" s="90" t="s">
        <v>1376</v>
      </c>
      <c r="C541" s="83" t="s">
        <v>31</v>
      </c>
      <c r="D541" s="84" t="s">
        <v>453</v>
      </c>
      <c r="E541" s="85"/>
      <c r="F541" s="85"/>
      <c r="G541" s="83" t="str">
        <f>IF(stdProdLT(Main[[#This Row],[Comments]])=0.1,"N/A",IF(stdProdLT(Main[[#This Row],[Comments]])=0,"",stdProdLT(Main[[#This Row],[Comments]])))</f>
        <v/>
      </c>
      <c r="H541" s="86" t="str">
        <f>IF(AND(Main[[#This Row],[In Stock Date]]&lt;&gt;"",Main[[#This Row],[Revised Due Date]]&lt;&gt;""),Main[[#This Row],[In Stock Date]]-Main[[#This Row],[Revised Due Date]],"")</f>
        <v/>
      </c>
      <c r="I541" s="83" t="s">
        <v>4</v>
      </c>
      <c r="J541" s="83" t="s">
        <v>4</v>
      </c>
      <c r="K541" s="83" t="s">
        <v>4</v>
      </c>
      <c r="L541" s="85"/>
      <c r="M541" s="87" t="str">
        <f>IF(Main[[#This Row],[Tech Start Date]]&lt;1/1/1990,"",IF(Main[[#This Row],[Class]]="C",WORKDAY(Main[[#This Row],[Tech Start Date]],9),IF(Main[[#This Row],[Class]]="B", WORKDAY(Main[[#This Row],[Tech Start Date]],6),IF(Main[[#This Row],[Class]]="A",WORKDAY(Main[[#This Row],[Tech Start Date]],2),""))))</f>
        <v/>
      </c>
      <c r="N541" s="87" t="str">
        <f>IF(Main[[#This Row],[Tech Start Date]]&lt;1/1/1990,"",IF(Main[[#This Row],[Class]]="C",WORKDAY(Main[[#This Row],[Tech Start Date]],19),IF(Main[[#This Row],[Class]]="B", WORKDAY(Main[[#This Row],[Tech Start Date]],12),IF(Main[[#This Row],[Class]]="A",WORKDAY(Main[[#This Row],[Tech Start Date]],4),""))))</f>
        <v/>
      </c>
      <c r="O541" s="87" t="str">
        <f>IF(Main[[#This Row],[Tech Start Date]]&lt;1/1/1990,"",IF(Main[[#This Row],[Class]]="C",WORKDAY(Main[[#This Row],[Tech Start Date]],23),IF(Main[[#This Row],[Class]]="B", WORKDAY(Main[[#This Row],[Tech Start Date]],15),IF(Main[[#This Row],[Class]]="A",WORKDAY(Main[[#This Row],[Tech Start Date]],5),""))))</f>
        <v/>
      </c>
      <c r="P541" s="87" t="str">
        <f>IF(Main[[#This Row],[Tech Start Date]]&lt;1/1/1990,"",IF(Main[[#This Row],[Class]]="C",WORKDAY(Main[[#This Row],[Tech Start Date]],28),IF(Main[[#This Row],[Class]]="B", WORKDAY(Main[[#This Row],[Tech Start Date]],19),IF(Main[[#This Row],[Class]]="A",WORKDAY(Main[[#This Row],[Tech Start Date]],9),""))))</f>
        <v/>
      </c>
      <c r="Q541" s="85">
        <v>40318</v>
      </c>
      <c r="R541" s="85"/>
      <c r="S541" s="83" t="s">
        <v>11</v>
      </c>
      <c r="T541" s="88" t="s">
        <v>4</v>
      </c>
      <c r="U541" s="83" t="s">
        <v>14</v>
      </c>
      <c r="V541" s="83" t="s">
        <v>1940</v>
      </c>
      <c r="W541" s="83" t="s">
        <v>1948</v>
      </c>
      <c r="X541" s="83" t="s">
        <v>2982</v>
      </c>
      <c r="Y541" s="83" t="s">
        <v>4</v>
      </c>
      <c r="Z541" s="83" t="s">
        <v>4</v>
      </c>
    </row>
    <row r="542" spans="1:26" ht="18.600000000000001" customHeight="1">
      <c r="A542" s="143" t="str">
        <f>IF(priority(Main[[#This Row],[Comments]])&lt;&gt;0, priority(Main[[#This Row],[Comments]]),"")</f>
        <v/>
      </c>
      <c r="B542" s="90" t="s">
        <v>1377</v>
      </c>
      <c r="C542" s="83" t="s">
        <v>31</v>
      </c>
      <c r="D542" s="84" t="s">
        <v>454</v>
      </c>
      <c r="E542" s="85"/>
      <c r="F542" s="85"/>
      <c r="G542" s="83" t="str">
        <f>IF(stdProdLT(Main[[#This Row],[Comments]])=0.1,"N/A",IF(stdProdLT(Main[[#This Row],[Comments]])=0,"",stdProdLT(Main[[#This Row],[Comments]])))</f>
        <v/>
      </c>
      <c r="H542" s="86" t="str">
        <f>IF(AND(Main[[#This Row],[In Stock Date]]&lt;&gt;"",Main[[#This Row],[Revised Due Date]]&lt;&gt;""),Main[[#This Row],[In Stock Date]]-Main[[#This Row],[Revised Due Date]],"")</f>
        <v/>
      </c>
      <c r="I542" s="83" t="s">
        <v>4</v>
      </c>
      <c r="J542" s="83" t="s">
        <v>4</v>
      </c>
      <c r="K542" s="83" t="s">
        <v>4</v>
      </c>
      <c r="L542" s="85"/>
      <c r="M542" s="87" t="str">
        <f>IF(Main[[#This Row],[Tech Start Date]]&lt;1/1/1990,"",IF(Main[[#This Row],[Class]]="C",WORKDAY(Main[[#This Row],[Tech Start Date]],9),IF(Main[[#This Row],[Class]]="B", WORKDAY(Main[[#This Row],[Tech Start Date]],6),IF(Main[[#This Row],[Class]]="A",WORKDAY(Main[[#This Row],[Tech Start Date]],2),""))))</f>
        <v/>
      </c>
      <c r="N542" s="87" t="str">
        <f>IF(Main[[#This Row],[Tech Start Date]]&lt;1/1/1990,"",IF(Main[[#This Row],[Class]]="C",WORKDAY(Main[[#This Row],[Tech Start Date]],19),IF(Main[[#This Row],[Class]]="B", WORKDAY(Main[[#This Row],[Tech Start Date]],12),IF(Main[[#This Row],[Class]]="A",WORKDAY(Main[[#This Row],[Tech Start Date]],4),""))))</f>
        <v/>
      </c>
      <c r="O542" s="87" t="str">
        <f>IF(Main[[#This Row],[Tech Start Date]]&lt;1/1/1990,"",IF(Main[[#This Row],[Class]]="C",WORKDAY(Main[[#This Row],[Tech Start Date]],23),IF(Main[[#This Row],[Class]]="B", WORKDAY(Main[[#This Row],[Tech Start Date]],15),IF(Main[[#This Row],[Class]]="A",WORKDAY(Main[[#This Row],[Tech Start Date]],5),""))))</f>
        <v/>
      </c>
      <c r="P542" s="87" t="str">
        <f>IF(Main[[#This Row],[Tech Start Date]]&lt;1/1/1990,"",IF(Main[[#This Row],[Class]]="C",WORKDAY(Main[[#This Row],[Tech Start Date]],28),IF(Main[[#This Row],[Class]]="B", WORKDAY(Main[[#This Row],[Tech Start Date]],19),IF(Main[[#This Row],[Class]]="A",WORKDAY(Main[[#This Row],[Tech Start Date]],9),""))))</f>
        <v/>
      </c>
      <c r="Q542" s="85">
        <v>40318</v>
      </c>
      <c r="R542" s="85"/>
      <c r="S542" s="83" t="s">
        <v>11</v>
      </c>
      <c r="T542" s="88" t="s">
        <v>4</v>
      </c>
      <c r="U542" s="83" t="s">
        <v>14</v>
      </c>
      <c r="V542" s="83" t="s">
        <v>1940</v>
      </c>
      <c r="W542" s="83" t="s">
        <v>1948</v>
      </c>
      <c r="X542" s="83" t="s">
        <v>2982</v>
      </c>
      <c r="Y542" s="83" t="s">
        <v>4</v>
      </c>
      <c r="Z542" s="83" t="s">
        <v>4</v>
      </c>
    </row>
    <row r="543" spans="1:26" ht="18.600000000000001" customHeight="1">
      <c r="A543" s="143" t="str">
        <f>IF(priority(Main[[#This Row],[Comments]])&lt;&gt;0, priority(Main[[#This Row],[Comments]]),"")</f>
        <v/>
      </c>
      <c r="B543" s="90" t="s">
        <v>1378</v>
      </c>
      <c r="C543" s="83" t="s">
        <v>280</v>
      </c>
      <c r="D543" s="84" t="s">
        <v>455</v>
      </c>
      <c r="E543" s="85"/>
      <c r="F543" s="85">
        <v>40444</v>
      </c>
      <c r="G543" s="83" t="str">
        <f>IF(stdProdLT(Main[[#This Row],[Comments]])=0.1,"N/A",IF(stdProdLT(Main[[#This Row],[Comments]])=0,"",stdProdLT(Main[[#This Row],[Comments]])))</f>
        <v/>
      </c>
      <c r="H543" s="86" t="str">
        <f>IF(AND(Main[[#This Row],[In Stock Date]]&lt;&gt;"",Main[[#This Row],[Revised Due Date]]&lt;&gt;""),Main[[#This Row],[In Stock Date]]-Main[[#This Row],[Revised Due Date]],"")</f>
        <v/>
      </c>
      <c r="I543" s="83" t="s">
        <v>4</v>
      </c>
      <c r="J543" s="83" t="s">
        <v>4</v>
      </c>
      <c r="K543" s="83" t="s">
        <v>4</v>
      </c>
      <c r="L543" s="85"/>
      <c r="M543" s="87" t="str">
        <f>IF(Main[[#This Row],[Tech Start Date]]&lt;1/1/1990,"",IF(Main[[#This Row],[Class]]="C",WORKDAY(Main[[#This Row],[Tech Start Date]],9),IF(Main[[#This Row],[Class]]="B", WORKDAY(Main[[#This Row],[Tech Start Date]],6),IF(Main[[#This Row],[Class]]="A",WORKDAY(Main[[#This Row],[Tech Start Date]],2),""))))</f>
        <v/>
      </c>
      <c r="N543" s="87" t="str">
        <f>IF(Main[[#This Row],[Tech Start Date]]&lt;1/1/1990,"",IF(Main[[#This Row],[Class]]="C",WORKDAY(Main[[#This Row],[Tech Start Date]],19),IF(Main[[#This Row],[Class]]="B", WORKDAY(Main[[#This Row],[Tech Start Date]],12),IF(Main[[#This Row],[Class]]="A",WORKDAY(Main[[#This Row],[Tech Start Date]],4),""))))</f>
        <v/>
      </c>
      <c r="O543" s="87" t="str">
        <f>IF(Main[[#This Row],[Tech Start Date]]&lt;1/1/1990,"",IF(Main[[#This Row],[Class]]="C",WORKDAY(Main[[#This Row],[Tech Start Date]],23),IF(Main[[#This Row],[Class]]="B", WORKDAY(Main[[#This Row],[Tech Start Date]],15),IF(Main[[#This Row],[Class]]="A",WORKDAY(Main[[#This Row],[Tech Start Date]],5),""))))</f>
        <v/>
      </c>
      <c r="P543" s="87" t="str">
        <f>IF(Main[[#This Row],[Tech Start Date]]&lt;1/1/1990,"",IF(Main[[#This Row],[Class]]="C",WORKDAY(Main[[#This Row],[Tech Start Date]],28),IF(Main[[#This Row],[Class]]="B", WORKDAY(Main[[#This Row],[Tech Start Date]],19),IF(Main[[#This Row],[Class]]="A",WORKDAY(Main[[#This Row],[Tech Start Date]],9),""))))</f>
        <v/>
      </c>
      <c r="Q543" s="85">
        <v>40262</v>
      </c>
      <c r="R543" s="85"/>
      <c r="S543" s="83" t="s">
        <v>17</v>
      </c>
      <c r="T543" s="88" t="s">
        <v>4</v>
      </c>
      <c r="U543" s="83" t="s">
        <v>14</v>
      </c>
      <c r="V543" s="83" t="s">
        <v>1940</v>
      </c>
      <c r="W543" s="83" t="s">
        <v>1942</v>
      </c>
      <c r="X543" s="83" t="s">
        <v>311</v>
      </c>
      <c r="Y543" s="83" t="s">
        <v>4</v>
      </c>
      <c r="Z543" s="83" t="s">
        <v>4</v>
      </c>
    </row>
    <row r="544" spans="1:26" ht="18.600000000000001" customHeight="1">
      <c r="A544" s="143" t="str">
        <f>IF(priority(Main[[#This Row],[Comments]])&lt;&gt;0, priority(Main[[#This Row],[Comments]]),"")</f>
        <v/>
      </c>
      <c r="B544" s="90" t="s">
        <v>1379</v>
      </c>
      <c r="C544" s="93" t="s">
        <v>67</v>
      </c>
      <c r="D544" s="84" t="s">
        <v>456</v>
      </c>
      <c r="E544" s="94"/>
      <c r="F544" s="94"/>
      <c r="G544" s="93" t="str">
        <f>IF(stdProdLT(Main[[#This Row],[Comments]])=0.1,"N/A",IF(stdProdLT(Main[[#This Row],[Comments]])=0,"",stdProdLT(Main[[#This Row],[Comments]])))</f>
        <v/>
      </c>
      <c r="H544" s="95" t="str">
        <f>IF(AND(Main[[#This Row],[In Stock Date]]&lt;&gt;"",Main[[#This Row],[Revised Due Date]]&lt;&gt;""),Main[[#This Row],[In Stock Date]]-Main[[#This Row],[Revised Due Date]],"")</f>
        <v/>
      </c>
      <c r="I544" s="93" t="s">
        <v>4</v>
      </c>
      <c r="J544" s="93" t="s">
        <v>4</v>
      </c>
      <c r="K544" s="93" t="s">
        <v>4</v>
      </c>
      <c r="L544" s="94"/>
      <c r="M544" s="96" t="str">
        <f>IF(Main[[#This Row],[Tech Start Date]]&lt;1/1/1990,"",IF(Main[[#This Row],[Class]]="C",WORKDAY(Main[[#This Row],[Tech Start Date]],9),IF(Main[[#This Row],[Class]]="B", WORKDAY(Main[[#This Row],[Tech Start Date]],6),IF(Main[[#This Row],[Class]]="A",WORKDAY(Main[[#This Row],[Tech Start Date]],2),""))))</f>
        <v/>
      </c>
      <c r="N544" s="96" t="str">
        <f>IF(Main[[#This Row],[Tech Start Date]]&lt;1/1/1990,"",IF(Main[[#This Row],[Class]]="C",WORKDAY(Main[[#This Row],[Tech Start Date]],19),IF(Main[[#This Row],[Class]]="B", WORKDAY(Main[[#This Row],[Tech Start Date]],12),IF(Main[[#This Row],[Class]]="A",WORKDAY(Main[[#This Row],[Tech Start Date]],4),""))))</f>
        <v/>
      </c>
      <c r="O544" s="96" t="str">
        <f>IF(Main[[#This Row],[Tech Start Date]]&lt;1/1/1990,"",IF(Main[[#This Row],[Class]]="C",WORKDAY(Main[[#This Row],[Tech Start Date]],23),IF(Main[[#This Row],[Class]]="B", WORKDAY(Main[[#This Row],[Tech Start Date]],15),IF(Main[[#This Row],[Class]]="A",WORKDAY(Main[[#This Row],[Tech Start Date]],5),""))))</f>
        <v/>
      </c>
      <c r="P544" s="96" t="str">
        <f>IF(Main[[#This Row],[Tech Start Date]]&lt;1/1/1990,"",IF(Main[[#This Row],[Class]]="C",WORKDAY(Main[[#This Row],[Tech Start Date]],28),IF(Main[[#This Row],[Class]]="B", WORKDAY(Main[[#This Row],[Tech Start Date]],19),IF(Main[[#This Row],[Class]]="A",WORKDAY(Main[[#This Row],[Tech Start Date]],9),""))))</f>
        <v/>
      </c>
      <c r="Q544" s="94"/>
      <c r="R544" s="94"/>
      <c r="S544" s="93" t="s">
        <v>11</v>
      </c>
      <c r="T544" s="97" t="s">
        <v>4</v>
      </c>
      <c r="U544" s="93" t="s">
        <v>12</v>
      </c>
      <c r="V544" s="93" t="s">
        <v>1938</v>
      </c>
      <c r="W544" s="93" t="s">
        <v>1945</v>
      </c>
      <c r="X544" s="83" t="s">
        <v>3014</v>
      </c>
      <c r="Y544" s="83" t="s">
        <v>3164</v>
      </c>
      <c r="Z544" s="83" t="s">
        <v>4</v>
      </c>
    </row>
    <row r="545" spans="1:26" ht="18.600000000000001" customHeight="1">
      <c r="A545" s="142" t="str">
        <f>IF(priority(Main[[#This Row],[Comments]])&lt;&gt;0, priority(Main[[#This Row],[Comments]]),"")</f>
        <v/>
      </c>
      <c r="B545" s="90" t="s">
        <v>1380</v>
      </c>
      <c r="C545" s="72" t="s">
        <v>83</v>
      </c>
      <c r="D545" s="73" t="s">
        <v>457</v>
      </c>
      <c r="E545" s="74"/>
      <c r="F545" s="74"/>
      <c r="G545" s="75" t="str">
        <f>IF(stdProdLT(Main[[#This Row],[Comments]])=0.1,"N/A",IF(stdProdLT(Main[[#This Row],[Comments]])=0,"",stdProdLT(Main[[#This Row],[Comments]])))</f>
        <v/>
      </c>
      <c r="H545" s="76" t="str">
        <f>IF(AND(Main[[#This Row],[In Stock Date]]&lt;&gt;"",Main[[#This Row],[Revised Due Date]]&lt;&gt;""),Main[[#This Row],[In Stock Date]]-Main[[#This Row],[Revised Due Date]],"")</f>
        <v/>
      </c>
      <c r="I545" s="72" t="s">
        <v>4</v>
      </c>
      <c r="J545" s="72" t="s">
        <v>4</v>
      </c>
      <c r="K545" s="72" t="s">
        <v>4</v>
      </c>
      <c r="L545" s="74"/>
      <c r="M545" s="77" t="str">
        <f>IF(Main[[#This Row],[Tech Start Date]]&lt;1/1/1990,"",IF(Main[[#This Row],[Class]]="C",WORKDAY(Main[[#This Row],[Tech Start Date]],9),IF(Main[[#This Row],[Class]]="B", WORKDAY(Main[[#This Row],[Tech Start Date]],6),IF(Main[[#This Row],[Class]]="A",WORKDAY(Main[[#This Row],[Tech Start Date]],2),""))))</f>
        <v/>
      </c>
      <c r="N545" s="77" t="str">
        <f>IF(Main[[#This Row],[Tech Start Date]]&lt;1/1/1990,"",IF(Main[[#This Row],[Class]]="C",WORKDAY(Main[[#This Row],[Tech Start Date]],19),IF(Main[[#This Row],[Class]]="B", WORKDAY(Main[[#This Row],[Tech Start Date]],12),IF(Main[[#This Row],[Class]]="A",WORKDAY(Main[[#This Row],[Tech Start Date]],4),""))))</f>
        <v/>
      </c>
      <c r="O545" s="77" t="str">
        <f>IF(Main[[#This Row],[Tech Start Date]]&lt;1/1/1990,"",IF(Main[[#This Row],[Class]]="C",WORKDAY(Main[[#This Row],[Tech Start Date]],23),IF(Main[[#This Row],[Class]]="B", WORKDAY(Main[[#This Row],[Tech Start Date]],15),IF(Main[[#This Row],[Class]]="A",WORKDAY(Main[[#This Row],[Tech Start Date]],5),""))))</f>
        <v/>
      </c>
      <c r="P545" s="77" t="str">
        <f>IF(Main[[#This Row],[Tech Start Date]]&lt;1/1/1990,"",IF(Main[[#This Row],[Class]]="C",WORKDAY(Main[[#This Row],[Tech Start Date]],28),IF(Main[[#This Row],[Class]]="B", WORKDAY(Main[[#This Row],[Tech Start Date]],19),IF(Main[[#This Row],[Class]]="A",WORKDAY(Main[[#This Row],[Tech Start Date]],9),""))))</f>
        <v/>
      </c>
      <c r="Q545" s="74">
        <v>40252</v>
      </c>
      <c r="R545" s="74"/>
      <c r="S545" s="72" t="s">
        <v>11</v>
      </c>
      <c r="T545" s="80" t="s">
        <v>4</v>
      </c>
      <c r="U545" s="72" t="s">
        <v>14</v>
      </c>
      <c r="V545" s="72" t="s">
        <v>1937</v>
      </c>
      <c r="W545" s="72" t="s">
        <v>1948</v>
      </c>
      <c r="X545" s="72" t="s">
        <v>2969</v>
      </c>
      <c r="Y545" s="72" t="s">
        <v>4</v>
      </c>
      <c r="Z545" s="72" t="s">
        <v>4</v>
      </c>
    </row>
    <row r="546" spans="1:26" ht="18.600000000000001" customHeight="1">
      <c r="A546" s="142" t="str">
        <f>IF(priority(Main[[#This Row],[Comments]])&lt;&gt;0, priority(Main[[#This Row],[Comments]]),"")</f>
        <v/>
      </c>
      <c r="B546" s="90" t="s">
        <v>1381</v>
      </c>
      <c r="C546" s="72" t="s">
        <v>42</v>
      </c>
      <c r="D546" s="73" t="s">
        <v>458</v>
      </c>
      <c r="E546" s="74">
        <v>39932.393530092595</v>
      </c>
      <c r="F546" s="74"/>
      <c r="G546" s="75" t="str">
        <f>IF(stdProdLT(Main[[#This Row],[Comments]])=0.1,"N/A",IF(stdProdLT(Main[[#This Row],[Comments]])=0,"",stdProdLT(Main[[#This Row],[Comments]])))</f>
        <v/>
      </c>
      <c r="H546" s="76" t="str">
        <f>IF(AND(Main[[#This Row],[In Stock Date]]&lt;&gt;"",Main[[#This Row],[Revised Due Date]]&lt;&gt;""),Main[[#This Row],[In Stock Date]]-Main[[#This Row],[Revised Due Date]],"")</f>
        <v/>
      </c>
      <c r="I546" s="72" t="s">
        <v>4</v>
      </c>
      <c r="J546" s="72" t="s">
        <v>4</v>
      </c>
      <c r="K546" s="72" t="s">
        <v>4</v>
      </c>
      <c r="L546" s="74"/>
      <c r="M546" s="77" t="str">
        <f>IF(Main[[#This Row],[Tech Start Date]]&lt;1/1/1990,"",IF(Main[[#This Row],[Class]]="C",WORKDAY(Main[[#This Row],[Tech Start Date]],9),IF(Main[[#This Row],[Class]]="B", WORKDAY(Main[[#This Row],[Tech Start Date]],6),IF(Main[[#This Row],[Class]]="A",WORKDAY(Main[[#This Row],[Tech Start Date]],2),""))))</f>
        <v/>
      </c>
      <c r="N546" s="77" t="str">
        <f>IF(Main[[#This Row],[Tech Start Date]]&lt;1/1/1990,"",IF(Main[[#This Row],[Class]]="C",WORKDAY(Main[[#This Row],[Tech Start Date]],19),IF(Main[[#This Row],[Class]]="B", WORKDAY(Main[[#This Row],[Tech Start Date]],12),IF(Main[[#This Row],[Class]]="A",WORKDAY(Main[[#This Row],[Tech Start Date]],4),""))))</f>
        <v/>
      </c>
      <c r="O546" s="77" t="str">
        <f>IF(Main[[#This Row],[Tech Start Date]]&lt;1/1/1990,"",IF(Main[[#This Row],[Class]]="C",WORKDAY(Main[[#This Row],[Tech Start Date]],23),IF(Main[[#This Row],[Class]]="B", WORKDAY(Main[[#This Row],[Tech Start Date]],15),IF(Main[[#This Row],[Class]]="A",WORKDAY(Main[[#This Row],[Tech Start Date]],5),""))))</f>
        <v/>
      </c>
      <c r="P546" s="77" t="str">
        <f>IF(Main[[#This Row],[Tech Start Date]]&lt;1/1/1990,"",IF(Main[[#This Row],[Class]]="C",WORKDAY(Main[[#This Row],[Tech Start Date]],28),IF(Main[[#This Row],[Class]]="B", WORKDAY(Main[[#This Row],[Tech Start Date]],19),IF(Main[[#This Row],[Class]]="A",WORKDAY(Main[[#This Row],[Tech Start Date]],9),""))))</f>
        <v/>
      </c>
      <c r="Q546" s="74"/>
      <c r="R546" s="74"/>
      <c r="S546" s="72" t="s">
        <v>17</v>
      </c>
      <c r="T546" s="80" t="s">
        <v>4</v>
      </c>
      <c r="U546" s="72" t="s">
        <v>7</v>
      </c>
      <c r="V546" s="72" t="s">
        <v>1940</v>
      </c>
      <c r="W546" s="72" t="s">
        <v>4</v>
      </c>
      <c r="X546" s="72" t="s">
        <v>404</v>
      </c>
      <c r="Y546" s="72" t="s">
        <v>4</v>
      </c>
      <c r="Z546" s="72" t="s">
        <v>4</v>
      </c>
    </row>
    <row r="547" spans="1:26" ht="18.600000000000001" customHeight="1">
      <c r="A547" s="142" t="str">
        <f>IF(priority(Main[[#This Row],[Comments]])&lt;&gt;0, priority(Main[[#This Row],[Comments]]),"")</f>
        <v/>
      </c>
      <c r="B547" s="90" t="s">
        <v>1382</v>
      </c>
      <c r="C547" s="72" t="s">
        <v>459</v>
      </c>
      <c r="D547" s="73" t="s">
        <v>460</v>
      </c>
      <c r="E547" s="74"/>
      <c r="F547" s="74"/>
      <c r="G547" s="75" t="str">
        <f>IF(stdProdLT(Main[[#This Row],[Comments]])=0.1,"N/A",IF(stdProdLT(Main[[#This Row],[Comments]])=0,"",stdProdLT(Main[[#This Row],[Comments]])))</f>
        <v/>
      </c>
      <c r="H547" s="76" t="str">
        <f>IF(AND(Main[[#This Row],[In Stock Date]]&lt;&gt;"",Main[[#This Row],[Revised Due Date]]&lt;&gt;""),Main[[#This Row],[In Stock Date]]-Main[[#This Row],[Revised Due Date]],"")</f>
        <v/>
      </c>
      <c r="I547" s="72" t="s">
        <v>4</v>
      </c>
      <c r="J547" s="72" t="s">
        <v>4</v>
      </c>
      <c r="K547" s="72" t="s">
        <v>4</v>
      </c>
      <c r="L547" s="74"/>
      <c r="M547" s="77" t="str">
        <f>IF(Main[[#This Row],[Tech Start Date]]&lt;1/1/1990,"",IF(Main[[#This Row],[Class]]="C",WORKDAY(Main[[#This Row],[Tech Start Date]],9),IF(Main[[#This Row],[Class]]="B", WORKDAY(Main[[#This Row],[Tech Start Date]],6),IF(Main[[#This Row],[Class]]="A",WORKDAY(Main[[#This Row],[Tech Start Date]],2),""))))</f>
        <v/>
      </c>
      <c r="N547" s="77" t="str">
        <f>IF(Main[[#This Row],[Tech Start Date]]&lt;1/1/1990,"",IF(Main[[#This Row],[Class]]="C",WORKDAY(Main[[#This Row],[Tech Start Date]],19),IF(Main[[#This Row],[Class]]="B", WORKDAY(Main[[#This Row],[Tech Start Date]],12),IF(Main[[#This Row],[Class]]="A",WORKDAY(Main[[#This Row],[Tech Start Date]],4),""))))</f>
        <v/>
      </c>
      <c r="O547" s="77" t="str">
        <f>IF(Main[[#This Row],[Tech Start Date]]&lt;1/1/1990,"",IF(Main[[#This Row],[Class]]="C",WORKDAY(Main[[#This Row],[Tech Start Date]],23),IF(Main[[#This Row],[Class]]="B", WORKDAY(Main[[#This Row],[Tech Start Date]],15),IF(Main[[#This Row],[Class]]="A",WORKDAY(Main[[#This Row],[Tech Start Date]],5),""))))</f>
        <v/>
      </c>
      <c r="P547" s="77" t="str">
        <f>IF(Main[[#This Row],[Tech Start Date]]&lt;1/1/1990,"",IF(Main[[#This Row],[Class]]="C",WORKDAY(Main[[#This Row],[Tech Start Date]],28),IF(Main[[#This Row],[Class]]="B", WORKDAY(Main[[#This Row],[Tech Start Date]],19),IF(Main[[#This Row],[Class]]="A",WORKDAY(Main[[#This Row],[Tech Start Date]],9),""))))</f>
        <v/>
      </c>
      <c r="Q547" s="74"/>
      <c r="R547" s="74"/>
      <c r="S547" s="72" t="s">
        <v>11</v>
      </c>
      <c r="T547" s="80" t="s">
        <v>4</v>
      </c>
      <c r="U547" s="72" t="s">
        <v>14</v>
      </c>
      <c r="V547" s="72" t="s">
        <v>1938</v>
      </c>
      <c r="W547" s="72" t="s">
        <v>1945</v>
      </c>
      <c r="X547" s="72" t="s">
        <v>404</v>
      </c>
      <c r="Y547" s="72" t="s">
        <v>4</v>
      </c>
      <c r="Z547" s="72" t="s">
        <v>4</v>
      </c>
    </row>
    <row r="548" spans="1:26" ht="18.600000000000001" customHeight="1">
      <c r="A548" s="142" t="str">
        <f>IF(priority(Main[[#This Row],[Comments]])&lt;&gt;0, priority(Main[[#This Row],[Comments]]),"")</f>
        <v/>
      </c>
      <c r="B548" s="90" t="s">
        <v>1383</v>
      </c>
      <c r="C548" s="72" t="s">
        <v>461</v>
      </c>
      <c r="D548" s="73" t="s">
        <v>462</v>
      </c>
      <c r="E548" s="74"/>
      <c r="F548" s="74"/>
      <c r="G548" s="75" t="str">
        <f>IF(stdProdLT(Main[[#This Row],[Comments]])=0.1,"N/A",IF(stdProdLT(Main[[#This Row],[Comments]])=0,"",stdProdLT(Main[[#This Row],[Comments]])))</f>
        <v/>
      </c>
      <c r="H548" s="76" t="str">
        <f>IF(AND(Main[[#This Row],[In Stock Date]]&lt;&gt;"",Main[[#This Row],[Revised Due Date]]&lt;&gt;""),Main[[#This Row],[In Stock Date]]-Main[[#This Row],[Revised Due Date]],"")</f>
        <v/>
      </c>
      <c r="I548" s="72" t="s">
        <v>4</v>
      </c>
      <c r="J548" s="72" t="s">
        <v>4</v>
      </c>
      <c r="K548" s="72" t="s">
        <v>4</v>
      </c>
      <c r="L548" s="74"/>
      <c r="M548" s="77" t="str">
        <f>IF(Main[[#This Row],[Tech Start Date]]&lt;1/1/1990,"",IF(Main[[#This Row],[Class]]="C",WORKDAY(Main[[#This Row],[Tech Start Date]],9),IF(Main[[#This Row],[Class]]="B", WORKDAY(Main[[#This Row],[Tech Start Date]],6),IF(Main[[#This Row],[Class]]="A",WORKDAY(Main[[#This Row],[Tech Start Date]],2),""))))</f>
        <v/>
      </c>
      <c r="N548" s="77" t="str">
        <f>IF(Main[[#This Row],[Tech Start Date]]&lt;1/1/1990,"",IF(Main[[#This Row],[Class]]="C",WORKDAY(Main[[#This Row],[Tech Start Date]],19),IF(Main[[#This Row],[Class]]="B", WORKDAY(Main[[#This Row],[Tech Start Date]],12),IF(Main[[#This Row],[Class]]="A",WORKDAY(Main[[#This Row],[Tech Start Date]],4),""))))</f>
        <v/>
      </c>
      <c r="O548" s="77" t="str">
        <f>IF(Main[[#This Row],[Tech Start Date]]&lt;1/1/1990,"",IF(Main[[#This Row],[Class]]="C",WORKDAY(Main[[#This Row],[Tech Start Date]],23),IF(Main[[#This Row],[Class]]="B", WORKDAY(Main[[#This Row],[Tech Start Date]],15),IF(Main[[#This Row],[Class]]="A",WORKDAY(Main[[#This Row],[Tech Start Date]],5),""))))</f>
        <v/>
      </c>
      <c r="P548" s="77" t="str">
        <f>IF(Main[[#This Row],[Tech Start Date]]&lt;1/1/1990,"",IF(Main[[#This Row],[Class]]="C",WORKDAY(Main[[#This Row],[Tech Start Date]],28),IF(Main[[#This Row],[Class]]="B", WORKDAY(Main[[#This Row],[Tech Start Date]],19),IF(Main[[#This Row],[Class]]="A",WORKDAY(Main[[#This Row],[Tech Start Date]],9),""))))</f>
        <v/>
      </c>
      <c r="Q548" s="74"/>
      <c r="R548" s="74"/>
      <c r="S548" s="72" t="s">
        <v>11</v>
      </c>
      <c r="T548" s="80" t="s">
        <v>4</v>
      </c>
      <c r="U548" s="72" t="s">
        <v>14</v>
      </c>
      <c r="V548" s="72" t="s">
        <v>1938</v>
      </c>
      <c r="W548" s="72" t="s">
        <v>1945</v>
      </c>
      <c r="X548" s="72" t="s">
        <v>404</v>
      </c>
      <c r="Y548" s="72" t="s">
        <v>4</v>
      </c>
      <c r="Z548" s="72" t="s">
        <v>4</v>
      </c>
    </row>
    <row r="549" spans="1:26" ht="18.600000000000001" customHeight="1">
      <c r="A549" s="142" t="str">
        <f>IF(priority(Main[[#This Row],[Comments]])&lt;&gt;0, priority(Main[[#This Row],[Comments]]),"")</f>
        <v/>
      </c>
      <c r="B549" s="90" t="s">
        <v>1384</v>
      </c>
      <c r="C549" s="72" t="s">
        <v>463</v>
      </c>
      <c r="D549" s="73" t="s">
        <v>464</v>
      </c>
      <c r="E549" s="74"/>
      <c r="F549" s="74">
        <v>40214</v>
      </c>
      <c r="G549" s="75" t="str">
        <f>IF(stdProdLT(Main[[#This Row],[Comments]])=0.1,"N/A",IF(stdProdLT(Main[[#This Row],[Comments]])=0,"",stdProdLT(Main[[#This Row],[Comments]])))</f>
        <v/>
      </c>
      <c r="H549" s="76" t="str">
        <f>IF(AND(Main[[#This Row],[In Stock Date]]&lt;&gt;"",Main[[#This Row],[Revised Due Date]]&lt;&gt;""),Main[[#This Row],[In Stock Date]]-Main[[#This Row],[Revised Due Date]],"")</f>
        <v/>
      </c>
      <c r="I549" s="72" t="s">
        <v>4</v>
      </c>
      <c r="J549" s="72" t="s">
        <v>4</v>
      </c>
      <c r="K549" s="72" t="s">
        <v>4</v>
      </c>
      <c r="L549" s="74"/>
      <c r="M549" s="77" t="str">
        <f>IF(Main[[#This Row],[Tech Start Date]]&lt;1/1/1990,"",IF(Main[[#This Row],[Class]]="C",WORKDAY(Main[[#This Row],[Tech Start Date]],9),IF(Main[[#This Row],[Class]]="B", WORKDAY(Main[[#This Row],[Tech Start Date]],6),IF(Main[[#This Row],[Class]]="A",WORKDAY(Main[[#This Row],[Tech Start Date]],2),""))))</f>
        <v/>
      </c>
      <c r="N549" s="77" t="str">
        <f>IF(Main[[#This Row],[Tech Start Date]]&lt;1/1/1990,"",IF(Main[[#This Row],[Class]]="C",WORKDAY(Main[[#This Row],[Tech Start Date]],19),IF(Main[[#This Row],[Class]]="B", WORKDAY(Main[[#This Row],[Tech Start Date]],12),IF(Main[[#This Row],[Class]]="A",WORKDAY(Main[[#This Row],[Tech Start Date]],4),""))))</f>
        <v/>
      </c>
      <c r="O549" s="77" t="str">
        <f>IF(Main[[#This Row],[Tech Start Date]]&lt;1/1/1990,"",IF(Main[[#This Row],[Class]]="C",WORKDAY(Main[[#This Row],[Tech Start Date]],23),IF(Main[[#This Row],[Class]]="B", WORKDAY(Main[[#This Row],[Tech Start Date]],15),IF(Main[[#This Row],[Class]]="A",WORKDAY(Main[[#This Row],[Tech Start Date]],5),""))))</f>
        <v/>
      </c>
      <c r="P549" s="77" t="str">
        <f>IF(Main[[#This Row],[Tech Start Date]]&lt;1/1/1990,"",IF(Main[[#This Row],[Class]]="C",WORKDAY(Main[[#This Row],[Tech Start Date]],28),IF(Main[[#This Row],[Class]]="B", WORKDAY(Main[[#This Row],[Tech Start Date]],19),IF(Main[[#This Row],[Class]]="A",WORKDAY(Main[[#This Row],[Tech Start Date]],9),""))))</f>
        <v/>
      </c>
      <c r="Q549" s="74">
        <v>40149</v>
      </c>
      <c r="R549" s="74"/>
      <c r="S549" s="72" t="s">
        <v>11</v>
      </c>
      <c r="T549" s="80" t="s">
        <v>4</v>
      </c>
      <c r="U549" s="72" t="s">
        <v>14</v>
      </c>
      <c r="V549" s="72" t="s">
        <v>1940</v>
      </c>
      <c r="W549" s="72" t="s">
        <v>1943</v>
      </c>
      <c r="X549" s="72" t="s">
        <v>3015</v>
      </c>
      <c r="Y549" s="72" t="s">
        <v>4</v>
      </c>
      <c r="Z549" s="72" t="s">
        <v>4</v>
      </c>
    </row>
    <row r="550" spans="1:26" ht="18.600000000000001" customHeight="1">
      <c r="A550" s="142" t="str">
        <f>IF(priority(Main[[#This Row],[Comments]])&lt;&gt;0, priority(Main[[#This Row],[Comments]]),"")</f>
        <v/>
      </c>
      <c r="B550" s="90" t="s">
        <v>1385</v>
      </c>
      <c r="C550" s="72" t="s">
        <v>93</v>
      </c>
      <c r="D550" s="73" t="s">
        <v>465</v>
      </c>
      <c r="E550" s="74"/>
      <c r="F550" s="74">
        <v>40210</v>
      </c>
      <c r="G550" s="75" t="str">
        <f>IF(stdProdLT(Main[[#This Row],[Comments]])=0.1,"N/A",IF(stdProdLT(Main[[#This Row],[Comments]])=0,"",stdProdLT(Main[[#This Row],[Comments]])))</f>
        <v/>
      </c>
      <c r="H550" s="76" t="str">
        <f>IF(AND(Main[[#This Row],[In Stock Date]]&lt;&gt;"",Main[[#This Row],[Revised Due Date]]&lt;&gt;""),Main[[#This Row],[In Stock Date]]-Main[[#This Row],[Revised Due Date]],"")</f>
        <v/>
      </c>
      <c r="I550" s="72" t="s">
        <v>4</v>
      </c>
      <c r="J550" s="72" t="s">
        <v>4</v>
      </c>
      <c r="K550" s="81" t="s">
        <v>4</v>
      </c>
      <c r="L550" s="74"/>
      <c r="M550" s="77" t="str">
        <f>IF(Main[[#This Row],[Tech Start Date]]&lt;1/1/1990,"",IF(Main[[#This Row],[Class]]="C",WORKDAY(Main[[#This Row],[Tech Start Date]],9),IF(Main[[#This Row],[Class]]="B", WORKDAY(Main[[#This Row],[Tech Start Date]],6),IF(Main[[#This Row],[Class]]="A",WORKDAY(Main[[#This Row],[Tech Start Date]],2),""))))</f>
        <v/>
      </c>
      <c r="N550" s="77" t="str">
        <f>IF(Main[[#This Row],[Tech Start Date]]&lt;1/1/1990,"",IF(Main[[#This Row],[Class]]="C",WORKDAY(Main[[#This Row],[Tech Start Date]],19),IF(Main[[#This Row],[Class]]="B", WORKDAY(Main[[#This Row],[Tech Start Date]],12),IF(Main[[#This Row],[Class]]="A",WORKDAY(Main[[#This Row],[Tech Start Date]],4),""))))</f>
        <v/>
      </c>
      <c r="O550" s="77" t="str">
        <f>IF(Main[[#This Row],[Tech Start Date]]&lt;1/1/1990,"",IF(Main[[#This Row],[Class]]="C",WORKDAY(Main[[#This Row],[Tech Start Date]],23),IF(Main[[#This Row],[Class]]="B", WORKDAY(Main[[#This Row],[Tech Start Date]],15),IF(Main[[#This Row],[Class]]="A",WORKDAY(Main[[#This Row],[Tech Start Date]],5),""))))</f>
        <v/>
      </c>
      <c r="P550" s="77" t="str">
        <f>IF(Main[[#This Row],[Tech Start Date]]&lt;1/1/1990,"",IF(Main[[#This Row],[Class]]="C",WORKDAY(Main[[#This Row],[Tech Start Date]],28),IF(Main[[#This Row],[Class]]="B", WORKDAY(Main[[#This Row],[Tech Start Date]],19),IF(Main[[#This Row],[Class]]="A",WORKDAY(Main[[#This Row],[Tech Start Date]],9),""))))</f>
        <v/>
      </c>
      <c r="Q550" s="74">
        <v>40195</v>
      </c>
      <c r="R550" s="74"/>
      <c r="S550" s="72" t="s">
        <v>11</v>
      </c>
      <c r="T550" s="80" t="s">
        <v>4</v>
      </c>
      <c r="U550" s="72" t="s">
        <v>12</v>
      </c>
      <c r="V550" s="72" t="s">
        <v>1947</v>
      </c>
      <c r="W550" s="72" t="s">
        <v>1948</v>
      </c>
      <c r="X550" s="72" t="s">
        <v>2997</v>
      </c>
      <c r="Y550" s="72" t="s">
        <v>4</v>
      </c>
      <c r="Z550" s="72" t="s">
        <v>4</v>
      </c>
    </row>
    <row r="551" spans="1:26" ht="18.600000000000001" customHeight="1">
      <c r="A551" s="142" t="str">
        <f>IF(priority(Main[[#This Row],[Comments]])&lt;&gt;0, priority(Main[[#This Row],[Comments]]),"")</f>
        <v/>
      </c>
      <c r="B551" s="90" t="s">
        <v>1386</v>
      </c>
      <c r="C551" s="72" t="s">
        <v>463</v>
      </c>
      <c r="D551" s="73" t="s">
        <v>466</v>
      </c>
      <c r="E551" s="74"/>
      <c r="F551" s="74">
        <v>40214</v>
      </c>
      <c r="G551" s="75" t="str">
        <f>IF(stdProdLT(Main[[#This Row],[Comments]])=0.1,"N/A",IF(stdProdLT(Main[[#This Row],[Comments]])=0,"",stdProdLT(Main[[#This Row],[Comments]])))</f>
        <v/>
      </c>
      <c r="H551" s="76" t="str">
        <f>IF(AND(Main[[#This Row],[In Stock Date]]&lt;&gt;"",Main[[#This Row],[Revised Due Date]]&lt;&gt;""),Main[[#This Row],[In Stock Date]]-Main[[#This Row],[Revised Due Date]],"")</f>
        <v/>
      </c>
      <c r="I551" s="72" t="s">
        <v>4</v>
      </c>
      <c r="J551" s="72" t="s">
        <v>4</v>
      </c>
      <c r="K551" s="72" t="s">
        <v>4</v>
      </c>
      <c r="L551" s="74"/>
      <c r="M551" s="77" t="str">
        <f>IF(Main[[#This Row],[Tech Start Date]]&lt;1/1/1990,"",IF(Main[[#This Row],[Class]]="C",WORKDAY(Main[[#This Row],[Tech Start Date]],9),IF(Main[[#This Row],[Class]]="B", WORKDAY(Main[[#This Row],[Tech Start Date]],6),IF(Main[[#This Row],[Class]]="A",WORKDAY(Main[[#This Row],[Tech Start Date]],2),""))))</f>
        <v/>
      </c>
      <c r="N551" s="77" t="str">
        <f>IF(Main[[#This Row],[Tech Start Date]]&lt;1/1/1990,"",IF(Main[[#This Row],[Class]]="C",WORKDAY(Main[[#This Row],[Tech Start Date]],19),IF(Main[[#This Row],[Class]]="B", WORKDAY(Main[[#This Row],[Tech Start Date]],12),IF(Main[[#This Row],[Class]]="A",WORKDAY(Main[[#This Row],[Tech Start Date]],4),""))))</f>
        <v/>
      </c>
      <c r="O551" s="77" t="str">
        <f>IF(Main[[#This Row],[Tech Start Date]]&lt;1/1/1990,"",IF(Main[[#This Row],[Class]]="C",WORKDAY(Main[[#This Row],[Tech Start Date]],23),IF(Main[[#This Row],[Class]]="B", WORKDAY(Main[[#This Row],[Tech Start Date]],15),IF(Main[[#This Row],[Class]]="A",WORKDAY(Main[[#This Row],[Tech Start Date]],5),""))))</f>
        <v/>
      </c>
      <c r="P551" s="77" t="str">
        <f>IF(Main[[#This Row],[Tech Start Date]]&lt;1/1/1990,"",IF(Main[[#This Row],[Class]]="C",WORKDAY(Main[[#This Row],[Tech Start Date]],28),IF(Main[[#This Row],[Class]]="B", WORKDAY(Main[[#This Row],[Tech Start Date]],19),IF(Main[[#This Row],[Class]]="A",WORKDAY(Main[[#This Row],[Tech Start Date]],9),""))))</f>
        <v/>
      </c>
      <c r="Q551" s="74">
        <v>40149</v>
      </c>
      <c r="R551" s="74"/>
      <c r="S551" s="72" t="s">
        <v>11</v>
      </c>
      <c r="T551" s="80" t="s">
        <v>4</v>
      </c>
      <c r="U551" s="72" t="s">
        <v>14</v>
      </c>
      <c r="V551" s="72" t="s">
        <v>1940</v>
      </c>
      <c r="W551" s="72" t="s">
        <v>1943</v>
      </c>
      <c r="X551" s="72" t="s">
        <v>3015</v>
      </c>
      <c r="Y551" s="72" t="s">
        <v>4</v>
      </c>
      <c r="Z551" s="72" t="s">
        <v>4</v>
      </c>
    </row>
    <row r="552" spans="1:26" ht="18.600000000000001" customHeight="1">
      <c r="A552" s="142" t="str">
        <f>IF(priority(Main[[#This Row],[Comments]])&lt;&gt;0, priority(Main[[#This Row],[Comments]]),"")</f>
        <v/>
      </c>
      <c r="B552" s="90" t="s">
        <v>1387</v>
      </c>
      <c r="C552" s="72" t="s">
        <v>31</v>
      </c>
      <c r="D552" s="73" t="s">
        <v>467</v>
      </c>
      <c r="E552" s="74"/>
      <c r="F552" s="74"/>
      <c r="G552" s="75" t="str">
        <f>IF(stdProdLT(Main[[#This Row],[Comments]])=0.1,"N/A",IF(stdProdLT(Main[[#This Row],[Comments]])=0,"",stdProdLT(Main[[#This Row],[Comments]])))</f>
        <v/>
      </c>
      <c r="H552" s="76" t="str">
        <f>IF(AND(Main[[#This Row],[In Stock Date]]&lt;&gt;"",Main[[#This Row],[Revised Due Date]]&lt;&gt;""),Main[[#This Row],[In Stock Date]]-Main[[#This Row],[Revised Due Date]],"")</f>
        <v/>
      </c>
      <c r="I552" s="72" t="s">
        <v>4</v>
      </c>
      <c r="J552" s="72" t="s">
        <v>4</v>
      </c>
      <c r="K552" s="72" t="s">
        <v>4</v>
      </c>
      <c r="L552" s="74"/>
      <c r="M552" s="77" t="str">
        <f>IF(Main[[#This Row],[Tech Start Date]]&lt;1/1/1990,"",IF(Main[[#This Row],[Class]]="C",WORKDAY(Main[[#This Row],[Tech Start Date]],9),IF(Main[[#This Row],[Class]]="B", WORKDAY(Main[[#This Row],[Tech Start Date]],6),IF(Main[[#This Row],[Class]]="A",WORKDAY(Main[[#This Row],[Tech Start Date]],2),""))))</f>
        <v/>
      </c>
      <c r="N552" s="77" t="str">
        <f>IF(Main[[#This Row],[Tech Start Date]]&lt;1/1/1990,"",IF(Main[[#This Row],[Class]]="C",WORKDAY(Main[[#This Row],[Tech Start Date]],19),IF(Main[[#This Row],[Class]]="B", WORKDAY(Main[[#This Row],[Tech Start Date]],12),IF(Main[[#This Row],[Class]]="A",WORKDAY(Main[[#This Row],[Tech Start Date]],4),""))))</f>
        <v/>
      </c>
      <c r="O552" s="77" t="str">
        <f>IF(Main[[#This Row],[Tech Start Date]]&lt;1/1/1990,"",IF(Main[[#This Row],[Class]]="C",WORKDAY(Main[[#This Row],[Tech Start Date]],23),IF(Main[[#This Row],[Class]]="B", WORKDAY(Main[[#This Row],[Tech Start Date]],15),IF(Main[[#This Row],[Class]]="A",WORKDAY(Main[[#This Row],[Tech Start Date]],5),""))))</f>
        <v/>
      </c>
      <c r="P552" s="77" t="str">
        <f>IF(Main[[#This Row],[Tech Start Date]]&lt;1/1/1990,"",IF(Main[[#This Row],[Class]]="C",WORKDAY(Main[[#This Row],[Tech Start Date]],28),IF(Main[[#This Row],[Class]]="B", WORKDAY(Main[[#This Row],[Tech Start Date]],19),IF(Main[[#This Row],[Class]]="A",WORKDAY(Main[[#This Row],[Tech Start Date]],9),""))))</f>
        <v/>
      </c>
      <c r="Q552" s="74">
        <v>40318</v>
      </c>
      <c r="R552" s="74"/>
      <c r="S552" s="72" t="s">
        <v>11</v>
      </c>
      <c r="T552" s="80" t="s">
        <v>4</v>
      </c>
      <c r="U552" s="72" t="s">
        <v>14</v>
      </c>
      <c r="V552" s="72" t="s">
        <v>1940</v>
      </c>
      <c r="W552" s="72" t="s">
        <v>1939</v>
      </c>
      <c r="X552" s="72" t="s">
        <v>2982</v>
      </c>
      <c r="Y552" s="72" t="s">
        <v>4</v>
      </c>
      <c r="Z552" s="72" t="s">
        <v>4</v>
      </c>
    </row>
    <row r="553" spans="1:26" ht="18.600000000000001" customHeight="1">
      <c r="A553" s="142" t="str">
        <f>IF(priority(Main[[#This Row],[Comments]])&lt;&gt;0, priority(Main[[#This Row],[Comments]]),"")</f>
        <v/>
      </c>
      <c r="B553" s="90" t="s">
        <v>1388</v>
      </c>
      <c r="C553" s="72" t="s">
        <v>31</v>
      </c>
      <c r="D553" s="73" t="s">
        <v>468</v>
      </c>
      <c r="E553" s="74">
        <v>40494.184537037036</v>
      </c>
      <c r="F553" s="74">
        <v>40546</v>
      </c>
      <c r="G553" s="75" t="str">
        <f>IF(stdProdLT(Main[[#This Row],[Comments]])=0.1,"N/A",IF(stdProdLT(Main[[#This Row],[Comments]])=0,"",stdProdLT(Main[[#This Row],[Comments]])))</f>
        <v/>
      </c>
      <c r="H553" s="76" t="str">
        <f>IF(AND(Main[[#This Row],[In Stock Date]]&lt;&gt;"",Main[[#This Row],[Revised Due Date]]&lt;&gt;""),Main[[#This Row],[In Stock Date]]-Main[[#This Row],[Revised Due Date]],"")</f>
        <v/>
      </c>
      <c r="I553" s="72" t="s">
        <v>4</v>
      </c>
      <c r="J553" s="72" t="s">
        <v>4</v>
      </c>
      <c r="K553" s="72" t="s">
        <v>4</v>
      </c>
      <c r="L553" s="74"/>
      <c r="M553" s="77" t="str">
        <f>IF(Main[[#This Row],[Tech Start Date]]&lt;1/1/1990,"",IF(Main[[#This Row],[Class]]="C",WORKDAY(Main[[#This Row],[Tech Start Date]],9),IF(Main[[#This Row],[Class]]="B", WORKDAY(Main[[#This Row],[Tech Start Date]],6),IF(Main[[#This Row],[Class]]="A",WORKDAY(Main[[#This Row],[Tech Start Date]],2),""))))</f>
        <v/>
      </c>
      <c r="N553" s="77" t="str">
        <f>IF(Main[[#This Row],[Tech Start Date]]&lt;1/1/1990,"",IF(Main[[#This Row],[Class]]="C",WORKDAY(Main[[#This Row],[Tech Start Date]],19),IF(Main[[#This Row],[Class]]="B", WORKDAY(Main[[#This Row],[Tech Start Date]],12),IF(Main[[#This Row],[Class]]="A",WORKDAY(Main[[#This Row],[Tech Start Date]],4),""))))</f>
        <v/>
      </c>
      <c r="O553" s="77" t="str">
        <f>IF(Main[[#This Row],[Tech Start Date]]&lt;1/1/1990,"",IF(Main[[#This Row],[Class]]="C",WORKDAY(Main[[#This Row],[Tech Start Date]],23),IF(Main[[#This Row],[Class]]="B", WORKDAY(Main[[#This Row],[Tech Start Date]],15),IF(Main[[#This Row],[Class]]="A",WORKDAY(Main[[#This Row],[Tech Start Date]],5),""))))</f>
        <v/>
      </c>
      <c r="P553" s="77" t="str">
        <f>IF(Main[[#This Row],[Tech Start Date]]&lt;1/1/1990,"",IF(Main[[#This Row],[Class]]="C",WORKDAY(Main[[#This Row],[Tech Start Date]],28),IF(Main[[#This Row],[Class]]="B", WORKDAY(Main[[#This Row],[Tech Start Date]],19),IF(Main[[#This Row],[Class]]="A",WORKDAY(Main[[#This Row],[Tech Start Date]],9),""))))</f>
        <v/>
      </c>
      <c r="Q553" s="74">
        <v>40527</v>
      </c>
      <c r="R553" s="74"/>
      <c r="S553" s="72" t="s">
        <v>17</v>
      </c>
      <c r="T553" s="80" t="s">
        <v>4</v>
      </c>
      <c r="U553" s="72" t="s">
        <v>7</v>
      </c>
      <c r="V553" s="72" t="s">
        <v>1940</v>
      </c>
      <c r="W553" s="72" t="s">
        <v>4</v>
      </c>
      <c r="X553" s="72" t="s">
        <v>3008</v>
      </c>
      <c r="Y553" s="72" t="s">
        <v>3155</v>
      </c>
      <c r="Z553" s="72" t="s">
        <v>4</v>
      </c>
    </row>
    <row r="554" spans="1:26" ht="18.600000000000001" customHeight="1">
      <c r="A554" s="142" t="str">
        <f>IF(priority(Main[[#This Row],[Comments]])&lt;&gt;0, priority(Main[[#This Row],[Comments]]),"")</f>
        <v/>
      </c>
      <c r="B554" s="90" t="s">
        <v>1389</v>
      </c>
      <c r="C554" s="72" t="s">
        <v>4</v>
      </c>
      <c r="D554" s="73" t="s">
        <v>469</v>
      </c>
      <c r="E554" s="74"/>
      <c r="F554" s="74">
        <v>40374</v>
      </c>
      <c r="G554" s="75" t="str">
        <f>IF(stdProdLT(Main[[#This Row],[Comments]])=0.1,"N/A",IF(stdProdLT(Main[[#This Row],[Comments]])=0,"",stdProdLT(Main[[#This Row],[Comments]])))</f>
        <v/>
      </c>
      <c r="H554" s="76" t="str">
        <f>IF(AND(Main[[#This Row],[In Stock Date]]&lt;&gt;"",Main[[#This Row],[Revised Due Date]]&lt;&gt;""),Main[[#This Row],[In Stock Date]]-Main[[#This Row],[Revised Due Date]],"")</f>
        <v/>
      </c>
      <c r="I554" s="72" t="s">
        <v>4</v>
      </c>
      <c r="J554" s="72" t="s">
        <v>4</v>
      </c>
      <c r="K554" s="72" t="s">
        <v>4</v>
      </c>
      <c r="L554" s="74"/>
      <c r="M554" s="77" t="str">
        <f>IF(Main[[#This Row],[Tech Start Date]]&lt;1/1/1990,"",IF(Main[[#This Row],[Class]]="C",WORKDAY(Main[[#This Row],[Tech Start Date]],9),IF(Main[[#This Row],[Class]]="B", WORKDAY(Main[[#This Row],[Tech Start Date]],6),IF(Main[[#This Row],[Class]]="A",WORKDAY(Main[[#This Row],[Tech Start Date]],2),""))))</f>
        <v/>
      </c>
      <c r="N554" s="77" t="str">
        <f>IF(Main[[#This Row],[Tech Start Date]]&lt;1/1/1990,"",IF(Main[[#This Row],[Class]]="C",WORKDAY(Main[[#This Row],[Tech Start Date]],19),IF(Main[[#This Row],[Class]]="B", WORKDAY(Main[[#This Row],[Tech Start Date]],12),IF(Main[[#This Row],[Class]]="A",WORKDAY(Main[[#This Row],[Tech Start Date]],4),""))))</f>
        <v/>
      </c>
      <c r="O554" s="77" t="str">
        <f>IF(Main[[#This Row],[Tech Start Date]]&lt;1/1/1990,"",IF(Main[[#This Row],[Class]]="C",WORKDAY(Main[[#This Row],[Tech Start Date]],23),IF(Main[[#This Row],[Class]]="B", WORKDAY(Main[[#This Row],[Tech Start Date]],15),IF(Main[[#This Row],[Class]]="A",WORKDAY(Main[[#This Row],[Tech Start Date]],5),""))))</f>
        <v/>
      </c>
      <c r="P554" s="77" t="str">
        <f>IF(Main[[#This Row],[Tech Start Date]]&lt;1/1/1990,"",IF(Main[[#This Row],[Class]]="C",WORKDAY(Main[[#This Row],[Tech Start Date]],28),IF(Main[[#This Row],[Class]]="B", WORKDAY(Main[[#This Row],[Tech Start Date]],19),IF(Main[[#This Row],[Class]]="A",WORKDAY(Main[[#This Row],[Tech Start Date]],9),""))))</f>
        <v/>
      </c>
      <c r="Q554" s="74">
        <v>40297</v>
      </c>
      <c r="R554" s="74"/>
      <c r="S554" s="72" t="s">
        <v>11</v>
      </c>
      <c r="T554" s="80" t="s">
        <v>4</v>
      </c>
      <c r="U554" s="72" t="s">
        <v>12</v>
      </c>
      <c r="V554" s="72" t="s">
        <v>1937</v>
      </c>
      <c r="W554" s="72" t="s">
        <v>1945</v>
      </c>
      <c r="X554" s="72" t="s">
        <v>2976</v>
      </c>
      <c r="Y554" s="72" t="s">
        <v>3101</v>
      </c>
      <c r="Z554" s="72" t="s">
        <v>4</v>
      </c>
    </row>
    <row r="555" spans="1:26" ht="18.600000000000001" customHeight="1">
      <c r="A555" s="142" t="str">
        <f>IF(priority(Main[[#This Row],[Comments]])&lt;&gt;0, priority(Main[[#This Row],[Comments]]),"")</f>
        <v/>
      </c>
      <c r="B555" s="90" t="s">
        <v>1390</v>
      </c>
      <c r="C555" s="72" t="s">
        <v>31</v>
      </c>
      <c r="D555" s="73" t="s">
        <v>470</v>
      </c>
      <c r="E555" s="74"/>
      <c r="F555" s="74">
        <v>40568</v>
      </c>
      <c r="G555" s="75" t="str">
        <f>IF(stdProdLT(Main[[#This Row],[Comments]])=0.1,"N/A",IF(stdProdLT(Main[[#This Row],[Comments]])=0,"",stdProdLT(Main[[#This Row],[Comments]])))</f>
        <v/>
      </c>
      <c r="H555" s="76" t="str">
        <f>IF(AND(Main[[#This Row],[In Stock Date]]&lt;&gt;"",Main[[#This Row],[Revised Due Date]]&lt;&gt;""),Main[[#This Row],[In Stock Date]]-Main[[#This Row],[Revised Due Date]],"")</f>
        <v/>
      </c>
      <c r="I555" s="72" t="s">
        <v>4</v>
      </c>
      <c r="J555" s="72" t="s">
        <v>51</v>
      </c>
      <c r="K555" s="72" t="s">
        <v>4</v>
      </c>
      <c r="L555" s="74"/>
      <c r="M555" s="77" t="str">
        <f>IF(Main[[#This Row],[Tech Start Date]]&lt;1/1/1990,"",IF(Main[[#This Row],[Class]]="C",WORKDAY(Main[[#This Row],[Tech Start Date]],9),IF(Main[[#This Row],[Class]]="B", WORKDAY(Main[[#This Row],[Tech Start Date]],6),IF(Main[[#This Row],[Class]]="A",WORKDAY(Main[[#This Row],[Tech Start Date]],2),""))))</f>
        <v/>
      </c>
      <c r="N555" s="77" t="str">
        <f>IF(Main[[#This Row],[Tech Start Date]]&lt;1/1/1990,"",IF(Main[[#This Row],[Class]]="C",WORKDAY(Main[[#This Row],[Tech Start Date]],19),IF(Main[[#This Row],[Class]]="B", WORKDAY(Main[[#This Row],[Tech Start Date]],12),IF(Main[[#This Row],[Class]]="A",WORKDAY(Main[[#This Row],[Tech Start Date]],4),""))))</f>
        <v/>
      </c>
      <c r="O555" s="77" t="str">
        <f>IF(Main[[#This Row],[Tech Start Date]]&lt;1/1/1990,"",IF(Main[[#This Row],[Class]]="C",WORKDAY(Main[[#This Row],[Tech Start Date]],23),IF(Main[[#This Row],[Class]]="B", WORKDAY(Main[[#This Row],[Tech Start Date]],15),IF(Main[[#This Row],[Class]]="A",WORKDAY(Main[[#This Row],[Tech Start Date]],5),""))))</f>
        <v/>
      </c>
      <c r="P555" s="77" t="str">
        <f>IF(Main[[#This Row],[Tech Start Date]]&lt;1/1/1990,"",IF(Main[[#This Row],[Class]]="C",WORKDAY(Main[[#This Row],[Tech Start Date]],28),IF(Main[[#This Row],[Class]]="B", WORKDAY(Main[[#This Row],[Tech Start Date]],19),IF(Main[[#This Row],[Class]]="A",WORKDAY(Main[[#This Row],[Tech Start Date]],9),""))))</f>
        <v/>
      </c>
      <c r="Q555" s="74">
        <v>40396</v>
      </c>
      <c r="R555" s="74"/>
      <c r="S555" s="72" t="s">
        <v>11</v>
      </c>
      <c r="T555" s="80" t="s">
        <v>4</v>
      </c>
      <c r="U555" s="72" t="s">
        <v>14</v>
      </c>
      <c r="V555" s="72" t="s">
        <v>1947</v>
      </c>
      <c r="W555" s="72" t="s">
        <v>1943</v>
      </c>
      <c r="X555" s="72" t="s">
        <v>3036</v>
      </c>
      <c r="Y555" s="72" t="s">
        <v>3195</v>
      </c>
      <c r="Z555" s="72" t="s">
        <v>897</v>
      </c>
    </row>
    <row r="556" spans="1:26" ht="18.600000000000001" customHeight="1">
      <c r="A556" s="142" t="str">
        <f>IF(priority(Main[[#This Row],[Comments]])&lt;&gt;0, priority(Main[[#This Row],[Comments]]),"")</f>
        <v/>
      </c>
      <c r="B556" s="90" t="s">
        <v>1391</v>
      </c>
      <c r="C556" s="72" t="s">
        <v>471</v>
      </c>
      <c r="D556" s="73" t="s">
        <v>472</v>
      </c>
      <c r="E556" s="74"/>
      <c r="F556" s="74">
        <v>40179</v>
      </c>
      <c r="G556" s="75" t="str">
        <f>IF(stdProdLT(Main[[#This Row],[Comments]])=0.1,"N/A",IF(stdProdLT(Main[[#This Row],[Comments]])=0,"",stdProdLT(Main[[#This Row],[Comments]])))</f>
        <v/>
      </c>
      <c r="H556" s="76" t="str">
        <f>IF(AND(Main[[#This Row],[In Stock Date]]&lt;&gt;"",Main[[#This Row],[Revised Due Date]]&lt;&gt;""),Main[[#This Row],[In Stock Date]]-Main[[#This Row],[Revised Due Date]],"")</f>
        <v/>
      </c>
      <c r="I556" s="72" t="s">
        <v>4</v>
      </c>
      <c r="J556" s="72" t="s">
        <v>4</v>
      </c>
      <c r="K556" s="72" t="s">
        <v>4</v>
      </c>
      <c r="L556" s="74"/>
      <c r="M556" s="77" t="str">
        <f>IF(Main[[#This Row],[Tech Start Date]]&lt;1/1/1990,"",IF(Main[[#This Row],[Class]]="C",WORKDAY(Main[[#This Row],[Tech Start Date]],9),IF(Main[[#This Row],[Class]]="B", WORKDAY(Main[[#This Row],[Tech Start Date]],6),IF(Main[[#This Row],[Class]]="A",WORKDAY(Main[[#This Row],[Tech Start Date]],2),""))))</f>
        <v/>
      </c>
      <c r="N556" s="77" t="str">
        <f>IF(Main[[#This Row],[Tech Start Date]]&lt;1/1/1990,"",IF(Main[[#This Row],[Class]]="C",WORKDAY(Main[[#This Row],[Tech Start Date]],19),IF(Main[[#This Row],[Class]]="B", WORKDAY(Main[[#This Row],[Tech Start Date]],12),IF(Main[[#This Row],[Class]]="A",WORKDAY(Main[[#This Row],[Tech Start Date]],4),""))))</f>
        <v/>
      </c>
      <c r="O556" s="77" t="str">
        <f>IF(Main[[#This Row],[Tech Start Date]]&lt;1/1/1990,"",IF(Main[[#This Row],[Class]]="C",WORKDAY(Main[[#This Row],[Tech Start Date]],23),IF(Main[[#This Row],[Class]]="B", WORKDAY(Main[[#This Row],[Tech Start Date]],15),IF(Main[[#This Row],[Class]]="A",WORKDAY(Main[[#This Row],[Tech Start Date]],5),""))))</f>
        <v/>
      </c>
      <c r="P556" s="77" t="str">
        <f>IF(Main[[#This Row],[Tech Start Date]]&lt;1/1/1990,"",IF(Main[[#This Row],[Class]]="C",WORKDAY(Main[[#This Row],[Tech Start Date]],28),IF(Main[[#This Row],[Class]]="B", WORKDAY(Main[[#This Row],[Tech Start Date]],19),IF(Main[[#This Row],[Class]]="A",WORKDAY(Main[[#This Row],[Tech Start Date]],9),""))))</f>
        <v/>
      </c>
      <c r="Q556" s="74">
        <v>40154</v>
      </c>
      <c r="R556" s="74"/>
      <c r="S556" s="72" t="s">
        <v>11</v>
      </c>
      <c r="T556" s="80" t="s">
        <v>4</v>
      </c>
      <c r="U556" s="72" t="s">
        <v>14</v>
      </c>
      <c r="V556" s="72" t="s">
        <v>1940</v>
      </c>
      <c r="W556" s="72" t="s">
        <v>1943</v>
      </c>
      <c r="X556" s="72" t="s">
        <v>3015</v>
      </c>
      <c r="Y556" s="72" t="s">
        <v>4</v>
      </c>
      <c r="Z556" s="72" t="s">
        <v>4</v>
      </c>
    </row>
    <row r="557" spans="1:26" ht="18.600000000000001" customHeight="1">
      <c r="A557" s="142" t="str">
        <f>IF(priority(Main[[#This Row],[Comments]])&lt;&gt;0, priority(Main[[#This Row],[Comments]]),"")</f>
        <v/>
      </c>
      <c r="B557" s="90" t="s">
        <v>1392</v>
      </c>
      <c r="C557" s="72" t="s">
        <v>4</v>
      </c>
      <c r="D557" s="73" t="s">
        <v>473</v>
      </c>
      <c r="E557" s="74">
        <v>40701.70579861111</v>
      </c>
      <c r="F557" s="74"/>
      <c r="G557" s="75" t="str">
        <f>IF(stdProdLT(Main[[#This Row],[Comments]])=0.1,"N/A",IF(stdProdLT(Main[[#This Row],[Comments]])=0,"",stdProdLT(Main[[#This Row],[Comments]])))</f>
        <v/>
      </c>
      <c r="H557" s="76" t="str">
        <f>IF(AND(Main[[#This Row],[In Stock Date]]&lt;&gt;"",Main[[#This Row],[Revised Due Date]]&lt;&gt;""),Main[[#This Row],[In Stock Date]]-Main[[#This Row],[Revised Due Date]],"")</f>
        <v/>
      </c>
      <c r="I557" s="72" t="s">
        <v>4</v>
      </c>
      <c r="J557" s="72" t="s">
        <v>4</v>
      </c>
      <c r="K557" s="72" t="s">
        <v>4</v>
      </c>
      <c r="L557" s="74"/>
      <c r="M557" s="77" t="str">
        <f>IF(Main[[#This Row],[Tech Start Date]]&lt;1/1/1990,"",IF(Main[[#This Row],[Class]]="C",WORKDAY(Main[[#This Row],[Tech Start Date]],9),IF(Main[[#This Row],[Class]]="B", WORKDAY(Main[[#This Row],[Tech Start Date]],6),IF(Main[[#This Row],[Class]]="A",WORKDAY(Main[[#This Row],[Tech Start Date]],2),""))))</f>
        <v/>
      </c>
      <c r="N557" s="77" t="str">
        <f>IF(Main[[#This Row],[Tech Start Date]]&lt;1/1/1990,"",IF(Main[[#This Row],[Class]]="C",WORKDAY(Main[[#This Row],[Tech Start Date]],19),IF(Main[[#This Row],[Class]]="B", WORKDAY(Main[[#This Row],[Tech Start Date]],12),IF(Main[[#This Row],[Class]]="A",WORKDAY(Main[[#This Row],[Tech Start Date]],4),""))))</f>
        <v/>
      </c>
      <c r="O557" s="77" t="str">
        <f>IF(Main[[#This Row],[Tech Start Date]]&lt;1/1/1990,"",IF(Main[[#This Row],[Class]]="C",WORKDAY(Main[[#This Row],[Tech Start Date]],23),IF(Main[[#This Row],[Class]]="B", WORKDAY(Main[[#This Row],[Tech Start Date]],15),IF(Main[[#This Row],[Class]]="A",WORKDAY(Main[[#This Row],[Tech Start Date]],5),""))))</f>
        <v/>
      </c>
      <c r="P557" s="77" t="str">
        <f>IF(Main[[#This Row],[Tech Start Date]]&lt;1/1/1990,"",IF(Main[[#This Row],[Class]]="C",WORKDAY(Main[[#This Row],[Tech Start Date]],28),IF(Main[[#This Row],[Class]]="B", WORKDAY(Main[[#This Row],[Tech Start Date]],19),IF(Main[[#This Row],[Class]]="A",WORKDAY(Main[[#This Row],[Tech Start Date]],9),""))))</f>
        <v/>
      </c>
      <c r="Q557" s="74">
        <v>40732</v>
      </c>
      <c r="R557" s="74"/>
      <c r="S557" s="72" t="s">
        <v>6</v>
      </c>
      <c r="T557" s="80" t="s">
        <v>4</v>
      </c>
      <c r="U557" s="72" t="s">
        <v>7</v>
      </c>
      <c r="V557" s="72" t="s">
        <v>1937</v>
      </c>
      <c r="W557" s="72" t="s">
        <v>4</v>
      </c>
      <c r="X557" s="72" t="s">
        <v>2971</v>
      </c>
      <c r="Y557" s="72" t="s">
        <v>3090</v>
      </c>
      <c r="Z557" s="72" t="s">
        <v>4</v>
      </c>
    </row>
    <row r="558" spans="1:26" ht="18.600000000000001" customHeight="1">
      <c r="A558" s="142" t="str">
        <f>IF(priority(Main[[#This Row],[Comments]])&lt;&gt;0, priority(Main[[#This Row],[Comments]]),"")</f>
        <v/>
      </c>
      <c r="B558" s="90" t="s">
        <v>1802</v>
      </c>
      <c r="C558" s="72" t="s">
        <v>4</v>
      </c>
      <c r="D558" s="73" t="s">
        <v>862</v>
      </c>
      <c r="E558" s="74">
        <v>40611.493495370371</v>
      </c>
      <c r="F558" s="74"/>
      <c r="G558" s="75" t="str">
        <f>IF(stdProdLT(Main[[#This Row],[Comments]])=0.1,"N/A",IF(stdProdLT(Main[[#This Row],[Comments]])=0,"",stdProdLT(Main[[#This Row],[Comments]])))</f>
        <v/>
      </c>
      <c r="H558" s="76" t="str">
        <f>IF(AND(Main[[#This Row],[In Stock Date]]&lt;&gt;"",Main[[#This Row],[Revised Due Date]]&lt;&gt;""),Main[[#This Row],[In Stock Date]]-Main[[#This Row],[Revised Due Date]],"")</f>
        <v/>
      </c>
      <c r="I558" s="72" t="s">
        <v>4</v>
      </c>
      <c r="J558" s="72" t="s">
        <v>4</v>
      </c>
      <c r="K558" s="72" t="s">
        <v>4</v>
      </c>
      <c r="L558" s="74"/>
      <c r="M558" s="77" t="str">
        <f>IF(Main[[#This Row],[Tech Start Date]]&lt;1/1/1990,"",IF(Main[[#This Row],[Class]]="C",WORKDAY(Main[[#This Row],[Tech Start Date]],9),IF(Main[[#This Row],[Class]]="B", WORKDAY(Main[[#This Row],[Tech Start Date]],6),IF(Main[[#This Row],[Class]]="A",WORKDAY(Main[[#This Row],[Tech Start Date]],2),""))))</f>
        <v/>
      </c>
      <c r="N558" s="77" t="str">
        <f>IF(Main[[#This Row],[Tech Start Date]]&lt;1/1/1990,"",IF(Main[[#This Row],[Class]]="C",WORKDAY(Main[[#This Row],[Tech Start Date]],19),IF(Main[[#This Row],[Class]]="B", WORKDAY(Main[[#This Row],[Tech Start Date]],12),IF(Main[[#This Row],[Class]]="A",WORKDAY(Main[[#This Row],[Tech Start Date]],4),""))))</f>
        <v/>
      </c>
      <c r="O558" s="77" t="str">
        <f>IF(Main[[#This Row],[Tech Start Date]]&lt;1/1/1990,"",IF(Main[[#This Row],[Class]]="C",WORKDAY(Main[[#This Row],[Tech Start Date]],23),IF(Main[[#This Row],[Class]]="B", WORKDAY(Main[[#This Row],[Tech Start Date]],15),IF(Main[[#This Row],[Class]]="A",WORKDAY(Main[[#This Row],[Tech Start Date]],5),""))))</f>
        <v/>
      </c>
      <c r="P558" s="77" t="str">
        <f>IF(Main[[#This Row],[Tech Start Date]]&lt;1/1/1990,"",IF(Main[[#This Row],[Class]]="C",WORKDAY(Main[[#This Row],[Tech Start Date]],28),IF(Main[[#This Row],[Class]]="B", WORKDAY(Main[[#This Row],[Tech Start Date]],19),IF(Main[[#This Row],[Class]]="A",WORKDAY(Main[[#This Row],[Tech Start Date]],9),""))))</f>
        <v/>
      </c>
      <c r="Q558" s="74">
        <v>40725</v>
      </c>
      <c r="R558" s="74"/>
      <c r="S558" s="72" t="s">
        <v>17</v>
      </c>
      <c r="T558" s="80" t="s">
        <v>4</v>
      </c>
      <c r="U558" s="72" t="s">
        <v>7</v>
      </c>
      <c r="V558" s="72" t="s">
        <v>1940</v>
      </c>
      <c r="W558" s="72" t="s">
        <v>1942</v>
      </c>
      <c r="X558" s="72" t="s">
        <v>560</v>
      </c>
      <c r="Y558" s="72" t="s">
        <v>3110</v>
      </c>
      <c r="Z558" s="72" t="s">
        <v>4</v>
      </c>
    </row>
    <row r="559" spans="1:26" ht="18.600000000000001" customHeight="1">
      <c r="A559" s="142" t="str">
        <f>IF(priority(Main[[#This Row],[Comments]])&lt;&gt;0, priority(Main[[#This Row],[Comments]]),"")</f>
        <v/>
      </c>
      <c r="B559" s="90" t="s">
        <v>1799</v>
      </c>
      <c r="C559" s="72" t="s">
        <v>4</v>
      </c>
      <c r="D559" s="73" t="s">
        <v>859</v>
      </c>
      <c r="E559" s="74"/>
      <c r="F559" s="74"/>
      <c r="G559" s="75" t="str">
        <f>IF(stdProdLT(Main[[#This Row],[Comments]])=0.1,"N/A",IF(stdProdLT(Main[[#This Row],[Comments]])=0,"",stdProdLT(Main[[#This Row],[Comments]])))</f>
        <v/>
      </c>
      <c r="H559" s="76" t="str">
        <f>IF(AND(Main[[#This Row],[In Stock Date]]&lt;&gt;"",Main[[#This Row],[Revised Due Date]]&lt;&gt;""),Main[[#This Row],[In Stock Date]]-Main[[#This Row],[Revised Due Date]],"")</f>
        <v/>
      </c>
      <c r="I559" s="72" t="s">
        <v>2071</v>
      </c>
      <c r="J559" s="72" t="s">
        <v>28</v>
      </c>
      <c r="K559" s="72" t="s">
        <v>1946</v>
      </c>
      <c r="L559" s="74"/>
      <c r="M559" s="77" t="str">
        <f>IF(Main[[#This Row],[Tech Start Date]]&lt;1/1/1990,"",IF(Main[[#This Row],[Class]]="C",WORKDAY(Main[[#This Row],[Tech Start Date]],9),IF(Main[[#This Row],[Class]]="B", WORKDAY(Main[[#This Row],[Tech Start Date]],6),IF(Main[[#This Row],[Class]]="A",WORKDAY(Main[[#This Row],[Tech Start Date]],2),""))))</f>
        <v/>
      </c>
      <c r="N559" s="77" t="str">
        <f>IF(Main[[#This Row],[Tech Start Date]]&lt;1/1/1990,"",IF(Main[[#This Row],[Class]]="C",WORKDAY(Main[[#This Row],[Tech Start Date]],19),IF(Main[[#This Row],[Class]]="B", WORKDAY(Main[[#This Row],[Tech Start Date]],12),IF(Main[[#This Row],[Class]]="A",WORKDAY(Main[[#This Row],[Tech Start Date]],4),""))))</f>
        <v/>
      </c>
      <c r="O559" s="77" t="str">
        <f>IF(Main[[#This Row],[Tech Start Date]]&lt;1/1/1990,"",IF(Main[[#This Row],[Class]]="C",WORKDAY(Main[[#This Row],[Tech Start Date]],23),IF(Main[[#This Row],[Class]]="B", WORKDAY(Main[[#This Row],[Tech Start Date]],15),IF(Main[[#This Row],[Class]]="A",WORKDAY(Main[[#This Row],[Tech Start Date]],5),""))))</f>
        <v/>
      </c>
      <c r="P559" s="77" t="str">
        <f>IF(Main[[#This Row],[Tech Start Date]]&lt;1/1/1990,"",IF(Main[[#This Row],[Class]]="C",WORKDAY(Main[[#This Row],[Tech Start Date]],28),IF(Main[[#This Row],[Class]]="B", WORKDAY(Main[[#This Row],[Tech Start Date]],19),IF(Main[[#This Row],[Class]]="A",WORKDAY(Main[[#This Row],[Tech Start Date]],9),""))))</f>
        <v/>
      </c>
      <c r="Q559" s="74">
        <v>40694</v>
      </c>
      <c r="R559" s="74"/>
      <c r="S559" s="72" t="s">
        <v>6</v>
      </c>
      <c r="T559" s="80" t="s">
        <v>4</v>
      </c>
      <c r="U559" s="72" t="s">
        <v>14</v>
      </c>
      <c r="V559" s="72" t="s">
        <v>1940</v>
      </c>
      <c r="W559" s="72" t="s">
        <v>1941</v>
      </c>
      <c r="X559" s="72" t="s">
        <v>2971</v>
      </c>
      <c r="Y559" s="72" t="s">
        <v>3090</v>
      </c>
      <c r="Z559" s="72" t="s">
        <v>30</v>
      </c>
    </row>
    <row r="560" spans="1:26" ht="18.600000000000001" customHeight="1">
      <c r="A560" s="142" t="str">
        <f>IF(priority(Main[[#This Row],[Comments]])&lt;&gt;0, priority(Main[[#This Row],[Comments]]),"")</f>
        <v/>
      </c>
      <c r="B560" s="90" t="s">
        <v>1393</v>
      </c>
      <c r="C560" s="72" t="s">
        <v>99</v>
      </c>
      <c r="D560" s="73" t="s">
        <v>100</v>
      </c>
      <c r="E560" s="74"/>
      <c r="F560" s="74"/>
      <c r="G560" s="75" t="str">
        <f>IF(stdProdLT(Main[[#This Row],[Comments]])=0.1,"N/A",IF(stdProdLT(Main[[#This Row],[Comments]])=0,"",stdProdLT(Main[[#This Row],[Comments]])))</f>
        <v/>
      </c>
      <c r="H560" s="76" t="str">
        <f>IF(AND(Main[[#This Row],[In Stock Date]]&lt;&gt;"",Main[[#This Row],[Revised Due Date]]&lt;&gt;""),Main[[#This Row],[In Stock Date]]-Main[[#This Row],[Revised Due Date]],"")</f>
        <v/>
      </c>
      <c r="I560" s="72" t="s">
        <v>4</v>
      </c>
      <c r="J560" s="72" t="s">
        <v>4</v>
      </c>
      <c r="K560" s="81" t="s">
        <v>4</v>
      </c>
      <c r="L560" s="74"/>
      <c r="M560" s="77" t="str">
        <f>IF(Main[[#This Row],[Tech Start Date]]&lt;1/1/1990,"",IF(Main[[#This Row],[Class]]="C",WORKDAY(Main[[#This Row],[Tech Start Date]],9),IF(Main[[#This Row],[Class]]="B", WORKDAY(Main[[#This Row],[Tech Start Date]],6),IF(Main[[#This Row],[Class]]="A",WORKDAY(Main[[#This Row],[Tech Start Date]],2),""))))</f>
        <v/>
      </c>
      <c r="N560" s="77" t="str">
        <f>IF(Main[[#This Row],[Tech Start Date]]&lt;1/1/1990,"",IF(Main[[#This Row],[Class]]="C",WORKDAY(Main[[#This Row],[Tech Start Date]],19),IF(Main[[#This Row],[Class]]="B", WORKDAY(Main[[#This Row],[Tech Start Date]],12),IF(Main[[#This Row],[Class]]="A",WORKDAY(Main[[#This Row],[Tech Start Date]],4),""))))</f>
        <v/>
      </c>
      <c r="O560" s="77" t="str">
        <f>IF(Main[[#This Row],[Tech Start Date]]&lt;1/1/1990,"",IF(Main[[#This Row],[Class]]="C",WORKDAY(Main[[#This Row],[Tech Start Date]],23),IF(Main[[#This Row],[Class]]="B", WORKDAY(Main[[#This Row],[Tech Start Date]],15),IF(Main[[#This Row],[Class]]="A",WORKDAY(Main[[#This Row],[Tech Start Date]],5),""))))</f>
        <v/>
      </c>
      <c r="P560" s="77" t="str">
        <f>IF(Main[[#This Row],[Tech Start Date]]&lt;1/1/1990,"",IF(Main[[#This Row],[Class]]="C",WORKDAY(Main[[#This Row],[Tech Start Date]],28),IF(Main[[#This Row],[Class]]="B", WORKDAY(Main[[#This Row],[Tech Start Date]],19),IF(Main[[#This Row],[Class]]="A",WORKDAY(Main[[#This Row],[Tech Start Date]],9),""))))</f>
        <v/>
      </c>
      <c r="Q560" s="74"/>
      <c r="R560" s="74"/>
      <c r="S560" s="72" t="s">
        <v>11</v>
      </c>
      <c r="T560" s="80" t="s">
        <v>4</v>
      </c>
      <c r="U560" s="72" t="s">
        <v>14</v>
      </c>
      <c r="V560" s="72" t="s">
        <v>1938</v>
      </c>
      <c r="W560" s="72" t="s">
        <v>1939</v>
      </c>
      <c r="X560" s="72" t="s">
        <v>2986</v>
      </c>
      <c r="Y560" s="72" t="s">
        <v>3118</v>
      </c>
      <c r="Z560" s="72" t="s">
        <v>4</v>
      </c>
    </row>
    <row r="561" spans="1:26" ht="18.600000000000001" customHeight="1">
      <c r="A561" s="142" t="str">
        <f>IF(priority(Main[[#This Row],[Comments]])&lt;&gt;0, priority(Main[[#This Row],[Comments]]),"")</f>
        <v/>
      </c>
      <c r="B561" s="90" t="s">
        <v>1394</v>
      </c>
      <c r="C561" s="72" t="s">
        <v>4</v>
      </c>
      <c r="D561" s="73" t="s">
        <v>300</v>
      </c>
      <c r="E561" s="74"/>
      <c r="F561" s="74"/>
      <c r="G561" s="75" t="str">
        <f>IF(stdProdLT(Main[[#This Row],[Comments]])=0.1,"N/A",IF(stdProdLT(Main[[#This Row],[Comments]])=0,"",stdProdLT(Main[[#This Row],[Comments]])))</f>
        <v/>
      </c>
      <c r="H561" s="76" t="str">
        <f>IF(AND(Main[[#This Row],[In Stock Date]]&lt;&gt;"",Main[[#This Row],[Revised Due Date]]&lt;&gt;""),Main[[#This Row],[In Stock Date]]-Main[[#This Row],[Revised Due Date]],"")</f>
        <v/>
      </c>
      <c r="I561" s="72" t="s">
        <v>4</v>
      </c>
      <c r="J561" s="72" t="s">
        <v>4</v>
      </c>
      <c r="K561" s="72" t="s">
        <v>4</v>
      </c>
      <c r="L561" s="74"/>
      <c r="M561" s="77" t="str">
        <f>IF(Main[[#This Row],[Tech Start Date]]&lt;1/1/1990,"",IF(Main[[#This Row],[Class]]="C",WORKDAY(Main[[#This Row],[Tech Start Date]],9),IF(Main[[#This Row],[Class]]="B", WORKDAY(Main[[#This Row],[Tech Start Date]],6),IF(Main[[#This Row],[Class]]="A",WORKDAY(Main[[#This Row],[Tech Start Date]],2),""))))</f>
        <v/>
      </c>
      <c r="N561" s="77" t="str">
        <f>IF(Main[[#This Row],[Tech Start Date]]&lt;1/1/1990,"",IF(Main[[#This Row],[Class]]="C",WORKDAY(Main[[#This Row],[Tech Start Date]],19),IF(Main[[#This Row],[Class]]="B", WORKDAY(Main[[#This Row],[Tech Start Date]],12),IF(Main[[#This Row],[Class]]="A",WORKDAY(Main[[#This Row],[Tech Start Date]],4),""))))</f>
        <v/>
      </c>
      <c r="O561" s="77" t="str">
        <f>IF(Main[[#This Row],[Tech Start Date]]&lt;1/1/1990,"",IF(Main[[#This Row],[Class]]="C",WORKDAY(Main[[#This Row],[Tech Start Date]],23),IF(Main[[#This Row],[Class]]="B", WORKDAY(Main[[#This Row],[Tech Start Date]],15),IF(Main[[#This Row],[Class]]="A",WORKDAY(Main[[#This Row],[Tech Start Date]],5),""))))</f>
        <v/>
      </c>
      <c r="P561" s="77" t="str">
        <f>IF(Main[[#This Row],[Tech Start Date]]&lt;1/1/1990,"",IF(Main[[#This Row],[Class]]="C",WORKDAY(Main[[#This Row],[Tech Start Date]],28),IF(Main[[#This Row],[Class]]="B", WORKDAY(Main[[#This Row],[Tech Start Date]],19),IF(Main[[#This Row],[Class]]="A",WORKDAY(Main[[#This Row],[Tech Start Date]],9),""))))</f>
        <v/>
      </c>
      <c r="Q561" s="74">
        <v>40471</v>
      </c>
      <c r="R561" s="74"/>
      <c r="S561" s="72" t="s">
        <v>301</v>
      </c>
      <c r="T561" s="80" t="s">
        <v>4</v>
      </c>
      <c r="U561" s="72" t="s">
        <v>14</v>
      </c>
      <c r="V561" s="72" t="s">
        <v>1947</v>
      </c>
      <c r="W561" s="72" t="s">
        <v>1939</v>
      </c>
      <c r="X561" s="72" t="s">
        <v>2999</v>
      </c>
      <c r="Y561" s="72" t="s">
        <v>3136</v>
      </c>
      <c r="Z561" s="72" t="s">
        <v>4</v>
      </c>
    </row>
    <row r="562" spans="1:26" ht="18.600000000000001" customHeight="1">
      <c r="A562" s="142" t="str">
        <f>IF(priority(Main[[#This Row],[Comments]])&lt;&gt;0, priority(Main[[#This Row],[Comments]]),"")</f>
        <v/>
      </c>
      <c r="B562" s="90" t="s">
        <v>1395</v>
      </c>
      <c r="C562" s="72" t="s">
        <v>4</v>
      </c>
      <c r="D562" s="73" t="s">
        <v>474</v>
      </c>
      <c r="E562" s="74">
        <v>40422.514918981484</v>
      </c>
      <c r="F562" s="74"/>
      <c r="G562" s="75" t="str">
        <f>IF(stdProdLT(Main[[#This Row],[Comments]])=0.1,"N/A",IF(stdProdLT(Main[[#This Row],[Comments]])=0,"",stdProdLT(Main[[#This Row],[Comments]])))</f>
        <v/>
      </c>
      <c r="H562" s="76" t="str">
        <f>IF(AND(Main[[#This Row],[In Stock Date]]&lt;&gt;"",Main[[#This Row],[Revised Due Date]]&lt;&gt;""),Main[[#This Row],[In Stock Date]]-Main[[#This Row],[Revised Due Date]],"")</f>
        <v/>
      </c>
      <c r="I562" s="72" t="s">
        <v>4</v>
      </c>
      <c r="J562" s="72" t="s">
        <v>28</v>
      </c>
      <c r="K562" s="72" t="s">
        <v>4</v>
      </c>
      <c r="L562" s="74"/>
      <c r="M562" s="77" t="str">
        <f>IF(Main[[#This Row],[Tech Start Date]]&lt;1/1/1990,"",IF(Main[[#This Row],[Class]]="C",WORKDAY(Main[[#This Row],[Tech Start Date]],9),IF(Main[[#This Row],[Class]]="B", WORKDAY(Main[[#This Row],[Tech Start Date]],6),IF(Main[[#This Row],[Class]]="A",WORKDAY(Main[[#This Row],[Tech Start Date]],2),""))))</f>
        <v/>
      </c>
      <c r="N562" s="77" t="str">
        <f>IF(Main[[#This Row],[Tech Start Date]]&lt;1/1/1990,"",IF(Main[[#This Row],[Class]]="C",WORKDAY(Main[[#This Row],[Tech Start Date]],19),IF(Main[[#This Row],[Class]]="B", WORKDAY(Main[[#This Row],[Tech Start Date]],12),IF(Main[[#This Row],[Class]]="A",WORKDAY(Main[[#This Row],[Tech Start Date]],4),""))))</f>
        <v/>
      </c>
      <c r="O562" s="77" t="str">
        <f>IF(Main[[#This Row],[Tech Start Date]]&lt;1/1/1990,"",IF(Main[[#This Row],[Class]]="C",WORKDAY(Main[[#This Row],[Tech Start Date]],23),IF(Main[[#This Row],[Class]]="B", WORKDAY(Main[[#This Row],[Tech Start Date]],15),IF(Main[[#This Row],[Class]]="A",WORKDAY(Main[[#This Row],[Tech Start Date]],5),""))))</f>
        <v/>
      </c>
      <c r="P562" s="77" t="str">
        <f>IF(Main[[#This Row],[Tech Start Date]]&lt;1/1/1990,"",IF(Main[[#This Row],[Class]]="C",WORKDAY(Main[[#This Row],[Tech Start Date]],28),IF(Main[[#This Row],[Class]]="B", WORKDAY(Main[[#This Row],[Tech Start Date]],19),IF(Main[[#This Row],[Class]]="A",WORKDAY(Main[[#This Row],[Tech Start Date]],9),""))))</f>
        <v/>
      </c>
      <c r="Q562" s="74">
        <v>40455</v>
      </c>
      <c r="R562" s="74"/>
      <c r="S562" s="72" t="s">
        <v>6</v>
      </c>
      <c r="T562" s="80" t="s">
        <v>4</v>
      </c>
      <c r="U562" s="72" t="s">
        <v>7</v>
      </c>
      <c r="V562" s="72" t="s">
        <v>1937</v>
      </c>
      <c r="W562" s="72" t="s">
        <v>1941</v>
      </c>
      <c r="X562" s="72" t="s">
        <v>2970</v>
      </c>
      <c r="Y562" s="72" t="s">
        <v>3087</v>
      </c>
      <c r="Z562" s="72" t="s">
        <v>129</v>
      </c>
    </row>
    <row r="563" spans="1:26" ht="18.600000000000001" customHeight="1">
      <c r="A563" s="142" t="str">
        <f>IF(priority(Main[[#This Row],[Comments]])&lt;&gt;0, priority(Main[[#This Row],[Comments]]),"")</f>
        <v/>
      </c>
      <c r="B563" s="90" t="s">
        <v>1396</v>
      </c>
      <c r="C563" s="72" t="s">
        <v>138</v>
      </c>
      <c r="D563" s="73" t="s">
        <v>137</v>
      </c>
      <c r="E563" s="74"/>
      <c r="F563" s="74">
        <v>40787</v>
      </c>
      <c r="G563" s="75" t="str">
        <f>IF(stdProdLT(Main[[#This Row],[Comments]])=0.1,"N/A",IF(stdProdLT(Main[[#This Row],[Comments]])=0,"",stdProdLT(Main[[#This Row],[Comments]])))</f>
        <v/>
      </c>
      <c r="H563" s="76" t="str">
        <f>IF(AND(Main[[#This Row],[In Stock Date]]&lt;&gt;"",Main[[#This Row],[Revised Due Date]]&lt;&gt;""),Main[[#This Row],[In Stock Date]]-Main[[#This Row],[Revised Due Date]],"")</f>
        <v/>
      </c>
      <c r="I563" s="72" t="s">
        <v>4</v>
      </c>
      <c r="J563" s="72" t="s">
        <v>4</v>
      </c>
      <c r="K563" s="72" t="s">
        <v>4</v>
      </c>
      <c r="L563" s="74"/>
      <c r="M563" s="77" t="str">
        <f>IF(Main[[#This Row],[Tech Start Date]]&lt;1/1/1990,"",IF(Main[[#This Row],[Class]]="C",WORKDAY(Main[[#This Row],[Tech Start Date]],9),IF(Main[[#This Row],[Class]]="B", WORKDAY(Main[[#This Row],[Tech Start Date]],6),IF(Main[[#This Row],[Class]]="A",WORKDAY(Main[[#This Row],[Tech Start Date]],2),""))))</f>
        <v/>
      </c>
      <c r="N563" s="77" t="str">
        <f>IF(Main[[#This Row],[Tech Start Date]]&lt;1/1/1990,"",IF(Main[[#This Row],[Class]]="C",WORKDAY(Main[[#This Row],[Tech Start Date]],19),IF(Main[[#This Row],[Class]]="B", WORKDAY(Main[[#This Row],[Tech Start Date]],12),IF(Main[[#This Row],[Class]]="A",WORKDAY(Main[[#This Row],[Tech Start Date]],4),""))))</f>
        <v/>
      </c>
      <c r="O563" s="77" t="str">
        <f>IF(Main[[#This Row],[Tech Start Date]]&lt;1/1/1990,"",IF(Main[[#This Row],[Class]]="C",WORKDAY(Main[[#This Row],[Tech Start Date]],23),IF(Main[[#This Row],[Class]]="B", WORKDAY(Main[[#This Row],[Tech Start Date]],15),IF(Main[[#This Row],[Class]]="A",WORKDAY(Main[[#This Row],[Tech Start Date]],5),""))))</f>
        <v/>
      </c>
      <c r="P563" s="77" t="str">
        <f>IF(Main[[#This Row],[Tech Start Date]]&lt;1/1/1990,"",IF(Main[[#This Row],[Class]]="C",WORKDAY(Main[[#This Row],[Tech Start Date]],28),IF(Main[[#This Row],[Class]]="B", WORKDAY(Main[[#This Row],[Tech Start Date]],19),IF(Main[[#This Row],[Class]]="A",WORKDAY(Main[[#This Row],[Tech Start Date]],9),""))))</f>
        <v/>
      </c>
      <c r="Q563" s="74"/>
      <c r="R563" s="74"/>
      <c r="S563" s="72" t="s">
        <v>11</v>
      </c>
      <c r="T563" s="80" t="s">
        <v>4</v>
      </c>
      <c r="U563" s="72" t="s">
        <v>14</v>
      </c>
      <c r="V563" s="72" t="s">
        <v>1937</v>
      </c>
      <c r="W563" s="72" t="s">
        <v>1943</v>
      </c>
      <c r="X563" s="72" t="s">
        <v>50</v>
      </c>
      <c r="Y563" s="72" t="s">
        <v>3196</v>
      </c>
      <c r="Z563" s="72" t="s">
        <v>4</v>
      </c>
    </row>
    <row r="564" spans="1:26" ht="18.600000000000001" customHeight="1">
      <c r="A564" s="142" t="str">
        <f>IF(priority(Main[[#This Row],[Comments]])&lt;&gt;0, priority(Main[[#This Row],[Comments]]),"")</f>
        <v/>
      </c>
      <c r="B564" s="90" t="s">
        <v>1397</v>
      </c>
      <c r="C564" s="72" t="s">
        <v>4</v>
      </c>
      <c r="D564" s="73" t="s">
        <v>475</v>
      </c>
      <c r="E564" s="74">
        <v>40704.209918981483</v>
      </c>
      <c r="F564" s="74"/>
      <c r="G564" s="75" t="str">
        <f>IF(stdProdLT(Main[[#This Row],[Comments]])=0.1,"N/A",IF(stdProdLT(Main[[#This Row],[Comments]])=0,"",stdProdLT(Main[[#This Row],[Comments]])))</f>
        <v/>
      </c>
      <c r="H564" s="76" t="str">
        <f>IF(AND(Main[[#This Row],[In Stock Date]]&lt;&gt;"",Main[[#This Row],[Revised Due Date]]&lt;&gt;""),Main[[#This Row],[In Stock Date]]-Main[[#This Row],[Revised Due Date]],"")</f>
        <v/>
      </c>
      <c r="I564" s="72" t="s">
        <v>4</v>
      </c>
      <c r="J564" s="72" t="s">
        <v>4</v>
      </c>
      <c r="K564" s="72" t="s">
        <v>4</v>
      </c>
      <c r="L564" s="74"/>
      <c r="M564" s="77" t="str">
        <f>IF(Main[[#This Row],[Tech Start Date]]&lt;1/1/1990,"",IF(Main[[#This Row],[Class]]="C",WORKDAY(Main[[#This Row],[Tech Start Date]],9),IF(Main[[#This Row],[Class]]="B", WORKDAY(Main[[#This Row],[Tech Start Date]],6),IF(Main[[#This Row],[Class]]="A",WORKDAY(Main[[#This Row],[Tech Start Date]],2),""))))</f>
        <v/>
      </c>
      <c r="N564" s="77" t="str">
        <f>IF(Main[[#This Row],[Tech Start Date]]&lt;1/1/1990,"",IF(Main[[#This Row],[Class]]="C",WORKDAY(Main[[#This Row],[Tech Start Date]],19),IF(Main[[#This Row],[Class]]="B", WORKDAY(Main[[#This Row],[Tech Start Date]],12),IF(Main[[#This Row],[Class]]="A",WORKDAY(Main[[#This Row],[Tech Start Date]],4),""))))</f>
        <v/>
      </c>
      <c r="O564" s="77" t="str">
        <f>IF(Main[[#This Row],[Tech Start Date]]&lt;1/1/1990,"",IF(Main[[#This Row],[Class]]="C",WORKDAY(Main[[#This Row],[Tech Start Date]],23),IF(Main[[#This Row],[Class]]="B", WORKDAY(Main[[#This Row],[Tech Start Date]],15),IF(Main[[#This Row],[Class]]="A",WORKDAY(Main[[#This Row],[Tech Start Date]],5),""))))</f>
        <v/>
      </c>
      <c r="P564" s="77" t="str">
        <f>IF(Main[[#This Row],[Tech Start Date]]&lt;1/1/1990,"",IF(Main[[#This Row],[Class]]="C",WORKDAY(Main[[#This Row],[Tech Start Date]],28),IF(Main[[#This Row],[Class]]="B", WORKDAY(Main[[#This Row],[Tech Start Date]],19),IF(Main[[#This Row],[Class]]="A",WORKDAY(Main[[#This Row],[Tech Start Date]],9),""))))</f>
        <v/>
      </c>
      <c r="Q564" s="74">
        <v>40725</v>
      </c>
      <c r="R564" s="74"/>
      <c r="S564" s="72" t="s">
        <v>6</v>
      </c>
      <c r="T564" s="80" t="s">
        <v>4</v>
      </c>
      <c r="U564" s="72" t="s">
        <v>7</v>
      </c>
      <c r="V564" s="72" t="s">
        <v>1937</v>
      </c>
      <c r="W564" s="72" t="s">
        <v>4</v>
      </c>
      <c r="X564" s="72" t="s">
        <v>3003</v>
      </c>
      <c r="Y564" s="72" t="s">
        <v>3144</v>
      </c>
      <c r="Z564" s="72" t="s">
        <v>4</v>
      </c>
    </row>
    <row r="565" spans="1:26" ht="18.600000000000001" customHeight="1">
      <c r="A565" s="142" t="str">
        <f>IF(priority(Main[[#This Row],[Comments]])&lt;&gt;0, priority(Main[[#This Row],[Comments]]),"")</f>
        <v/>
      </c>
      <c r="B565" s="90" t="s">
        <v>1398</v>
      </c>
      <c r="C565" s="72" t="s">
        <v>31</v>
      </c>
      <c r="D565" s="73" t="s">
        <v>476</v>
      </c>
      <c r="E565" s="74"/>
      <c r="F565" s="74">
        <v>40230</v>
      </c>
      <c r="G565" s="75" t="str">
        <f>IF(stdProdLT(Main[[#This Row],[Comments]])=0.1,"N/A",IF(stdProdLT(Main[[#This Row],[Comments]])=0,"",stdProdLT(Main[[#This Row],[Comments]])))</f>
        <v/>
      </c>
      <c r="H565" s="76" t="str">
        <f>IF(AND(Main[[#This Row],[In Stock Date]]&lt;&gt;"",Main[[#This Row],[Revised Due Date]]&lt;&gt;""),Main[[#This Row],[In Stock Date]]-Main[[#This Row],[Revised Due Date]],"")</f>
        <v/>
      </c>
      <c r="I565" s="72" t="s">
        <v>4</v>
      </c>
      <c r="J565" s="72" t="s">
        <v>4</v>
      </c>
      <c r="K565" s="72" t="s">
        <v>4</v>
      </c>
      <c r="L565" s="74"/>
      <c r="M565" s="77" t="str">
        <f>IF(Main[[#This Row],[Tech Start Date]]&lt;1/1/1990,"",IF(Main[[#This Row],[Class]]="C",WORKDAY(Main[[#This Row],[Tech Start Date]],9),IF(Main[[#This Row],[Class]]="B", WORKDAY(Main[[#This Row],[Tech Start Date]],6),IF(Main[[#This Row],[Class]]="A",WORKDAY(Main[[#This Row],[Tech Start Date]],2),""))))</f>
        <v/>
      </c>
      <c r="N565" s="77" t="str">
        <f>IF(Main[[#This Row],[Tech Start Date]]&lt;1/1/1990,"",IF(Main[[#This Row],[Class]]="C",WORKDAY(Main[[#This Row],[Tech Start Date]],19),IF(Main[[#This Row],[Class]]="B", WORKDAY(Main[[#This Row],[Tech Start Date]],12),IF(Main[[#This Row],[Class]]="A",WORKDAY(Main[[#This Row],[Tech Start Date]],4),""))))</f>
        <v/>
      </c>
      <c r="O565" s="77" t="str">
        <f>IF(Main[[#This Row],[Tech Start Date]]&lt;1/1/1990,"",IF(Main[[#This Row],[Class]]="C",WORKDAY(Main[[#This Row],[Tech Start Date]],23),IF(Main[[#This Row],[Class]]="B", WORKDAY(Main[[#This Row],[Tech Start Date]],15),IF(Main[[#This Row],[Class]]="A",WORKDAY(Main[[#This Row],[Tech Start Date]],5),""))))</f>
        <v/>
      </c>
      <c r="P565" s="77" t="str">
        <f>IF(Main[[#This Row],[Tech Start Date]]&lt;1/1/1990,"",IF(Main[[#This Row],[Class]]="C",WORKDAY(Main[[#This Row],[Tech Start Date]],28),IF(Main[[#This Row],[Class]]="B", WORKDAY(Main[[#This Row],[Tech Start Date]],19),IF(Main[[#This Row],[Class]]="A",WORKDAY(Main[[#This Row],[Tech Start Date]],9),""))))</f>
        <v/>
      </c>
      <c r="Q565" s="74">
        <v>40235</v>
      </c>
      <c r="R565" s="74"/>
      <c r="S565" s="72" t="s">
        <v>11</v>
      </c>
      <c r="T565" s="80" t="s">
        <v>4</v>
      </c>
      <c r="U565" s="72" t="s">
        <v>14</v>
      </c>
      <c r="V565" s="72" t="s">
        <v>1938</v>
      </c>
      <c r="W565" s="72" t="s">
        <v>1945</v>
      </c>
      <c r="X565" s="72" t="s">
        <v>2987</v>
      </c>
      <c r="Y565" s="72" t="s">
        <v>4</v>
      </c>
      <c r="Z565" s="72" t="s">
        <v>4</v>
      </c>
    </row>
    <row r="566" spans="1:26" ht="18.600000000000001" customHeight="1">
      <c r="A566" s="142" t="str">
        <f>IF(priority(Main[[#This Row],[Comments]])&lt;&gt;0, priority(Main[[#This Row],[Comments]]),"")</f>
        <v/>
      </c>
      <c r="B566" s="90" t="s">
        <v>1400</v>
      </c>
      <c r="C566" s="72" t="s">
        <v>477</v>
      </c>
      <c r="D566" s="73" t="s">
        <v>478</v>
      </c>
      <c r="E566" s="74"/>
      <c r="F566" s="74">
        <v>40450</v>
      </c>
      <c r="G566" s="75" t="str">
        <f>IF(stdProdLT(Main[[#This Row],[Comments]])=0.1,"N/A",IF(stdProdLT(Main[[#This Row],[Comments]])=0,"",stdProdLT(Main[[#This Row],[Comments]])))</f>
        <v/>
      </c>
      <c r="H566" s="76" t="str">
        <f>IF(AND(Main[[#This Row],[In Stock Date]]&lt;&gt;"",Main[[#This Row],[Revised Due Date]]&lt;&gt;""),Main[[#This Row],[In Stock Date]]-Main[[#This Row],[Revised Due Date]],"")</f>
        <v/>
      </c>
      <c r="I566" s="72" t="s">
        <v>4</v>
      </c>
      <c r="J566" s="72" t="s">
        <v>4</v>
      </c>
      <c r="K566" s="72" t="s">
        <v>4</v>
      </c>
      <c r="L566" s="74"/>
      <c r="M566" s="77" t="str">
        <f>IF(Main[[#This Row],[Tech Start Date]]&lt;1/1/1990,"",IF(Main[[#This Row],[Class]]="C",WORKDAY(Main[[#This Row],[Tech Start Date]],9),IF(Main[[#This Row],[Class]]="B", WORKDAY(Main[[#This Row],[Tech Start Date]],6),IF(Main[[#This Row],[Class]]="A",WORKDAY(Main[[#This Row],[Tech Start Date]],2),""))))</f>
        <v/>
      </c>
      <c r="N566" s="77" t="str">
        <f>IF(Main[[#This Row],[Tech Start Date]]&lt;1/1/1990,"",IF(Main[[#This Row],[Class]]="C",WORKDAY(Main[[#This Row],[Tech Start Date]],19),IF(Main[[#This Row],[Class]]="B", WORKDAY(Main[[#This Row],[Tech Start Date]],12),IF(Main[[#This Row],[Class]]="A",WORKDAY(Main[[#This Row],[Tech Start Date]],4),""))))</f>
        <v/>
      </c>
      <c r="O566" s="77" t="str">
        <f>IF(Main[[#This Row],[Tech Start Date]]&lt;1/1/1990,"",IF(Main[[#This Row],[Class]]="C",WORKDAY(Main[[#This Row],[Tech Start Date]],23),IF(Main[[#This Row],[Class]]="B", WORKDAY(Main[[#This Row],[Tech Start Date]],15),IF(Main[[#This Row],[Class]]="A",WORKDAY(Main[[#This Row],[Tech Start Date]],5),""))))</f>
        <v/>
      </c>
      <c r="P566" s="77" t="str">
        <f>IF(Main[[#This Row],[Tech Start Date]]&lt;1/1/1990,"",IF(Main[[#This Row],[Class]]="C",WORKDAY(Main[[#This Row],[Tech Start Date]],28),IF(Main[[#This Row],[Class]]="B", WORKDAY(Main[[#This Row],[Tech Start Date]],19),IF(Main[[#This Row],[Class]]="A",WORKDAY(Main[[#This Row],[Tech Start Date]],9),""))))</f>
        <v/>
      </c>
      <c r="Q566" s="74">
        <v>40421</v>
      </c>
      <c r="R566" s="74"/>
      <c r="S566" s="72" t="s">
        <v>11</v>
      </c>
      <c r="T566" s="80" t="s">
        <v>4</v>
      </c>
      <c r="U566" s="72" t="s">
        <v>14</v>
      </c>
      <c r="V566" s="72" t="s">
        <v>1940</v>
      </c>
      <c r="W566" s="72" t="s">
        <v>1942</v>
      </c>
      <c r="X566" s="72" t="s">
        <v>3008</v>
      </c>
      <c r="Y566" s="72" t="s">
        <v>3155</v>
      </c>
      <c r="Z566" s="72" t="s">
        <v>4</v>
      </c>
    </row>
    <row r="567" spans="1:26" ht="18.600000000000001" customHeight="1">
      <c r="A567" s="142" t="str">
        <f>IF(priority(Main[[#This Row],[Comments]])&lt;&gt;0, priority(Main[[#This Row],[Comments]]),"")</f>
        <v/>
      </c>
      <c r="B567" s="90" t="s">
        <v>1402</v>
      </c>
      <c r="C567" s="72" t="s">
        <v>31</v>
      </c>
      <c r="D567" s="73" t="s">
        <v>479</v>
      </c>
      <c r="E567" s="74"/>
      <c r="F567" s="74"/>
      <c r="G567" s="75" t="str">
        <f>IF(stdProdLT(Main[[#This Row],[Comments]])=0.1,"N/A",IF(stdProdLT(Main[[#This Row],[Comments]])=0,"",stdProdLT(Main[[#This Row],[Comments]])))</f>
        <v/>
      </c>
      <c r="H567" s="76" t="str">
        <f>IF(AND(Main[[#This Row],[In Stock Date]]&lt;&gt;"",Main[[#This Row],[Revised Due Date]]&lt;&gt;""),Main[[#This Row],[In Stock Date]]-Main[[#This Row],[Revised Due Date]],"")</f>
        <v/>
      </c>
      <c r="I567" s="72" t="s">
        <v>4</v>
      </c>
      <c r="J567" s="72" t="s">
        <v>4</v>
      </c>
      <c r="K567" s="72" t="s">
        <v>4</v>
      </c>
      <c r="L567" s="74"/>
      <c r="M567" s="77" t="str">
        <f>IF(Main[[#This Row],[Tech Start Date]]&lt;1/1/1990,"",IF(Main[[#This Row],[Class]]="C",WORKDAY(Main[[#This Row],[Tech Start Date]],9),IF(Main[[#This Row],[Class]]="B", WORKDAY(Main[[#This Row],[Tech Start Date]],6),IF(Main[[#This Row],[Class]]="A",WORKDAY(Main[[#This Row],[Tech Start Date]],2),""))))</f>
        <v/>
      </c>
      <c r="N567" s="77" t="str">
        <f>IF(Main[[#This Row],[Tech Start Date]]&lt;1/1/1990,"",IF(Main[[#This Row],[Class]]="C",WORKDAY(Main[[#This Row],[Tech Start Date]],19),IF(Main[[#This Row],[Class]]="B", WORKDAY(Main[[#This Row],[Tech Start Date]],12),IF(Main[[#This Row],[Class]]="A",WORKDAY(Main[[#This Row],[Tech Start Date]],4),""))))</f>
        <v/>
      </c>
      <c r="O567" s="77" t="str">
        <f>IF(Main[[#This Row],[Tech Start Date]]&lt;1/1/1990,"",IF(Main[[#This Row],[Class]]="C",WORKDAY(Main[[#This Row],[Tech Start Date]],23),IF(Main[[#This Row],[Class]]="B", WORKDAY(Main[[#This Row],[Tech Start Date]],15),IF(Main[[#This Row],[Class]]="A",WORKDAY(Main[[#This Row],[Tech Start Date]],5),""))))</f>
        <v/>
      </c>
      <c r="P567" s="77" t="str">
        <f>IF(Main[[#This Row],[Tech Start Date]]&lt;1/1/1990,"",IF(Main[[#This Row],[Class]]="C",WORKDAY(Main[[#This Row],[Tech Start Date]],28),IF(Main[[#This Row],[Class]]="B", WORKDAY(Main[[#This Row],[Tech Start Date]],19),IF(Main[[#This Row],[Class]]="A",WORKDAY(Main[[#This Row],[Tech Start Date]],9),""))))</f>
        <v/>
      </c>
      <c r="Q567" s="74">
        <v>40318</v>
      </c>
      <c r="R567" s="74"/>
      <c r="S567" s="72" t="s">
        <v>11</v>
      </c>
      <c r="T567" s="80" t="s">
        <v>4</v>
      </c>
      <c r="U567" s="72" t="s">
        <v>14</v>
      </c>
      <c r="V567" s="72" t="s">
        <v>1940</v>
      </c>
      <c r="W567" s="72" t="s">
        <v>1939</v>
      </c>
      <c r="X567" s="72" t="s">
        <v>2982</v>
      </c>
      <c r="Y567" s="72" t="s">
        <v>4</v>
      </c>
      <c r="Z567" s="72" t="s">
        <v>4</v>
      </c>
    </row>
    <row r="568" spans="1:26" ht="18.600000000000001" customHeight="1">
      <c r="A568" s="142" t="str">
        <f>IF(priority(Main[[#This Row],[Comments]])&lt;&gt;0, priority(Main[[#This Row],[Comments]]),"")</f>
        <v/>
      </c>
      <c r="B568" s="90" t="s">
        <v>1404</v>
      </c>
      <c r="C568" s="72" t="s">
        <v>4</v>
      </c>
      <c r="D568" s="73" t="s">
        <v>480</v>
      </c>
      <c r="E568" s="74">
        <v>40679.254976851851</v>
      </c>
      <c r="F568" s="74"/>
      <c r="G568" s="75" t="str">
        <f>IF(stdProdLT(Main[[#This Row],[Comments]])=0.1,"N/A",IF(stdProdLT(Main[[#This Row],[Comments]])=0,"",stdProdLT(Main[[#This Row],[Comments]])))</f>
        <v/>
      </c>
      <c r="H568" s="76" t="str">
        <f>IF(AND(Main[[#This Row],[In Stock Date]]&lt;&gt;"",Main[[#This Row],[Revised Due Date]]&lt;&gt;""),Main[[#This Row],[In Stock Date]]-Main[[#This Row],[Revised Due Date]],"")</f>
        <v/>
      </c>
      <c r="I568" s="72" t="s">
        <v>4</v>
      </c>
      <c r="J568" s="72" t="s">
        <v>4</v>
      </c>
      <c r="K568" s="72" t="s">
        <v>4</v>
      </c>
      <c r="L568" s="74"/>
      <c r="M568" s="77" t="str">
        <f>IF(Main[[#This Row],[Tech Start Date]]&lt;1/1/1990,"",IF(Main[[#This Row],[Class]]="C",WORKDAY(Main[[#This Row],[Tech Start Date]],9),IF(Main[[#This Row],[Class]]="B", WORKDAY(Main[[#This Row],[Tech Start Date]],6),IF(Main[[#This Row],[Class]]="A",WORKDAY(Main[[#This Row],[Tech Start Date]],2),""))))</f>
        <v/>
      </c>
      <c r="N568" s="77" t="str">
        <f>IF(Main[[#This Row],[Tech Start Date]]&lt;1/1/1990,"",IF(Main[[#This Row],[Class]]="C",WORKDAY(Main[[#This Row],[Tech Start Date]],19),IF(Main[[#This Row],[Class]]="B", WORKDAY(Main[[#This Row],[Tech Start Date]],12),IF(Main[[#This Row],[Class]]="A",WORKDAY(Main[[#This Row],[Tech Start Date]],4),""))))</f>
        <v/>
      </c>
      <c r="O568" s="77" t="str">
        <f>IF(Main[[#This Row],[Tech Start Date]]&lt;1/1/1990,"",IF(Main[[#This Row],[Class]]="C",WORKDAY(Main[[#This Row],[Tech Start Date]],23),IF(Main[[#This Row],[Class]]="B", WORKDAY(Main[[#This Row],[Tech Start Date]],15),IF(Main[[#This Row],[Class]]="A",WORKDAY(Main[[#This Row],[Tech Start Date]],5),""))))</f>
        <v/>
      </c>
      <c r="P568" s="77" t="str">
        <f>IF(Main[[#This Row],[Tech Start Date]]&lt;1/1/1990,"",IF(Main[[#This Row],[Class]]="C",WORKDAY(Main[[#This Row],[Tech Start Date]],28),IF(Main[[#This Row],[Class]]="B", WORKDAY(Main[[#This Row],[Tech Start Date]],19),IF(Main[[#This Row],[Class]]="A",WORKDAY(Main[[#This Row],[Tech Start Date]],9),""))))</f>
        <v/>
      </c>
      <c r="Q568" s="74">
        <v>40724</v>
      </c>
      <c r="R568" s="74"/>
      <c r="S568" s="72" t="s">
        <v>6</v>
      </c>
      <c r="T568" s="80" t="s">
        <v>4</v>
      </c>
      <c r="U568" s="72" t="s">
        <v>7</v>
      </c>
      <c r="V568" s="72" t="s">
        <v>1937</v>
      </c>
      <c r="W568" s="72" t="s">
        <v>4</v>
      </c>
      <c r="X568" s="72" t="s">
        <v>2974</v>
      </c>
      <c r="Y568" s="72" t="s">
        <v>3096</v>
      </c>
      <c r="Z568" s="72" t="s">
        <v>4</v>
      </c>
    </row>
    <row r="569" spans="1:26" ht="18.600000000000001" customHeight="1">
      <c r="A569" s="142" t="str">
        <f>IF(priority(Main[[#This Row],[Comments]])&lt;&gt;0, priority(Main[[#This Row],[Comments]]),"")</f>
        <v/>
      </c>
      <c r="B569" s="90" t="s">
        <v>1405</v>
      </c>
      <c r="C569" s="72" t="s">
        <v>4</v>
      </c>
      <c r="D569" s="73" t="s">
        <v>481</v>
      </c>
      <c r="E569" s="74"/>
      <c r="F569" s="74"/>
      <c r="G569" s="75" t="str">
        <f>IF(stdProdLT(Main[[#This Row],[Comments]])=0.1,"N/A",IF(stdProdLT(Main[[#This Row],[Comments]])=0,"",stdProdLT(Main[[#This Row],[Comments]])))</f>
        <v/>
      </c>
      <c r="H569" s="76" t="str">
        <f>IF(AND(Main[[#This Row],[In Stock Date]]&lt;&gt;"",Main[[#This Row],[Revised Due Date]]&lt;&gt;""),Main[[#This Row],[In Stock Date]]-Main[[#This Row],[Revised Due Date]],"")</f>
        <v/>
      </c>
      <c r="I569" s="72" t="s">
        <v>129</v>
      </c>
      <c r="J569" s="72" t="s">
        <v>4</v>
      </c>
      <c r="K569" s="81" t="s">
        <v>4</v>
      </c>
      <c r="L569" s="74"/>
      <c r="M569" s="77" t="str">
        <f>IF(Main[[#This Row],[Tech Start Date]]&lt;1/1/1990,"",IF(Main[[#This Row],[Class]]="C",WORKDAY(Main[[#This Row],[Tech Start Date]],9),IF(Main[[#This Row],[Class]]="B", WORKDAY(Main[[#This Row],[Tech Start Date]],6),IF(Main[[#This Row],[Class]]="A",WORKDAY(Main[[#This Row],[Tech Start Date]],2),""))))</f>
        <v/>
      </c>
      <c r="N569" s="77" t="str">
        <f>IF(Main[[#This Row],[Tech Start Date]]&lt;1/1/1990,"",IF(Main[[#This Row],[Class]]="C",WORKDAY(Main[[#This Row],[Tech Start Date]],19),IF(Main[[#This Row],[Class]]="B", WORKDAY(Main[[#This Row],[Tech Start Date]],12),IF(Main[[#This Row],[Class]]="A",WORKDAY(Main[[#This Row],[Tech Start Date]],4),""))))</f>
        <v/>
      </c>
      <c r="O569" s="77" t="str">
        <f>IF(Main[[#This Row],[Tech Start Date]]&lt;1/1/1990,"",IF(Main[[#This Row],[Class]]="C",WORKDAY(Main[[#This Row],[Tech Start Date]],23),IF(Main[[#This Row],[Class]]="B", WORKDAY(Main[[#This Row],[Tech Start Date]],15),IF(Main[[#This Row],[Class]]="A",WORKDAY(Main[[#This Row],[Tech Start Date]],5),""))))</f>
        <v/>
      </c>
      <c r="P569" s="77" t="str">
        <f>IF(Main[[#This Row],[Tech Start Date]]&lt;1/1/1990,"",IF(Main[[#This Row],[Class]]="C",WORKDAY(Main[[#This Row],[Tech Start Date]],28),IF(Main[[#This Row],[Class]]="B", WORKDAY(Main[[#This Row],[Tech Start Date]],19),IF(Main[[#This Row],[Class]]="A",WORKDAY(Main[[#This Row],[Tech Start Date]],9),""))))</f>
        <v/>
      </c>
      <c r="Q569" s="74">
        <v>40359</v>
      </c>
      <c r="R569" s="74"/>
      <c r="S569" s="72" t="s">
        <v>6</v>
      </c>
      <c r="T569" s="80" t="s">
        <v>4</v>
      </c>
      <c r="U569" s="72" t="s">
        <v>14</v>
      </c>
      <c r="V569" s="72" t="s">
        <v>1937</v>
      </c>
      <c r="W569" s="72" t="s">
        <v>1942</v>
      </c>
      <c r="X569" s="72" t="s">
        <v>102</v>
      </c>
      <c r="Y569" s="72" t="s">
        <v>3197</v>
      </c>
      <c r="Z569" s="72" t="s">
        <v>4</v>
      </c>
    </row>
    <row r="570" spans="1:26" ht="18.600000000000001" customHeight="1">
      <c r="A570" s="142" t="str">
        <f>IF(priority(Main[[#This Row],[Comments]])&lt;&gt;0, priority(Main[[#This Row],[Comments]]),"")</f>
        <v/>
      </c>
      <c r="B570" s="90" t="s">
        <v>1406</v>
      </c>
      <c r="C570" s="72" t="s">
        <v>4</v>
      </c>
      <c r="D570" s="73" t="s">
        <v>482</v>
      </c>
      <c r="E570" s="74"/>
      <c r="F570" s="74"/>
      <c r="G570" s="75" t="str">
        <f>IF(stdProdLT(Main[[#This Row],[Comments]])=0.1,"N/A",IF(stdProdLT(Main[[#This Row],[Comments]])=0,"",stdProdLT(Main[[#This Row],[Comments]])))</f>
        <v/>
      </c>
      <c r="H570" s="76" t="str">
        <f>IF(AND(Main[[#This Row],[In Stock Date]]&lt;&gt;"",Main[[#This Row],[Revised Due Date]]&lt;&gt;""),Main[[#This Row],[In Stock Date]]-Main[[#This Row],[Revised Due Date]],"")</f>
        <v/>
      </c>
      <c r="I570" s="72" t="s">
        <v>4</v>
      </c>
      <c r="J570" s="72" t="s">
        <v>4</v>
      </c>
      <c r="K570" s="72" t="s">
        <v>4</v>
      </c>
      <c r="L570" s="74"/>
      <c r="M570" s="77" t="str">
        <f>IF(Main[[#This Row],[Tech Start Date]]&lt;1/1/1990,"",IF(Main[[#This Row],[Class]]="C",WORKDAY(Main[[#This Row],[Tech Start Date]],9),IF(Main[[#This Row],[Class]]="B", WORKDAY(Main[[#This Row],[Tech Start Date]],6),IF(Main[[#This Row],[Class]]="A",WORKDAY(Main[[#This Row],[Tech Start Date]],2),""))))</f>
        <v/>
      </c>
      <c r="N570" s="77" t="str">
        <f>IF(Main[[#This Row],[Tech Start Date]]&lt;1/1/1990,"",IF(Main[[#This Row],[Class]]="C",WORKDAY(Main[[#This Row],[Tech Start Date]],19),IF(Main[[#This Row],[Class]]="B", WORKDAY(Main[[#This Row],[Tech Start Date]],12),IF(Main[[#This Row],[Class]]="A",WORKDAY(Main[[#This Row],[Tech Start Date]],4),""))))</f>
        <v/>
      </c>
      <c r="O570" s="77" t="str">
        <f>IF(Main[[#This Row],[Tech Start Date]]&lt;1/1/1990,"",IF(Main[[#This Row],[Class]]="C",WORKDAY(Main[[#This Row],[Tech Start Date]],23),IF(Main[[#This Row],[Class]]="B", WORKDAY(Main[[#This Row],[Tech Start Date]],15),IF(Main[[#This Row],[Class]]="A",WORKDAY(Main[[#This Row],[Tech Start Date]],5),""))))</f>
        <v/>
      </c>
      <c r="P570" s="77" t="str">
        <f>IF(Main[[#This Row],[Tech Start Date]]&lt;1/1/1990,"",IF(Main[[#This Row],[Class]]="C",WORKDAY(Main[[#This Row],[Tech Start Date]],28),IF(Main[[#This Row],[Class]]="B", WORKDAY(Main[[#This Row],[Tech Start Date]],19),IF(Main[[#This Row],[Class]]="A",WORKDAY(Main[[#This Row],[Tech Start Date]],9),""))))</f>
        <v/>
      </c>
      <c r="Q570" s="74">
        <v>40151</v>
      </c>
      <c r="R570" s="74"/>
      <c r="S570" s="72" t="s">
        <v>6</v>
      </c>
      <c r="T570" s="80" t="s">
        <v>4</v>
      </c>
      <c r="U570" s="72" t="s">
        <v>12</v>
      </c>
      <c r="V570" s="72" t="s">
        <v>1937</v>
      </c>
      <c r="W570" s="72" t="s">
        <v>1939</v>
      </c>
      <c r="X570" s="72" t="s">
        <v>909</v>
      </c>
      <c r="Y570" s="72" t="s">
        <v>3198</v>
      </c>
      <c r="Z570" s="72" t="s">
        <v>4</v>
      </c>
    </row>
    <row r="571" spans="1:26" ht="18.600000000000001" customHeight="1">
      <c r="A571" s="142" t="str">
        <f>IF(priority(Main[[#This Row],[Comments]])&lt;&gt;0, priority(Main[[#This Row],[Comments]]),"")</f>
        <v/>
      </c>
      <c r="B571" s="90" t="s">
        <v>2290</v>
      </c>
      <c r="C571" s="72" t="s">
        <v>95</v>
      </c>
      <c r="D571" s="73" t="s">
        <v>2291</v>
      </c>
      <c r="E571" s="74">
        <v>40806.589305555557</v>
      </c>
      <c r="F571" s="74"/>
      <c r="G571" s="75" t="str">
        <f>IF(stdProdLT(Main[[#This Row],[Comments]])=0.1,"N/A",IF(stdProdLT(Main[[#This Row],[Comments]])=0,"",stdProdLT(Main[[#This Row],[Comments]])))</f>
        <v/>
      </c>
      <c r="H571" s="76" t="str">
        <f>IF(AND(Main[[#This Row],[In Stock Date]]&lt;&gt;"",Main[[#This Row],[Revised Due Date]]&lt;&gt;""),Main[[#This Row],[In Stock Date]]-Main[[#This Row],[Revised Due Date]],"")</f>
        <v/>
      </c>
      <c r="I571" s="72" t="s">
        <v>4</v>
      </c>
      <c r="J571" s="72" t="s">
        <v>4</v>
      </c>
      <c r="K571" s="72" t="s">
        <v>4</v>
      </c>
      <c r="L571" s="74"/>
      <c r="M571" s="77" t="str">
        <f>IF(Main[[#This Row],[Tech Start Date]]&lt;1/1/1990,"",IF(Main[[#This Row],[Class]]="C",WORKDAY(Main[[#This Row],[Tech Start Date]],9),IF(Main[[#This Row],[Class]]="B", WORKDAY(Main[[#This Row],[Tech Start Date]],6),IF(Main[[#This Row],[Class]]="A",WORKDAY(Main[[#This Row],[Tech Start Date]],2),""))))</f>
        <v/>
      </c>
      <c r="N571" s="77" t="str">
        <f>IF(Main[[#This Row],[Tech Start Date]]&lt;1/1/1990,"",IF(Main[[#This Row],[Class]]="C",WORKDAY(Main[[#This Row],[Tech Start Date]],19),IF(Main[[#This Row],[Class]]="B", WORKDAY(Main[[#This Row],[Tech Start Date]],12),IF(Main[[#This Row],[Class]]="A",WORKDAY(Main[[#This Row],[Tech Start Date]],4),""))))</f>
        <v/>
      </c>
      <c r="O571" s="77" t="str">
        <f>IF(Main[[#This Row],[Tech Start Date]]&lt;1/1/1990,"",IF(Main[[#This Row],[Class]]="C",WORKDAY(Main[[#This Row],[Tech Start Date]],23),IF(Main[[#This Row],[Class]]="B", WORKDAY(Main[[#This Row],[Tech Start Date]],15),IF(Main[[#This Row],[Class]]="A",WORKDAY(Main[[#This Row],[Tech Start Date]],5),""))))</f>
        <v/>
      </c>
      <c r="P571" s="77" t="str">
        <f>IF(Main[[#This Row],[Tech Start Date]]&lt;1/1/1990,"",IF(Main[[#This Row],[Class]]="C",WORKDAY(Main[[#This Row],[Tech Start Date]],28),IF(Main[[#This Row],[Class]]="B", WORKDAY(Main[[#This Row],[Tech Start Date]],19),IF(Main[[#This Row],[Class]]="A",WORKDAY(Main[[#This Row],[Tech Start Date]],9),""))))</f>
        <v/>
      </c>
      <c r="Q571" s="74">
        <v>40823</v>
      </c>
      <c r="R571" s="74"/>
      <c r="S571" s="72" t="s">
        <v>17</v>
      </c>
      <c r="T571" s="80" t="s">
        <v>4</v>
      </c>
      <c r="U571" s="72" t="s">
        <v>7</v>
      </c>
      <c r="V571" s="72" t="s">
        <v>1938</v>
      </c>
      <c r="W571" s="72" t="s">
        <v>1942</v>
      </c>
      <c r="X571" s="72" t="s">
        <v>560</v>
      </c>
      <c r="Y571" s="72" t="s">
        <v>3110</v>
      </c>
      <c r="Z571" s="72" t="s">
        <v>4</v>
      </c>
    </row>
    <row r="572" spans="1:26" ht="18.600000000000001" customHeight="1">
      <c r="A572" s="142" t="str">
        <f>IF(priority(Main[[#This Row],[Comments]])&lt;&gt;0, priority(Main[[#This Row],[Comments]]),"")</f>
        <v/>
      </c>
      <c r="B572" s="90" t="s">
        <v>2252</v>
      </c>
      <c r="C572" s="72" t="s">
        <v>4</v>
      </c>
      <c r="D572" s="73" t="s">
        <v>2253</v>
      </c>
      <c r="E572" s="74"/>
      <c r="F572" s="74"/>
      <c r="G572" s="75" t="str">
        <f>IF(stdProdLT(Main[[#This Row],[Comments]])=0.1,"N/A",IF(stdProdLT(Main[[#This Row],[Comments]])=0,"",stdProdLT(Main[[#This Row],[Comments]])))</f>
        <v/>
      </c>
      <c r="H572" s="76" t="str">
        <f>IF(AND(Main[[#This Row],[In Stock Date]]&lt;&gt;"",Main[[#This Row],[Revised Due Date]]&lt;&gt;""),Main[[#This Row],[In Stock Date]]-Main[[#This Row],[Revised Due Date]],"")</f>
        <v/>
      </c>
      <c r="I572" s="72" t="s">
        <v>4</v>
      </c>
      <c r="J572" s="72" t="s">
        <v>4</v>
      </c>
      <c r="K572" s="72" t="s">
        <v>4</v>
      </c>
      <c r="L572" s="74"/>
      <c r="M572" s="77" t="str">
        <f>IF(Main[[#This Row],[Tech Start Date]]&lt;1/1/1990,"",IF(Main[[#This Row],[Class]]="C",WORKDAY(Main[[#This Row],[Tech Start Date]],9),IF(Main[[#This Row],[Class]]="B", WORKDAY(Main[[#This Row],[Tech Start Date]],6),IF(Main[[#This Row],[Class]]="A",WORKDAY(Main[[#This Row],[Tech Start Date]],2),""))))</f>
        <v/>
      </c>
      <c r="N572" s="77" t="str">
        <f>IF(Main[[#This Row],[Tech Start Date]]&lt;1/1/1990,"",IF(Main[[#This Row],[Class]]="C",WORKDAY(Main[[#This Row],[Tech Start Date]],19),IF(Main[[#This Row],[Class]]="B", WORKDAY(Main[[#This Row],[Tech Start Date]],12),IF(Main[[#This Row],[Class]]="A",WORKDAY(Main[[#This Row],[Tech Start Date]],4),""))))</f>
        <v/>
      </c>
      <c r="O572" s="77" t="str">
        <f>IF(Main[[#This Row],[Tech Start Date]]&lt;1/1/1990,"",IF(Main[[#This Row],[Class]]="C",WORKDAY(Main[[#This Row],[Tech Start Date]],23),IF(Main[[#This Row],[Class]]="B", WORKDAY(Main[[#This Row],[Tech Start Date]],15),IF(Main[[#This Row],[Class]]="A",WORKDAY(Main[[#This Row],[Tech Start Date]],5),""))))</f>
        <v/>
      </c>
      <c r="P572" s="77" t="str">
        <f>IF(Main[[#This Row],[Tech Start Date]]&lt;1/1/1990,"",IF(Main[[#This Row],[Class]]="C",WORKDAY(Main[[#This Row],[Tech Start Date]],28),IF(Main[[#This Row],[Class]]="B", WORKDAY(Main[[#This Row],[Tech Start Date]],19),IF(Main[[#This Row],[Class]]="A",WORKDAY(Main[[#This Row],[Tech Start Date]],9),""))))</f>
        <v/>
      </c>
      <c r="Q572" s="74"/>
      <c r="R572" s="74"/>
      <c r="S572" s="72" t="s">
        <v>49</v>
      </c>
      <c r="T572" s="80" t="s">
        <v>4</v>
      </c>
      <c r="U572" s="72" t="s">
        <v>14</v>
      </c>
      <c r="V572" s="72" t="s">
        <v>1938</v>
      </c>
      <c r="W572" s="72" t="s">
        <v>1941</v>
      </c>
      <c r="X572" s="72" t="s">
        <v>311</v>
      </c>
      <c r="Y572" s="72" t="s">
        <v>4</v>
      </c>
      <c r="Z572" s="72" t="s">
        <v>4</v>
      </c>
    </row>
    <row r="573" spans="1:26" ht="18.600000000000001" customHeight="1">
      <c r="A573" s="142" t="str">
        <f>IF(priority(Main[[#This Row],[Comments]])&lt;&gt;0, priority(Main[[#This Row],[Comments]]),"")</f>
        <v/>
      </c>
      <c r="B573" s="90" t="s">
        <v>1414</v>
      </c>
      <c r="C573" s="72" t="s">
        <v>4</v>
      </c>
      <c r="D573" s="73" t="s">
        <v>486</v>
      </c>
      <c r="E573" s="74"/>
      <c r="F573" s="74"/>
      <c r="G573" s="75" t="str">
        <f>IF(stdProdLT(Main[[#This Row],[Comments]])=0.1,"N/A",IF(stdProdLT(Main[[#This Row],[Comments]])=0,"",stdProdLT(Main[[#This Row],[Comments]])))</f>
        <v/>
      </c>
      <c r="H573" s="76" t="str">
        <f>IF(AND(Main[[#This Row],[In Stock Date]]&lt;&gt;"",Main[[#This Row],[Revised Due Date]]&lt;&gt;""),Main[[#This Row],[In Stock Date]]-Main[[#This Row],[Revised Due Date]],"")</f>
        <v/>
      </c>
      <c r="I573" s="72" t="s">
        <v>4</v>
      </c>
      <c r="J573" s="72" t="s">
        <v>4</v>
      </c>
      <c r="K573" s="72" t="s">
        <v>4</v>
      </c>
      <c r="L573" s="74"/>
      <c r="M573" s="77" t="str">
        <f>IF(Main[[#This Row],[Tech Start Date]]&lt;1/1/1990,"",IF(Main[[#This Row],[Class]]="C",WORKDAY(Main[[#This Row],[Tech Start Date]],9),IF(Main[[#This Row],[Class]]="B", WORKDAY(Main[[#This Row],[Tech Start Date]],6),IF(Main[[#This Row],[Class]]="A",WORKDAY(Main[[#This Row],[Tech Start Date]],2),""))))</f>
        <v/>
      </c>
      <c r="N573" s="77" t="str">
        <f>IF(Main[[#This Row],[Tech Start Date]]&lt;1/1/1990,"",IF(Main[[#This Row],[Class]]="C",WORKDAY(Main[[#This Row],[Tech Start Date]],19),IF(Main[[#This Row],[Class]]="B", WORKDAY(Main[[#This Row],[Tech Start Date]],12),IF(Main[[#This Row],[Class]]="A",WORKDAY(Main[[#This Row],[Tech Start Date]],4),""))))</f>
        <v/>
      </c>
      <c r="O573" s="77" t="str">
        <f>IF(Main[[#This Row],[Tech Start Date]]&lt;1/1/1990,"",IF(Main[[#This Row],[Class]]="C",WORKDAY(Main[[#This Row],[Tech Start Date]],23),IF(Main[[#This Row],[Class]]="B", WORKDAY(Main[[#This Row],[Tech Start Date]],15),IF(Main[[#This Row],[Class]]="A",WORKDAY(Main[[#This Row],[Tech Start Date]],5),""))))</f>
        <v/>
      </c>
      <c r="P573" s="77" t="str">
        <f>IF(Main[[#This Row],[Tech Start Date]]&lt;1/1/1990,"",IF(Main[[#This Row],[Class]]="C",WORKDAY(Main[[#This Row],[Tech Start Date]],28),IF(Main[[#This Row],[Class]]="B", WORKDAY(Main[[#This Row],[Tech Start Date]],19),IF(Main[[#This Row],[Class]]="A",WORKDAY(Main[[#This Row],[Tech Start Date]],9),""))))</f>
        <v/>
      </c>
      <c r="Q573" s="74"/>
      <c r="R573" s="74"/>
      <c r="S573" s="72" t="s">
        <v>4</v>
      </c>
      <c r="T573" s="80" t="s">
        <v>4</v>
      </c>
      <c r="U573" s="72" t="s">
        <v>14</v>
      </c>
      <c r="V573" s="72" t="s">
        <v>1940</v>
      </c>
      <c r="W573" s="72" t="s">
        <v>4</v>
      </c>
      <c r="X573" s="72" t="s">
        <v>2971</v>
      </c>
      <c r="Y573" s="72" t="s">
        <v>3090</v>
      </c>
      <c r="Z573" s="72" t="s">
        <v>4</v>
      </c>
    </row>
    <row r="574" spans="1:26" ht="18.600000000000001" customHeight="1">
      <c r="A574" s="142" t="str">
        <f>IF(priority(Main[[#This Row],[Comments]])&lt;&gt;0, priority(Main[[#This Row],[Comments]]),"")</f>
        <v/>
      </c>
      <c r="B574" s="90" t="s">
        <v>1416</v>
      </c>
      <c r="C574" s="72" t="s">
        <v>47</v>
      </c>
      <c r="D574" s="73" t="s">
        <v>488</v>
      </c>
      <c r="E574" s="74">
        <v>39937.619513888887</v>
      </c>
      <c r="F574" s="74"/>
      <c r="G574" s="75" t="str">
        <f>IF(stdProdLT(Main[[#This Row],[Comments]])=0.1,"N/A",IF(stdProdLT(Main[[#This Row],[Comments]])=0,"",stdProdLT(Main[[#This Row],[Comments]])))</f>
        <v/>
      </c>
      <c r="H574" s="76" t="str">
        <f>IF(AND(Main[[#This Row],[In Stock Date]]&lt;&gt;"",Main[[#This Row],[Revised Due Date]]&lt;&gt;""),Main[[#This Row],[In Stock Date]]-Main[[#This Row],[Revised Due Date]],"")</f>
        <v/>
      </c>
      <c r="I574" s="72" t="s">
        <v>4</v>
      </c>
      <c r="J574" s="72" t="s">
        <v>4</v>
      </c>
      <c r="K574" s="81" t="s">
        <v>4</v>
      </c>
      <c r="L574" s="74"/>
      <c r="M574" s="77" t="str">
        <f>IF(Main[[#This Row],[Tech Start Date]]&lt;1/1/1990,"",IF(Main[[#This Row],[Class]]="C",WORKDAY(Main[[#This Row],[Tech Start Date]],9),IF(Main[[#This Row],[Class]]="B", WORKDAY(Main[[#This Row],[Tech Start Date]],6),IF(Main[[#This Row],[Class]]="A",WORKDAY(Main[[#This Row],[Tech Start Date]],2),""))))</f>
        <v/>
      </c>
      <c r="N574" s="77" t="str">
        <f>IF(Main[[#This Row],[Tech Start Date]]&lt;1/1/1990,"",IF(Main[[#This Row],[Class]]="C",WORKDAY(Main[[#This Row],[Tech Start Date]],19),IF(Main[[#This Row],[Class]]="B", WORKDAY(Main[[#This Row],[Tech Start Date]],12),IF(Main[[#This Row],[Class]]="A",WORKDAY(Main[[#This Row],[Tech Start Date]],4),""))))</f>
        <v/>
      </c>
      <c r="O574" s="77" t="str">
        <f>IF(Main[[#This Row],[Tech Start Date]]&lt;1/1/1990,"",IF(Main[[#This Row],[Class]]="C",WORKDAY(Main[[#This Row],[Tech Start Date]],23),IF(Main[[#This Row],[Class]]="B", WORKDAY(Main[[#This Row],[Tech Start Date]],15),IF(Main[[#This Row],[Class]]="A",WORKDAY(Main[[#This Row],[Tech Start Date]],5),""))))</f>
        <v/>
      </c>
      <c r="P574" s="77" t="str">
        <f>IF(Main[[#This Row],[Tech Start Date]]&lt;1/1/1990,"",IF(Main[[#This Row],[Class]]="C",WORKDAY(Main[[#This Row],[Tech Start Date]],28),IF(Main[[#This Row],[Class]]="B", WORKDAY(Main[[#This Row],[Tech Start Date]],19),IF(Main[[#This Row],[Class]]="A",WORKDAY(Main[[#This Row],[Tech Start Date]],9),""))))</f>
        <v/>
      </c>
      <c r="Q574" s="74"/>
      <c r="R574" s="74"/>
      <c r="S574" s="72" t="s">
        <v>17</v>
      </c>
      <c r="T574" s="80" t="s">
        <v>4</v>
      </c>
      <c r="U574" s="72" t="s">
        <v>7</v>
      </c>
      <c r="V574" s="72" t="s">
        <v>1940</v>
      </c>
      <c r="W574" s="72" t="s">
        <v>4</v>
      </c>
      <c r="X574" s="72" t="s">
        <v>2979</v>
      </c>
      <c r="Y574" s="72" t="s">
        <v>3106</v>
      </c>
      <c r="Z574" s="72" t="s">
        <v>4</v>
      </c>
    </row>
    <row r="575" spans="1:26" ht="18.600000000000001" customHeight="1">
      <c r="A575" s="142" t="str">
        <f>IF(priority(Main[[#This Row],[Comments]])&lt;&gt;0, priority(Main[[#This Row],[Comments]]),"")</f>
        <v/>
      </c>
      <c r="B575" s="90" t="s">
        <v>1417</v>
      </c>
      <c r="C575" s="72" t="s">
        <v>93</v>
      </c>
      <c r="D575" s="73" t="s">
        <v>569</v>
      </c>
      <c r="E575" s="74"/>
      <c r="F575" s="74">
        <v>40210</v>
      </c>
      <c r="G575" s="75" t="str">
        <f>IF(stdProdLT(Main[[#This Row],[Comments]])=0.1,"N/A",IF(stdProdLT(Main[[#This Row],[Comments]])=0,"",stdProdLT(Main[[#This Row],[Comments]])))</f>
        <v/>
      </c>
      <c r="H575" s="76" t="str">
        <f>IF(AND(Main[[#This Row],[In Stock Date]]&lt;&gt;"",Main[[#This Row],[Revised Due Date]]&lt;&gt;""),Main[[#This Row],[In Stock Date]]-Main[[#This Row],[Revised Due Date]],"")</f>
        <v/>
      </c>
      <c r="I575" s="72" t="s">
        <v>4</v>
      </c>
      <c r="J575" s="72" t="s">
        <v>4</v>
      </c>
      <c r="K575" s="81" t="s">
        <v>4</v>
      </c>
      <c r="L575" s="74"/>
      <c r="M575" s="77" t="str">
        <f>IF(Main[[#This Row],[Tech Start Date]]&lt;1/1/1990,"",IF(Main[[#This Row],[Class]]="C",WORKDAY(Main[[#This Row],[Tech Start Date]],9),IF(Main[[#This Row],[Class]]="B", WORKDAY(Main[[#This Row],[Tech Start Date]],6),IF(Main[[#This Row],[Class]]="A",WORKDAY(Main[[#This Row],[Tech Start Date]],2),""))))</f>
        <v/>
      </c>
      <c r="N575" s="77" t="str">
        <f>IF(Main[[#This Row],[Tech Start Date]]&lt;1/1/1990,"",IF(Main[[#This Row],[Class]]="C",WORKDAY(Main[[#This Row],[Tech Start Date]],19),IF(Main[[#This Row],[Class]]="B", WORKDAY(Main[[#This Row],[Tech Start Date]],12),IF(Main[[#This Row],[Class]]="A",WORKDAY(Main[[#This Row],[Tech Start Date]],4),""))))</f>
        <v/>
      </c>
      <c r="O575" s="77" t="str">
        <f>IF(Main[[#This Row],[Tech Start Date]]&lt;1/1/1990,"",IF(Main[[#This Row],[Class]]="C",WORKDAY(Main[[#This Row],[Tech Start Date]],23),IF(Main[[#This Row],[Class]]="B", WORKDAY(Main[[#This Row],[Tech Start Date]],15),IF(Main[[#This Row],[Class]]="A",WORKDAY(Main[[#This Row],[Tech Start Date]],5),""))))</f>
        <v/>
      </c>
      <c r="P575" s="77" t="str">
        <f>IF(Main[[#This Row],[Tech Start Date]]&lt;1/1/1990,"",IF(Main[[#This Row],[Class]]="C",WORKDAY(Main[[#This Row],[Tech Start Date]],28),IF(Main[[#This Row],[Class]]="B", WORKDAY(Main[[#This Row],[Tech Start Date]],19),IF(Main[[#This Row],[Class]]="A",WORKDAY(Main[[#This Row],[Tech Start Date]],9),""))))</f>
        <v/>
      </c>
      <c r="Q575" s="74">
        <v>40195</v>
      </c>
      <c r="R575" s="74"/>
      <c r="S575" s="72" t="s">
        <v>11</v>
      </c>
      <c r="T575" s="80" t="s">
        <v>4</v>
      </c>
      <c r="U575" s="72" t="s">
        <v>12</v>
      </c>
      <c r="V575" s="72" t="s">
        <v>1947</v>
      </c>
      <c r="W575" s="72" t="s">
        <v>1948</v>
      </c>
      <c r="X575" s="72" t="s">
        <v>2997</v>
      </c>
      <c r="Y575" s="72" t="s">
        <v>4</v>
      </c>
      <c r="Z575" s="72" t="s">
        <v>4</v>
      </c>
    </row>
    <row r="576" spans="1:26" ht="18.600000000000001" customHeight="1">
      <c r="A576" s="142" t="str">
        <f>IF(priority(Main[[#This Row],[Comments]])&lt;&gt;0, priority(Main[[#This Row],[Comments]]),"")</f>
        <v/>
      </c>
      <c r="B576" s="90" t="s">
        <v>1765</v>
      </c>
      <c r="C576" s="72" t="s">
        <v>4</v>
      </c>
      <c r="D576" s="73" t="s">
        <v>806</v>
      </c>
      <c r="E576" s="74">
        <v>40584.406446759262</v>
      </c>
      <c r="F576" s="74">
        <v>40602</v>
      </c>
      <c r="G576" s="75" t="str">
        <f>IF(stdProdLT(Main[[#This Row],[Comments]])=0.1,"N/A",IF(stdProdLT(Main[[#This Row],[Comments]])=0,"",stdProdLT(Main[[#This Row],[Comments]])))</f>
        <v/>
      </c>
      <c r="H576" s="76" t="str">
        <f>IF(AND(Main[[#This Row],[In Stock Date]]&lt;&gt;"",Main[[#This Row],[Revised Due Date]]&lt;&gt;""),Main[[#This Row],[In Stock Date]]-Main[[#This Row],[Revised Due Date]],"")</f>
        <v/>
      </c>
      <c r="I576" s="72" t="s">
        <v>4</v>
      </c>
      <c r="J576" s="72" t="s">
        <v>28</v>
      </c>
      <c r="K576" s="72" t="s">
        <v>1949</v>
      </c>
      <c r="L576" s="74"/>
      <c r="M576" s="77" t="str">
        <f>IF(Main[[#This Row],[Tech Start Date]]&lt;1/1/1990,"",IF(Main[[#This Row],[Class]]="C",WORKDAY(Main[[#This Row],[Tech Start Date]],9),IF(Main[[#This Row],[Class]]="B", WORKDAY(Main[[#This Row],[Tech Start Date]],6),IF(Main[[#This Row],[Class]]="A",WORKDAY(Main[[#This Row],[Tech Start Date]],2),""))))</f>
        <v/>
      </c>
      <c r="N576" s="77" t="str">
        <f>IF(Main[[#This Row],[Tech Start Date]]&lt;1/1/1990,"",IF(Main[[#This Row],[Class]]="C",WORKDAY(Main[[#This Row],[Tech Start Date]],19),IF(Main[[#This Row],[Class]]="B", WORKDAY(Main[[#This Row],[Tech Start Date]],12),IF(Main[[#This Row],[Class]]="A",WORKDAY(Main[[#This Row],[Tech Start Date]],4),""))))</f>
        <v/>
      </c>
      <c r="O576" s="77" t="str">
        <f>IF(Main[[#This Row],[Tech Start Date]]&lt;1/1/1990,"",IF(Main[[#This Row],[Class]]="C",WORKDAY(Main[[#This Row],[Tech Start Date]],23),IF(Main[[#This Row],[Class]]="B", WORKDAY(Main[[#This Row],[Tech Start Date]],15),IF(Main[[#This Row],[Class]]="A",WORKDAY(Main[[#This Row],[Tech Start Date]],5),""))))</f>
        <v/>
      </c>
      <c r="P576" s="77" t="str">
        <f>IF(Main[[#This Row],[Tech Start Date]]&lt;1/1/1990,"",IF(Main[[#This Row],[Class]]="C",WORKDAY(Main[[#This Row],[Tech Start Date]],28),IF(Main[[#This Row],[Class]]="B", WORKDAY(Main[[#This Row],[Tech Start Date]],19),IF(Main[[#This Row],[Class]]="A",WORKDAY(Main[[#This Row],[Tech Start Date]],9),""))))</f>
        <v/>
      </c>
      <c r="Q576" s="74">
        <v>40602</v>
      </c>
      <c r="R576" s="74"/>
      <c r="S576" s="72" t="s">
        <v>17</v>
      </c>
      <c r="T576" s="80" t="s">
        <v>4</v>
      </c>
      <c r="U576" s="72" t="s">
        <v>7</v>
      </c>
      <c r="V576" s="72" t="s">
        <v>1937</v>
      </c>
      <c r="W576" s="72" t="s">
        <v>1945</v>
      </c>
      <c r="X576" s="72" t="s">
        <v>2980</v>
      </c>
      <c r="Y576" s="72" t="s">
        <v>3108</v>
      </c>
      <c r="Z576" s="72" t="s">
        <v>129</v>
      </c>
    </row>
    <row r="577" spans="1:26" ht="18.600000000000001" customHeight="1">
      <c r="A577" s="142" t="str">
        <f>IF(priority(Main[[#This Row],[Comments]])&lt;&gt;0, priority(Main[[#This Row],[Comments]]),"")</f>
        <v/>
      </c>
      <c r="B577" s="90" t="s">
        <v>1420</v>
      </c>
      <c r="C577" s="72" t="s">
        <v>31</v>
      </c>
      <c r="D577" s="73" t="s">
        <v>490</v>
      </c>
      <c r="E577" s="74"/>
      <c r="F577" s="74"/>
      <c r="G577" s="75" t="str">
        <f>IF(stdProdLT(Main[[#This Row],[Comments]])=0.1,"N/A",IF(stdProdLT(Main[[#This Row],[Comments]])=0,"",stdProdLT(Main[[#This Row],[Comments]])))</f>
        <v/>
      </c>
      <c r="H577" s="76" t="str">
        <f>IF(AND(Main[[#This Row],[In Stock Date]]&lt;&gt;"",Main[[#This Row],[Revised Due Date]]&lt;&gt;""),Main[[#This Row],[In Stock Date]]-Main[[#This Row],[Revised Due Date]],"")</f>
        <v/>
      </c>
      <c r="I577" s="72" t="s">
        <v>4</v>
      </c>
      <c r="J577" s="72" t="s">
        <v>4</v>
      </c>
      <c r="K577" s="72" t="s">
        <v>4</v>
      </c>
      <c r="L577" s="74"/>
      <c r="M577" s="77" t="str">
        <f>IF(Main[[#This Row],[Tech Start Date]]&lt;1/1/1990,"",IF(Main[[#This Row],[Class]]="C",WORKDAY(Main[[#This Row],[Tech Start Date]],9),IF(Main[[#This Row],[Class]]="B", WORKDAY(Main[[#This Row],[Tech Start Date]],6),IF(Main[[#This Row],[Class]]="A",WORKDAY(Main[[#This Row],[Tech Start Date]],2),""))))</f>
        <v/>
      </c>
      <c r="N577" s="77" t="str">
        <f>IF(Main[[#This Row],[Tech Start Date]]&lt;1/1/1990,"",IF(Main[[#This Row],[Class]]="C",WORKDAY(Main[[#This Row],[Tech Start Date]],19),IF(Main[[#This Row],[Class]]="B", WORKDAY(Main[[#This Row],[Tech Start Date]],12),IF(Main[[#This Row],[Class]]="A",WORKDAY(Main[[#This Row],[Tech Start Date]],4),""))))</f>
        <v/>
      </c>
      <c r="O577" s="77" t="str">
        <f>IF(Main[[#This Row],[Tech Start Date]]&lt;1/1/1990,"",IF(Main[[#This Row],[Class]]="C",WORKDAY(Main[[#This Row],[Tech Start Date]],23),IF(Main[[#This Row],[Class]]="B", WORKDAY(Main[[#This Row],[Tech Start Date]],15),IF(Main[[#This Row],[Class]]="A",WORKDAY(Main[[#This Row],[Tech Start Date]],5),""))))</f>
        <v/>
      </c>
      <c r="P577" s="77" t="str">
        <f>IF(Main[[#This Row],[Tech Start Date]]&lt;1/1/1990,"",IF(Main[[#This Row],[Class]]="C",WORKDAY(Main[[#This Row],[Tech Start Date]],28),IF(Main[[#This Row],[Class]]="B", WORKDAY(Main[[#This Row],[Tech Start Date]],19),IF(Main[[#This Row],[Class]]="A",WORKDAY(Main[[#This Row],[Tech Start Date]],9),""))))</f>
        <v/>
      </c>
      <c r="Q577" s="74">
        <v>40318</v>
      </c>
      <c r="R577" s="74"/>
      <c r="S577" s="72" t="s">
        <v>11</v>
      </c>
      <c r="T577" s="80" t="s">
        <v>4</v>
      </c>
      <c r="U577" s="72" t="s">
        <v>14</v>
      </c>
      <c r="V577" s="72" t="s">
        <v>1940</v>
      </c>
      <c r="W577" s="72" t="s">
        <v>1939</v>
      </c>
      <c r="X577" s="72" t="s">
        <v>2982</v>
      </c>
      <c r="Y577" s="72" t="s">
        <v>4</v>
      </c>
      <c r="Z577" s="72" t="s">
        <v>4</v>
      </c>
    </row>
    <row r="578" spans="1:26" ht="18.600000000000001" customHeight="1">
      <c r="A578" s="142" t="str">
        <f>IF(priority(Main[[#This Row],[Comments]])&lt;&gt;0, priority(Main[[#This Row],[Comments]]),"")</f>
        <v/>
      </c>
      <c r="B578" s="90" t="s">
        <v>2221</v>
      </c>
      <c r="C578" s="72" t="s">
        <v>4</v>
      </c>
      <c r="D578" s="73" t="s">
        <v>2222</v>
      </c>
      <c r="E578" s="74">
        <v>40784.623067129629</v>
      </c>
      <c r="F578" s="74"/>
      <c r="G578" s="75" t="str">
        <f>IF(stdProdLT(Main[[#This Row],[Comments]])=0.1,"N/A",IF(stdProdLT(Main[[#This Row],[Comments]])=0,"",stdProdLT(Main[[#This Row],[Comments]])))</f>
        <v/>
      </c>
      <c r="H578" s="76" t="str">
        <f>IF(AND(Main[[#This Row],[In Stock Date]]&lt;&gt;"",Main[[#This Row],[Revised Due Date]]&lt;&gt;""),Main[[#This Row],[In Stock Date]]-Main[[#This Row],[Revised Due Date]],"")</f>
        <v/>
      </c>
      <c r="I578" s="72" t="s">
        <v>4</v>
      </c>
      <c r="J578" s="72" t="s">
        <v>4</v>
      </c>
      <c r="K578" s="81" t="s">
        <v>4</v>
      </c>
      <c r="L578" s="74"/>
      <c r="M578" s="77" t="str">
        <f>IF(Main[[#This Row],[Tech Start Date]]&lt;1/1/1990,"",IF(Main[[#This Row],[Class]]="C",WORKDAY(Main[[#This Row],[Tech Start Date]],9),IF(Main[[#This Row],[Class]]="B", WORKDAY(Main[[#This Row],[Tech Start Date]],6),IF(Main[[#This Row],[Class]]="A",WORKDAY(Main[[#This Row],[Tech Start Date]],2),""))))</f>
        <v/>
      </c>
      <c r="N578" s="77" t="str">
        <f>IF(Main[[#This Row],[Tech Start Date]]&lt;1/1/1990,"",IF(Main[[#This Row],[Class]]="C",WORKDAY(Main[[#This Row],[Tech Start Date]],19),IF(Main[[#This Row],[Class]]="B", WORKDAY(Main[[#This Row],[Tech Start Date]],12),IF(Main[[#This Row],[Class]]="A",WORKDAY(Main[[#This Row],[Tech Start Date]],4),""))))</f>
        <v/>
      </c>
      <c r="O578" s="77" t="str">
        <f>IF(Main[[#This Row],[Tech Start Date]]&lt;1/1/1990,"",IF(Main[[#This Row],[Class]]="C",WORKDAY(Main[[#This Row],[Tech Start Date]],23),IF(Main[[#This Row],[Class]]="B", WORKDAY(Main[[#This Row],[Tech Start Date]],15),IF(Main[[#This Row],[Class]]="A",WORKDAY(Main[[#This Row],[Tech Start Date]],5),""))))</f>
        <v/>
      </c>
      <c r="P578" s="77" t="str">
        <f>IF(Main[[#This Row],[Tech Start Date]]&lt;1/1/1990,"",IF(Main[[#This Row],[Class]]="C",WORKDAY(Main[[#This Row],[Tech Start Date]],28),IF(Main[[#This Row],[Class]]="B", WORKDAY(Main[[#This Row],[Tech Start Date]],19),IF(Main[[#This Row],[Class]]="A",WORKDAY(Main[[#This Row],[Tech Start Date]],9),""))))</f>
        <v/>
      </c>
      <c r="Q578" s="74"/>
      <c r="R578" s="74"/>
      <c r="S578" s="72" t="s">
        <v>17</v>
      </c>
      <c r="T578" s="80" t="s">
        <v>4</v>
      </c>
      <c r="U578" s="72" t="s">
        <v>7</v>
      </c>
      <c r="V578" s="72" t="s">
        <v>1940</v>
      </c>
      <c r="W578" s="72" t="s">
        <v>1942</v>
      </c>
      <c r="X578" s="72" t="s">
        <v>3037</v>
      </c>
      <c r="Y578" s="72" t="s">
        <v>3199</v>
      </c>
      <c r="Z578" s="72" t="s">
        <v>4</v>
      </c>
    </row>
    <row r="579" spans="1:26" ht="18.600000000000001" customHeight="1">
      <c r="A579" s="142" t="str">
        <f>IF(priority(Main[[#This Row],[Comments]])&lt;&gt;0, priority(Main[[#This Row],[Comments]]),"")</f>
        <v/>
      </c>
      <c r="B579" s="90" t="s">
        <v>1422</v>
      </c>
      <c r="C579" s="72" t="s">
        <v>187</v>
      </c>
      <c r="D579" s="73" t="s">
        <v>492</v>
      </c>
      <c r="E579" s="74"/>
      <c r="F579" s="74"/>
      <c r="G579" s="75" t="str">
        <f>IF(stdProdLT(Main[[#This Row],[Comments]])=0.1,"N/A",IF(stdProdLT(Main[[#This Row],[Comments]])=0,"",stdProdLT(Main[[#This Row],[Comments]])))</f>
        <v/>
      </c>
      <c r="H579" s="76" t="str">
        <f>IF(AND(Main[[#This Row],[In Stock Date]]&lt;&gt;"",Main[[#This Row],[Revised Due Date]]&lt;&gt;""),Main[[#This Row],[In Stock Date]]-Main[[#This Row],[Revised Due Date]],"")</f>
        <v/>
      </c>
      <c r="I579" s="72" t="s">
        <v>4</v>
      </c>
      <c r="J579" s="72" t="s">
        <v>4</v>
      </c>
      <c r="K579" s="72" t="s">
        <v>4</v>
      </c>
      <c r="L579" s="74"/>
      <c r="M579" s="77" t="str">
        <f>IF(Main[[#This Row],[Tech Start Date]]&lt;1/1/1990,"",IF(Main[[#This Row],[Class]]="C",WORKDAY(Main[[#This Row],[Tech Start Date]],9),IF(Main[[#This Row],[Class]]="B", WORKDAY(Main[[#This Row],[Tech Start Date]],6),IF(Main[[#This Row],[Class]]="A",WORKDAY(Main[[#This Row],[Tech Start Date]],2),""))))</f>
        <v/>
      </c>
      <c r="N579" s="77" t="str">
        <f>IF(Main[[#This Row],[Tech Start Date]]&lt;1/1/1990,"",IF(Main[[#This Row],[Class]]="C",WORKDAY(Main[[#This Row],[Tech Start Date]],19),IF(Main[[#This Row],[Class]]="B", WORKDAY(Main[[#This Row],[Tech Start Date]],12),IF(Main[[#This Row],[Class]]="A",WORKDAY(Main[[#This Row],[Tech Start Date]],4),""))))</f>
        <v/>
      </c>
      <c r="O579" s="77" t="str">
        <f>IF(Main[[#This Row],[Tech Start Date]]&lt;1/1/1990,"",IF(Main[[#This Row],[Class]]="C",WORKDAY(Main[[#This Row],[Tech Start Date]],23),IF(Main[[#This Row],[Class]]="B", WORKDAY(Main[[#This Row],[Tech Start Date]],15),IF(Main[[#This Row],[Class]]="A",WORKDAY(Main[[#This Row],[Tech Start Date]],5),""))))</f>
        <v/>
      </c>
      <c r="P579" s="77" t="str">
        <f>IF(Main[[#This Row],[Tech Start Date]]&lt;1/1/1990,"",IF(Main[[#This Row],[Class]]="C",WORKDAY(Main[[#This Row],[Tech Start Date]],28),IF(Main[[#This Row],[Class]]="B", WORKDAY(Main[[#This Row],[Tech Start Date]],19),IF(Main[[#This Row],[Class]]="A",WORKDAY(Main[[#This Row],[Tech Start Date]],9),""))))</f>
        <v/>
      </c>
      <c r="Q579" s="74">
        <v>40116</v>
      </c>
      <c r="R579" s="74"/>
      <c r="S579" s="72" t="s">
        <v>11</v>
      </c>
      <c r="T579" s="80" t="s">
        <v>4</v>
      </c>
      <c r="U579" s="72" t="s">
        <v>14</v>
      </c>
      <c r="V579" s="72" t="s">
        <v>1940</v>
      </c>
      <c r="W579" s="72" t="s">
        <v>1939</v>
      </c>
      <c r="X579" s="72" t="s">
        <v>3015</v>
      </c>
      <c r="Y579" s="72" t="s">
        <v>4</v>
      </c>
      <c r="Z579" s="72" t="s">
        <v>4</v>
      </c>
    </row>
    <row r="580" spans="1:26" ht="18.600000000000001" customHeight="1">
      <c r="A580" s="142" t="str">
        <f>IF(priority(Main[[#This Row],[Comments]])&lt;&gt;0, priority(Main[[#This Row],[Comments]]),"")</f>
        <v/>
      </c>
      <c r="B580" s="90" t="s">
        <v>1591</v>
      </c>
      <c r="C580" s="72" t="s">
        <v>658</v>
      </c>
      <c r="D580" s="73" t="s">
        <v>659</v>
      </c>
      <c r="E580" s="74">
        <v>40350.419861111113</v>
      </c>
      <c r="F580" s="74">
        <v>40444</v>
      </c>
      <c r="G580" s="75" t="str">
        <f>IF(stdProdLT(Main[[#This Row],[Comments]])=0.1,"N/A",IF(stdProdLT(Main[[#This Row],[Comments]])=0,"",stdProdLT(Main[[#This Row],[Comments]])))</f>
        <v/>
      </c>
      <c r="H580" s="76" t="str">
        <f>IF(AND(Main[[#This Row],[In Stock Date]]&lt;&gt;"",Main[[#This Row],[Revised Due Date]]&lt;&gt;""),Main[[#This Row],[In Stock Date]]-Main[[#This Row],[Revised Due Date]],"")</f>
        <v/>
      </c>
      <c r="I580" s="72" t="s">
        <v>660</v>
      </c>
      <c r="J580" s="72" t="s">
        <v>28</v>
      </c>
      <c r="K580" s="72" t="s">
        <v>1949</v>
      </c>
      <c r="L580" s="74"/>
      <c r="M580" s="77" t="str">
        <f>IF(Main[[#This Row],[Tech Start Date]]&lt;1/1/1990,"",IF(Main[[#This Row],[Class]]="C",WORKDAY(Main[[#This Row],[Tech Start Date]],9),IF(Main[[#This Row],[Class]]="B", WORKDAY(Main[[#This Row],[Tech Start Date]],6),IF(Main[[#This Row],[Class]]="A",WORKDAY(Main[[#This Row],[Tech Start Date]],2),""))))</f>
        <v/>
      </c>
      <c r="N580" s="77" t="str">
        <f>IF(Main[[#This Row],[Tech Start Date]]&lt;1/1/1990,"",IF(Main[[#This Row],[Class]]="C",WORKDAY(Main[[#This Row],[Tech Start Date]],19),IF(Main[[#This Row],[Class]]="B", WORKDAY(Main[[#This Row],[Tech Start Date]],12),IF(Main[[#This Row],[Class]]="A",WORKDAY(Main[[#This Row],[Tech Start Date]],4),""))))</f>
        <v/>
      </c>
      <c r="O580" s="77" t="str">
        <f>IF(Main[[#This Row],[Tech Start Date]]&lt;1/1/1990,"",IF(Main[[#This Row],[Class]]="C",WORKDAY(Main[[#This Row],[Tech Start Date]],23),IF(Main[[#This Row],[Class]]="B", WORKDAY(Main[[#This Row],[Tech Start Date]],15),IF(Main[[#This Row],[Class]]="A",WORKDAY(Main[[#This Row],[Tech Start Date]],5),""))))</f>
        <v/>
      </c>
      <c r="P580" s="77" t="str">
        <f>IF(Main[[#This Row],[Tech Start Date]]&lt;1/1/1990,"",IF(Main[[#This Row],[Class]]="C",WORKDAY(Main[[#This Row],[Tech Start Date]],28),IF(Main[[#This Row],[Class]]="B", WORKDAY(Main[[#This Row],[Tech Start Date]],19),IF(Main[[#This Row],[Class]]="A",WORKDAY(Main[[#This Row],[Tech Start Date]],9),""))))</f>
        <v/>
      </c>
      <c r="Q580" s="74">
        <v>40353</v>
      </c>
      <c r="R580" s="74"/>
      <c r="S580" s="72" t="s">
        <v>17</v>
      </c>
      <c r="T580" s="80" t="s">
        <v>4</v>
      </c>
      <c r="U580" s="72" t="s">
        <v>7</v>
      </c>
      <c r="V580" s="72" t="s">
        <v>1940</v>
      </c>
      <c r="W580" s="72" t="s">
        <v>1942</v>
      </c>
      <c r="X580" s="72" t="s">
        <v>3038</v>
      </c>
      <c r="Y580" s="72" t="s">
        <v>3200</v>
      </c>
      <c r="Z580" s="72" t="s">
        <v>536</v>
      </c>
    </row>
    <row r="581" spans="1:26" ht="18.600000000000001" customHeight="1">
      <c r="A581" s="142" t="str">
        <f>IF(priority(Main[[#This Row],[Comments]])&lt;&gt;0, priority(Main[[#This Row],[Comments]]),"")</f>
        <v/>
      </c>
      <c r="B581" s="90" t="s">
        <v>1425</v>
      </c>
      <c r="C581" s="72" t="s">
        <v>67</v>
      </c>
      <c r="D581" s="73" t="s">
        <v>494</v>
      </c>
      <c r="E581" s="74"/>
      <c r="F581" s="74">
        <v>40561</v>
      </c>
      <c r="G581" s="75" t="str">
        <f>IF(stdProdLT(Main[[#This Row],[Comments]])=0.1,"N/A",IF(stdProdLT(Main[[#This Row],[Comments]])=0,"",stdProdLT(Main[[#This Row],[Comments]])))</f>
        <v/>
      </c>
      <c r="H581" s="76" t="str">
        <f>IF(AND(Main[[#This Row],[In Stock Date]]&lt;&gt;"",Main[[#This Row],[Revised Due Date]]&lt;&gt;""),Main[[#This Row],[In Stock Date]]-Main[[#This Row],[Revised Due Date]],"")</f>
        <v/>
      </c>
      <c r="I581" s="72" t="s">
        <v>4</v>
      </c>
      <c r="J581" s="72" t="s">
        <v>4</v>
      </c>
      <c r="K581" s="72" t="s">
        <v>4</v>
      </c>
      <c r="L581" s="74"/>
      <c r="M581" s="77" t="str">
        <f>IF(Main[[#This Row],[Tech Start Date]]&lt;1/1/1990,"",IF(Main[[#This Row],[Class]]="C",WORKDAY(Main[[#This Row],[Tech Start Date]],9),IF(Main[[#This Row],[Class]]="B", WORKDAY(Main[[#This Row],[Tech Start Date]],6),IF(Main[[#This Row],[Class]]="A",WORKDAY(Main[[#This Row],[Tech Start Date]],2),""))))</f>
        <v/>
      </c>
      <c r="N581" s="77" t="str">
        <f>IF(Main[[#This Row],[Tech Start Date]]&lt;1/1/1990,"",IF(Main[[#This Row],[Class]]="C",WORKDAY(Main[[#This Row],[Tech Start Date]],19),IF(Main[[#This Row],[Class]]="B", WORKDAY(Main[[#This Row],[Tech Start Date]],12),IF(Main[[#This Row],[Class]]="A",WORKDAY(Main[[#This Row],[Tech Start Date]],4),""))))</f>
        <v/>
      </c>
      <c r="O581" s="77" t="str">
        <f>IF(Main[[#This Row],[Tech Start Date]]&lt;1/1/1990,"",IF(Main[[#This Row],[Class]]="C",WORKDAY(Main[[#This Row],[Tech Start Date]],23),IF(Main[[#This Row],[Class]]="B", WORKDAY(Main[[#This Row],[Tech Start Date]],15),IF(Main[[#This Row],[Class]]="A",WORKDAY(Main[[#This Row],[Tech Start Date]],5),""))))</f>
        <v/>
      </c>
      <c r="P581" s="77" t="str">
        <f>IF(Main[[#This Row],[Tech Start Date]]&lt;1/1/1990,"",IF(Main[[#This Row],[Class]]="C",WORKDAY(Main[[#This Row],[Tech Start Date]],28),IF(Main[[#This Row],[Class]]="B", WORKDAY(Main[[#This Row],[Tech Start Date]],19),IF(Main[[#This Row],[Class]]="A",WORKDAY(Main[[#This Row],[Tech Start Date]],9),""))))</f>
        <v/>
      </c>
      <c r="Q581" s="74"/>
      <c r="R581" s="74"/>
      <c r="S581" s="72" t="s">
        <v>11</v>
      </c>
      <c r="T581" s="80" t="s">
        <v>4</v>
      </c>
      <c r="U581" s="72" t="s">
        <v>14</v>
      </c>
      <c r="V581" s="72" t="s">
        <v>1940</v>
      </c>
      <c r="W581" s="72" t="s">
        <v>1943</v>
      </c>
      <c r="X581" s="72" t="s">
        <v>50</v>
      </c>
      <c r="Y581" s="72" t="s">
        <v>4</v>
      </c>
      <c r="Z581" s="72" t="s">
        <v>4</v>
      </c>
    </row>
    <row r="582" spans="1:26" ht="18.600000000000001" customHeight="1">
      <c r="A582" s="142" t="str">
        <f>IF(priority(Main[[#This Row],[Comments]])&lt;&gt;0, priority(Main[[#This Row],[Comments]]),"")</f>
        <v/>
      </c>
      <c r="B582" s="90" t="s">
        <v>1427</v>
      </c>
      <c r="C582" s="72" t="s">
        <v>31</v>
      </c>
      <c r="D582" s="73" t="s">
        <v>496</v>
      </c>
      <c r="E582" s="74"/>
      <c r="F582" s="74">
        <v>40203</v>
      </c>
      <c r="G582" s="75" t="str">
        <f>IF(stdProdLT(Main[[#This Row],[Comments]])=0.1,"N/A",IF(stdProdLT(Main[[#This Row],[Comments]])=0,"",stdProdLT(Main[[#This Row],[Comments]])))</f>
        <v/>
      </c>
      <c r="H582" s="76" t="str">
        <f>IF(AND(Main[[#This Row],[In Stock Date]]&lt;&gt;"",Main[[#This Row],[Revised Due Date]]&lt;&gt;""),Main[[#This Row],[In Stock Date]]-Main[[#This Row],[Revised Due Date]],"")</f>
        <v/>
      </c>
      <c r="I582" s="72" t="s">
        <v>4</v>
      </c>
      <c r="J582" s="72" t="s">
        <v>4</v>
      </c>
      <c r="K582" s="72" t="s">
        <v>4</v>
      </c>
      <c r="L582" s="74"/>
      <c r="M582" s="77" t="str">
        <f>IF(Main[[#This Row],[Tech Start Date]]&lt;1/1/1990,"",IF(Main[[#This Row],[Class]]="C",WORKDAY(Main[[#This Row],[Tech Start Date]],9),IF(Main[[#This Row],[Class]]="B", WORKDAY(Main[[#This Row],[Tech Start Date]],6),IF(Main[[#This Row],[Class]]="A",WORKDAY(Main[[#This Row],[Tech Start Date]],2),""))))</f>
        <v/>
      </c>
      <c r="N582" s="77" t="str">
        <f>IF(Main[[#This Row],[Tech Start Date]]&lt;1/1/1990,"",IF(Main[[#This Row],[Class]]="C",WORKDAY(Main[[#This Row],[Tech Start Date]],19),IF(Main[[#This Row],[Class]]="B", WORKDAY(Main[[#This Row],[Tech Start Date]],12),IF(Main[[#This Row],[Class]]="A",WORKDAY(Main[[#This Row],[Tech Start Date]],4),""))))</f>
        <v/>
      </c>
      <c r="O582" s="77" t="str">
        <f>IF(Main[[#This Row],[Tech Start Date]]&lt;1/1/1990,"",IF(Main[[#This Row],[Class]]="C",WORKDAY(Main[[#This Row],[Tech Start Date]],23),IF(Main[[#This Row],[Class]]="B", WORKDAY(Main[[#This Row],[Tech Start Date]],15),IF(Main[[#This Row],[Class]]="A",WORKDAY(Main[[#This Row],[Tech Start Date]],5),""))))</f>
        <v/>
      </c>
      <c r="P582" s="77" t="str">
        <f>IF(Main[[#This Row],[Tech Start Date]]&lt;1/1/1990,"",IF(Main[[#This Row],[Class]]="C",WORKDAY(Main[[#This Row],[Tech Start Date]],28),IF(Main[[#This Row],[Class]]="B", WORKDAY(Main[[#This Row],[Tech Start Date]],19),IF(Main[[#This Row],[Class]]="A",WORKDAY(Main[[#This Row],[Tech Start Date]],9),""))))</f>
        <v/>
      </c>
      <c r="Q582" s="74">
        <v>40063</v>
      </c>
      <c r="R582" s="74"/>
      <c r="S582" s="72" t="s">
        <v>11</v>
      </c>
      <c r="T582" s="80" t="s">
        <v>4</v>
      </c>
      <c r="U582" s="72" t="s">
        <v>14</v>
      </c>
      <c r="V582" s="72" t="s">
        <v>1947</v>
      </c>
      <c r="W582" s="72" t="s">
        <v>1943</v>
      </c>
      <c r="X582" s="72" t="s">
        <v>3023</v>
      </c>
      <c r="Y582" s="72" t="s">
        <v>4</v>
      </c>
      <c r="Z582" s="72" t="s">
        <v>4</v>
      </c>
    </row>
    <row r="583" spans="1:26" ht="18.600000000000001" customHeight="1">
      <c r="A583" s="142" t="str">
        <f>IF(priority(Main[[#This Row],[Comments]])&lt;&gt;0, priority(Main[[#This Row],[Comments]]),"")</f>
        <v/>
      </c>
      <c r="B583" s="90" t="s">
        <v>1428</v>
      </c>
      <c r="C583" s="72" t="s">
        <v>4</v>
      </c>
      <c r="D583" s="73" t="s">
        <v>497</v>
      </c>
      <c r="E583" s="74">
        <v>40381.391886574071</v>
      </c>
      <c r="F583" s="74"/>
      <c r="G583" s="75" t="str">
        <f>IF(stdProdLT(Main[[#This Row],[Comments]])=0.1,"N/A",IF(stdProdLT(Main[[#This Row],[Comments]])=0,"",stdProdLT(Main[[#This Row],[Comments]])))</f>
        <v/>
      </c>
      <c r="H583" s="76" t="str">
        <f>IF(AND(Main[[#This Row],[In Stock Date]]&lt;&gt;"",Main[[#This Row],[Revised Due Date]]&lt;&gt;""),Main[[#This Row],[In Stock Date]]-Main[[#This Row],[Revised Due Date]],"")</f>
        <v/>
      </c>
      <c r="I583" s="72" t="s">
        <v>4</v>
      </c>
      <c r="J583" s="72" t="s">
        <v>28</v>
      </c>
      <c r="K583" s="72" t="s">
        <v>4</v>
      </c>
      <c r="L583" s="74"/>
      <c r="M583" s="77" t="str">
        <f>IF(Main[[#This Row],[Tech Start Date]]&lt;1/1/1990,"",IF(Main[[#This Row],[Class]]="C",WORKDAY(Main[[#This Row],[Tech Start Date]],9),IF(Main[[#This Row],[Class]]="B", WORKDAY(Main[[#This Row],[Tech Start Date]],6),IF(Main[[#This Row],[Class]]="A",WORKDAY(Main[[#This Row],[Tech Start Date]],2),""))))</f>
        <v/>
      </c>
      <c r="N583" s="77" t="str">
        <f>IF(Main[[#This Row],[Tech Start Date]]&lt;1/1/1990,"",IF(Main[[#This Row],[Class]]="C",WORKDAY(Main[[#This Row],[Tech Start Date]],19),IF(Main[[#This Row],[Class]]="B", WORKDAY(Main[[#This Row],[Tech Start Date]],12),IF(Main[[#This Row],[Class]]="A",WORKDAY(Main[[#This Row],[Tech Start Date]],4),""))))</f>
        <v/>
      </c>
      <c r="O583" s="77" t="str">
        <f>IF(Main[[#This Row],[Tech Start Date]]&lt;1/1/1990,"",IF(Main[[#This Row],[Class]]="C",WORKDAY(Main[[#This Row],[Tech Start Date]],23),IF(Main[[#This Row],[Class]]="B", WORKDAY(Main[[#This Row],[Tech Start Date]],15),IF(Main[[#This Row],[Class]]="A",WORKDAY(Main[[#This Row],[Tech Start Date]],5),""))))</f>
        <v/>
      </c>
      <c r="P583" s="77" t="str">
        <f>IF(Main[[#This Row],[Tech Start Date]]&lt;1/1/1990,"",IF(Main[[#This Row],[Class]]="C",WORKDAY(Main[[#This Row],[Tech Start Date]],28),IF(Main[[#This Row],[Class]]="B", WORKDAY(Main[[#This Row],[Tech Start Date]],19),IF(Main[[#This Row],[Class]]="A",WORKDAY(Main[[#This Row],[Tech Start Date]],9),""))))</f>
        <v/>
      </c>
      <c r="Q583" s="74">
        <v>40451</v>
      </c>
      <c r="R583" s="74"/>
      <c r="S583" s="72" t="s">
        <v>6</v>
      </c>
      <c r="T583" s="80" t="s">
        <v>4</v>
      </c>
      <c r="U583" s="72" t="s">
        <v>7</v>
      </c>
      <c r="V583" s="72" t="s">
        <v>1937</v>
      </c>
      <c r="W583" s="72" t="s">
        <v>1939</v>
      </c>
      <c r="X583" s="72" t="s">
        <v>3039</v>
      </c>
      <c r="Y583" s="72" t="s">
        <v>3201</v>
      </c>
      <c r="Z583" s="72" t="s">
        <v>129</v>
      </c>
    </row>
    <row r="584" spans="1:26" ht="18.600000000000001" customHeight="1">
      <c r="A584" s="142" t="str">
        <f>IF(priority(Main[[#This Row],[Comments]])&lt;&gt;0, priority(Main[[#This Row],[Comments]]),"")</f>
        <v/>
      </c>
      <c r="B584" s="90" t="s">
        <v>2801</v>
      </c>
      <c r="C584" s="72" t="s">
        <v>4</v>
      </c>
      <c r="D584" s="73" t="s">
        <v>2802</v>
      </c>
      <c r="E584" s="74">
        <v>40897.44736111111</v>
      </c>
      <c r="F584" s="74"/>
      <c r="G584" s="75" t="str">
        <f>IF(stdProdLT(Main[[#This Row],[Comments]])=0.1,"N/A",IF(stdProdLT(Main[[#This Row],[Comments]])=0,"",stdProdLT(Main[[#This Row],[Comments]])))</f>
        <v/>
      </c>
      <c r="H584" s="76" t="str">
        <f>IF(AND(Main[[#This Row],[In Stock Date]]&lt;&gt;"",Main[[#This Row],[Revised Due Date]]&lt;&gt;""),Main[[#This Row],[In Stock Date]]-Main[[#This Row],[Revised Due Date]],"")</f>
        <v/>
      </c>
      <c r="I584" s="72" t="s">
        <v>4</v>
      </c>
      <c r="J584" s="72" t="s">
        <v>4</v>
      </c>
      <c r="K584" s="81" t="s">
        <v>4</v>
      </c>
      <c r="L584" s="74"/>
      <c r="M584" s="77" t="str">
        <f>IF(Main[[#This Row],[Tech Start Date]]&lt;1/1/1990,"",IF(Main[[#This Row],[Class]]="C",WORKDAY(Main[[#This Row],[Tech Start Date]],9),IF(Main[[#This Row],[Class]]="B", WORKDAY(Main[[#This Row],[Tech Start Date]],6),IF(Main[[#This Row],[Class]]="A",WORKDAY(Main[[#This Row],[Tech Start Date]],2),""))))</f>
        <v/>
      </c>
      <c r="N584" s="77" t="str">
        <f>IF(Main[[#This Row],[Tech Start Date]]&lt;1/1/1990,"",IF(Main[[#This Row],[Class]]="C",WORKDAY(Main[[#This Row],[Tech Start Date]],19),IF(Main[[#This Row],[Class]]="B", WORKDAY(Main[[#This Row],[Tech Start Date]],12),IF(Main[[#This Row],[Class]]="A",WORKDAY(Main[[#This Row],[Tech Start Date]],4),""))))</f>
        <v/>
      </c>
      <c r="O584" s="77" t="str">
        <f>IF(Main[[#This Row],[Tech Start Date]]&lt;1/1/1990,"",IF(Main[[#This Row],[Class]]="C",WORKDAY(Main[[#This Row],[Tech Start Date]],23),IF(Main[[#This Row],[Class]]="B", WORKDAY(Main[[#This Row],[Tech Start Date]],15),IF(Main[[#This Row],[Class]]="A",WORKDAY(Main[[#This Row],[Tech Start Date]],5),""))))</f>
        <v/>
      </c>
      <c r="P584" s="77" t="str">
        <f>IF(Main[[#This Row],[Tech Start Date]]&lt;1/1/1990,"",IF(Main[[#This Row],[Class]]="C",WORKDAY(Main[[#This Row],[Tech Start Date]],28),IF(Main[[#This Row],[Class]]="B", WORKDAY(Main[[#This Row],[Tech Start Date]],19),IF(Main[[#This Row],[Class]]="A",WORKDAY(Main[[#This Row],[Tech Start Date]],9),""))))</f>
        <v/>
      </c>
      <c r="Q584" s="74"/>
      <c r="R584" s="74"/>
      <c r="S584" s="72" t="s">
        <v>23</v>
      </c>
      <c r="T584" s="80" t="s">
        <v>4</v>
      </c>
      <c r="U584" s="72" t="s">
        <v>7</v>
      </c>
      <c r="V584" s="72" t="s">
        <v>1938</v>
      </c>
      <c r="W584" s="72" t="s">
        <v>1941</v>
      </c>
      <c r="X584" s="72" t="s">
        <v>404</v>
      </c>
      <c r="Y584" s="72" t="s">
        <v>4</v>
      </c>
      <c r="Z584" s="72" t="s">
        <v>4</v>
      </c>
    </row>
    <row r="585" spans="1:26" ht="18.600000000000001" customHeight="1">
      <c r="A585" s="142" t="str">
        <f>IF(priority(Main[[#This Row],[Comments]])&lt;&gt;0, priority(Main[[#This Row],[Comments]]),"")</f>
        <v/>
      </c>
      <c r="B585" s="90" t="s">
        <v>1429</v>
      </c>
      <c r="C585" s="72" t="s">
        <v>4</v>
      </c>
      <c r="D585" s="73" t="s">
        <v>498</v>
      </c>
      <c r="E585" s="74"/>
      <c r="F585" s="74"/>
      <c r="G585" s="75" t="str">
        <f>IF(stdProdLT(Main[[#This Row],[Comments]])=0.1,"N/A",IF(stdProdLT(Main[[#This Row],[Comments]])=0,"",stdProdLT(Main[[#This Row],[Comments]])))</f>
        <v/>
      </c>
      <c r="H585" s="76" t="str">
        <f>IF(AND(Main[[#This Row],[In Stock Date]]&lt;&gt;"",Main[[#This Row],[Revised Due Date]]&lt;&gt;""),Main[[#This Row],[In Stock Date]]-Main[[#This Row],[Revised Due Date]],"")</f>
        <v/>
      </c>
      <c r="I585" s="72" t="s">
        <v>81</v>
      </c>
      <c r="J585" s="72" t="s">
        <v>4</v>
      </c>
      <c r="K585" s="72" t="s">
        <v>4</v>
      </c>
      <c r="L585" s="74"/>
      <c r="M585" s="77" t="str">
        <f>IF(Main[[#This Row],[Tech Start Date]]&lt;1/1/1990,"",IF(Main[[#This Row],[Class]]="C",WORKDAY(Main[[#This Row],[Tech Start Date]],9),IF(Main[[#This Row],[Class]]="B", WORKDAY(Main[[#This Row],[Tech Start Date]],6),IF(Main[[#This Row],[Class]]="A",WORKDAY(Main[[#This Row],[Tech Start Date]],2),""))))</f>
        <v/>
      </c>
      <c r="N585" s="77" t="str">
        <f>IF(Main[[#This Row],[Tech Start Date]]&lt;1/1/1990,"",IF(Main[[#This Row],[Class]]="C",WORKDAY(Main[[#This Row],[Tech Start Date]],19),IF(Main[[#This Row],[Class]]="B", WORKDAY(Main[[#This Row],[Tech Start Date]],12),IF(Main[[#This Row],[Class]]="A",WORKDAY(Main[[#This Row],[Tech Start Date]],4),""))))</f>
        <v/>
      </c>
      <c r="O585" s="77" t="str">
        <f>IF(Main[[#This Row],[Tech Start Date]]&lt;1/1/1990,"",IF(Main[[#This Row],[Class]]="C",WORKDAY(Main[[#This Row],[Tech Start Date]],23),IF(Main[[#This Row],[Class]]="B", WORKDAY(Main[[#This Row],[Tech Start Date]],15),IF(Main[[#This Row],[Class]]="A",WORKDAY(Main[[#This Row],[Tech Start Date]],5),""))))</f>
        <v/>
      </c>
      <c r="P585" s="77" t="str">
        <f>IF(Main[[#This Row],[Tech Start Date]]&lt;1/1/1990,"",IF(Main[[#This Row],[Class]]="C",WORKDAY(Main[[#This Row],[Tech Start Date]],28),IF(Main[[#This Row],[Class]]="B", WORKDAY(Main[[#This Row],[Tech Start Date]],19),IF(Main[[#This Row],[Class]]="A",WORKDAY(Main[[#This Row],[Tech Start Date]],9),""))))</f>
        <v/>
      </c>
      <c r="Q585" s="74">
        <v>40338</v>
      </c>
      <c r="R585" s="74"/>
      <c r="S585" s="72" t="s">
        <v>6</v>
      </c>
      <c r="T585" s="80" t="s">
        <v>4</v>
      </c>
      <c r="U585" s="72" t="s">
        <v>14</v>
      </c>
      <c r="V585" s="72" t="s">
        <v>1940</v>
      </c>
      <c r="W585" s="72" t="s">
        <v>1941</v>
      </c>
      <c r="X585" s="72" t="s">
        <v>404</v>
      </c>
      <c r="Y585" s="72" t="s">
        <v>3219</v>
      </c>
      <c r="Z585" s="72" t="s">
        <v>4</v>
      </c>
    </row>
    <row r="586" spans="1:26" ht="18.600000000000001" customHeight="1">
      <c r="A586" s="142" t="str">
        <f>IF(priority(Main[[#This Row],[Comments]])&lt;&gt;0, priority(Main[[#This Row],[Comments]]),"")</f>
        <v/>
      </c>
      <c r="B586" s="90" t="s">
        <v>1430</v>
      </c>
      <c r="C586" s="72" t="s">
        <v>499</v>
      </c>
      <c r="D586" s="73" t="s">
        <v>500</v>
      </c>
      <c r="E586" s="74"/>
      <c r="F586" s="74"/>
      <c r="G586" s="75" t="str">
        <f>IF(stdProdLT(Main[[#This Row],[Comments]])=0.1,"N/A",IF(stdProdLT(Main[[#This Row],[Comments]])=0,"",stdProdLT(Main[[#This Row],[Comments]])))</f>
        <v/>
      </c>
      <c r="H586" s="76" t="str">
        <f>IF(AND(Main[[#This Row],[In Stock Date]]&lt;&gt;"",Main[[#This Row],[Revised Due Date]]&lt;&gt;""),Main[[#This Row],[In Stock Date]]-Main[[#This Row],[Revised Due Date]],"")</f>
        <v/>
      </c>
      <c r="I586" s="72" t="s">
        <v>4</v>
      </c>
      <c r="J586" s="72" t="s">
        <v>4</v>
      </c>
      <c r="K586" s="81" t="s">
        <v>4</v>
      </c>
      <c r="L586" s="74"/>
      <c r="M586" s="77" t="str">
        <f>IF(Main[[#This Row],[Tech Start Date]]&lt;1/1/1990,"",IF(Main[[#This Row],[Class]]="C",WORKDAY(Main[[#This Row],[Tech Start Date]],9),IF(Main[[#This Row],[Class]]="B", WORKDAY(Main[[#This Row],[Tech Start Date]],6),IF(Main[[#This Row],[Class]]="A",WORKDAY(Main[[#This Row],[Tech Start Date]],2),""))))</f>
        <v/>
      </c>
      <c r="N586" s="77" t="str">
        <f>IF(Main[[#This Row],[Tech Start Date]]&lt;1/1/1990,"",IF(Main[[#This Row],[Class]]="C",WORKDAY(Main[[#This Row],[Tech Start Date]],19),IF(Main[[#This Row],[Class]]="B", WORKDAY(Main[[#This Row],[Tech Start Date]],12),IF(Main[[#This Row],[Class]]="A",WORKDAY(Main[[#This Row],[Tech Start Date]],4),""))))</f>
        <v/>
      </c>
      <c r="O586" s="77" t="str">
        <f>IF(Main[[#This Row],[Tech Start Date]]&lt;1/1/1990,"",IF(Main[[#This Row],[Class]]="C",WORKDAY(Main[[#This Row],[Tech Start Date]],23),IF(Main[[#This Row],[Class]]="B", WORKDAY(Main[[#This Row],[Tech Start Date]],15),IF(Main[[#This Row],[Class]]="A",WORKDAY(Main[[#This Row],[Tech Start Date]],5),""))))</f>
        <v/>
      </c>
      <c r="P586" s="77" t="str">
        <f>IF(Main[[#This Row],[Tech Start Date]]&lt;1/1/1990,"",IF(Main[[#This Row],[Class]]="C",WORKDAY(Main[[#This Row],[Tech Start Date]],28),IF(Main[[#This Row],[Class]]="B", WORKDAY(Main[[#This Row],[Tech Start Date]],19),IF(Main[[#This Row],[Class]]="A",WORKDAY(Main[[#This Row],[Tech Start Date]],9),""))))</f>
        <v/>
      </c>
      <c r="Q586" s="74">
        <v>40239</v>
      </c>
      <c r="R586" s="74"/>
      <c r="S586" s="72" t="s">
        <v>11</v>
      </c>
      <c r="T586" s="80" t="s">
        <v>4</v>
      </c>
      <c r="U586" s="72" t="s">
        <v>14</v>
      </c>
      <c r="V586" s="72" t="s">
        <v>1940</v>
      </c>
      <c r="W586" s="72" t="s">
        <v>1939</v>
      </c>
      <c r="X586" s="72" t="s">
        <v>3048</v>
      </c>
      <c r="Y586" s="72" t="s">
        <v>4</v>
      </c>
      <c r="Z586" s="72" t="s">
        <v>4</v>
      </c>
    </row>
    <row r="587" spans="1:26" ht="18.600000000000001" customHeight="1">
      <c r="A587" s="142" t="str">
        <f>IF(priority(Main[[#This Row],[Comments]])&lt;&gt;0, priority(Main[[#This Row],[Comments]]),"")</f>
        <v/>
      </c>
      <c r="B587" s="90" t="s">
        <v>1431</v>
      </c>
      <c r="C587" s="72" t="s">
        <v>501</v>
      </c>
      <c r="D587" s="73" t="s">
        <v>502</v>
      </c>
      <c r="E587" s="74"/>
      <c r="F587" s="74"/>
      <c r="G587" s="75" t="str">
        <f>IF(stdProdLT(Main[[#This Row],[Comments]])=0.1,"N/A",IF(stdProdLT(Main[[#This Row],[Comments]])=0,"",stdProdLT(Main[[#This Row],[Comments]])))</f>
        <v/>
      </c>
      <c r="H587" s="76" t="str">
        <f>IF(AND(Main[[#This Row],[In Stock Date]]&lt;&gt;"",Main[[#This Row],[Revised Due Date]]&lt;&gt;""),Main[[#This Row],[In Stock Date]]-Main[[#This Row],[Revised Due Date]],"")</f>
        <v/>
      </c>
      <c r="I587" s="72" t="s">
        <v>4</v>
      </c>
      <c r="J587" s="72" t="s">
        <v>4</v>
      </c>
      <c r="K587" s="72" t="s">
        <v>4</v>
      </c>
      <c r="L587" s="74"/>
      <c r="M587" s="77" t="str">
        <f>IF(Main[[#This Row],[Tech Start Date]]&lt;1/1/1990,"",IF(Main[[#This Row],[Class]]="C",WORKDAY(Main[[#This Row],[Tech Start Date]],9),IF(Main[[#This Row],[Class]]="B", WORKDAY(Main[[#This Row],[Tech Start Date]],6),IF(Main[[#This Row],[Class]]="A",WORKDAY(Main[[#This Row],[Tech Start Date]],2),""))))</f>
        <v/>
      </c>
      <c r="N587" s="77" t="str">
        <f>IF(Main[[#This Row],[Tech Start Date]]&lt;1/1/1990,"",IF(Main[[#This Row],[Class]]="C",WORKDAY(Main[[#This Row],[Tech Start Date]],19),IF(Main[[#This Row],[Class]]="B", WORKDAY(Main[[#This Row],[Tech Start Date]],12),IF(Main[[#This Row],[Class]]="A",WORKDAY(Main[[#This Row],[Tech Start Date]],4),""))))</f>
        <v/>
      </c>
      <c r="O587" s="77" t="str">
        <f>IF(Main[[#This Row],[Tech Start Date]]&lt;1/1/1990,"",IF(Main[[#This Row],[Class]]="C",WORKDAY(Main[[#This Row],[Tech Start Date]],23),IF(Main[[#This Row],[Class]]="B", WORKDAY(Main[[#This Row],[Tech Start Date]],15),IF(Main[[#This Row],[Class]]="A",WORKDAY(Main[[#This Row],[Tech Start Date]],5),""))))</f>
        <v/>
      </c>
      <c r="P587" s="77" t="str">
        <f>IF(Main[[#This Row],[Tech Start Date]]&lt;1/1/1990,"",IF(Main[[#This Row],[Class]]="C",WORKDAY(Main[[#This Row],[Tech Start Date]],28),IF(Main[[#This Row],[Class]]="B", WORKDAY(Main[[#This Row],[Tech Start Date]],19),IF(Main[[#This Row],[Class]]="A",WORKDAY(Main[[#This Row],[Tech Start Date]],9),""))))</f>
        <v/>
      </c>
      <c r="Q587" s="74"/>
      <c r="R587" s="74"/>
      <c r="S587" s="72" t="s">
        <v>11</v>
      </c>
      <c r="T587" s="80" t="s">
        <v>4</v>
      </c>
      <c r="U587" s="72" t="s">
        <v>14</v>
      </c>
      <c r="V587" s="72" t="s">
        <v>1937</v>
      </c>
      <c r="W587" s="72" t="s">
        <v>1945</v>
      </c>
      <c r="X587" s="72" t="s">
        <v>50</v>
      </c>
      <c r="Y587" s="72" t="s">
        <v>3220</v>
      </c>
      <c r="Z587" s="72" t="s">
        <v>4</v>
      </c>
    </row>
    <row r="588" spans="1:26" ht="18.600000000000001" customHeight="1">
      <c r="A588" s="142" t="str">
        <f>IF(priority(Main[[#This Row],[Comments]])&lt;&gt;0, priority(Main[[#This Row],[Comments]]),"")</f>
        <v/>
      </c>
      <c r="B588" s="90" t="s">
        <v>1432</v>
      </c>
      <c r="C588" s="72" t="s">
        <v>93</v>
      </c>
      <c r="D588" s="73" t="s">
        <v>503</v>
      </c>
      <c r="E588" s="74"/>
      <c r="F588" s="74">
        <v>40132</v>
      </c>
      <c r="G588" s="75" t="str">
        <f>IF(stdProdLT(Main[[#This Row],[Comments]])=0.1,"N/A",IF(stdProdLT(Main[[#This Row],[Comments]])=0,"",stdProdLT(Main[[#This Row],[Comments]])))</f>
        <v/>
      </c>
      <c r="H588" s="76" t="str">
        <f>IF(AND(Main[[#This Row],[In Stock Date]]&lt;&gt;"",Main[[#This Row],[Revised Due Date]]&lt;&gt;""),Main[[#This Row],[In Stock Date]]-Main[[#This Row],[Revised Due Date]],"")</f>
        <v/>
      </c>
      <c r="I588" s="72" t="s">
        <v>4</v>
      </c>
      <c r="J588" s="72" t="s">
        <v>4</v>
      </c>
      <c r="K588" s="81" t="s">
        <v>4</v>
      </c>
      <c r="L588" s="74"/>
      <c r="M588" s="77" t="str">
        <f>IF(Main[[#This Row],[Tech Start Date]]&lt;1/1/1990,"",IF(Main[[#This Row],[Class]]="C",WORKDAY(Main[[#This Row],[Tech Start Date]],9),IF(Main[[#This Row],[Class]]="B", WORKDAY(Main[[#This Row],[Tech Start Date]],6),IF(Main[[#This Row],[Class]]="A",WORKDAY(Main[[#This Row],[Tech Start Date]],2),""))))</f>
        <v/>
      </c>
      <c r="N588" s="77" t="str">
        <f>IF(Main[[#This Row],[Tech Start Date]]&lt;1/1/1990,"",IF(Main[[#This Row],[Class]]="C",WORKDAY(Main[[#This Row],[Tech Start Date]],19),IF(Main[[#This Row],[Class]]="B", WORKDAY(Main[[#This Row],[Tech Start Date]],12),IF(Main[[#This Row],[Class]]="A",WORKDAY(Main[[#This Row],[Tech Start Date]],4),""))))</f>
        <v/>
      </c>
      <c r="O588" s="77" t="str">
        <f>IF(Main[[#This Row],[Tech Start Date]]&lt;1/1/1990,"",IF(Main[[#This Row],[Class]]="C",WORKDAY(Main[[#This Row],[Tech Start Date]],23),IF(Main[[#This Row],[Class]]="B", WORKDAY(Main[[#This Row],[Tech Start Date]],15),IF(Main[[#This Row],[Class]]="A",WORKDAY(Main[[#This Row],[Tech Start Date]],5),""))))</f>
        <v/>
      </c>
      <c r="P588" s="77" t="str">
        <f>IF(Main[[#This Row],[Tech Start Date]]&lt;1/1/1990,"",IF(Main[[#This Row],[Class]]="C",WORKDAY(Main[[#This Row],[Tech Start Date]],28),IF(Main[[#This Row],[Class]]="B", WORKDAY(Main[[#This Row],[Tech Start Date]],19),IF(Main[[#This Row],[Class]]="A",WORKDAY(Main[[#This Row],[Tech Start Date]],9),""))))</f>
        <v/>
      </c>
      <c r="Q588" s="74">
        <v>40132</v>
      </c>
      <c r="R588" s="74"/>
      <c r="S588" s="72" t="s">
        <v>11</v>
      </c>
      <c r="T588" s="80" t="s">
        <v>4</v>
      </c>
      <c r="U588" s="72" t="s">
        <v>14</v>
      </c>
      <c r="V588" s="72" t="s">
        <v>1947</v>
      </c>
      <c r="W588" s="72" t="s">
        <v>1948</v>
      </c>
      <c r="X588" s="72" t="s">
        <v>3008</v>
      </c>
      <c r="Y588" s="72" t="s">
        <v>4</v>
      </c>
      <c r="Z588" s="72" t="s">
        <v>4</v>
      </c>
    </row>
    <row r="589" spans="1:26" ht="18.600000000000001" customHeight="1">
      <c r="A589" s="142" t="str">
        <f>IF(priority(Main[[#This Row],[Comments]])&lt;&gt;0, priority(Main[[#This Row],[Comments]]),"")</f>
        <v/>
      </c>
      <c r="B589" s="90" t="s">
        <v>1433</v>
      </c>
      <c r="C589" s="72" t="s">
        <v>99</v>
      </c>
      <c r="D589" s="73" t="s">
        <v>504</v>
      </c>
      <c r="E589" s="74"/>
      <c r="F589" s="74">
        <v>40435</v>
      </c>
      <c r="G589" s="75" t="str">
        <f>IF(stdProdLT(Main[[#This Row],[Comments]])=0.1,"N/A",IF(stdProdLT(Main[[#This Row],[Comments]])=0,"",stdProdLT(Main[[#This Row],[Comments]])))</f>
        <v/>
      </c>
      <c r="H589" s="76" t="str">
        <f>IF(AND(Main[[#This Row],[In Stock Date]]&lt;&gt;"",Main[[#This Row],[Revised Due Date]]&lt;&gt;""),Main[[#This Row],[In Stock Date]]-Main[[#This Row],[Revised Due Date]],"")</f>
        <v/>
      </c>
      <c r="I589" s="72" t="s">
        <v>4</v>
      </c>
      <c r="J589" s="72" t="s">
        <v>28</v>
      </c>
      <c r="K589" s="72" t="s">
        <v>4</v>
      </c>
      <c r="L589" s="74"/>
      <c r="M589" s="77" t="str">
        <f>IF(Main[[#This Row],[Tech Start Date]]&lt;1/1/1990,"",IF(Main[[#This Row],[Class]]="C",WORKDAY(Main[[#This Row],[Tech Start Date]],9),IF(Main[[#This Row],[Class]]="B", WORKDAY(Main[[#This Row],[Tech Start Date]],6),IF(Main[[#This Row],[Class]]="A",WORKDAY(Main[[#This Row],[Tech Start Date]],2),""))))</f>
        <v/>
      </c>
      <c r="N589" s="77" t="str">
        <f>IF(Main[[#This Row],[Tech Start Date]]&lt;1/1/1990,"",IF(Main[[#This Row],[Class]]="C",WORKDAY(Main[[#This Row],[Tech Start Date]],19),IF(Main[[#This Row],[Class]]="B", WORKDAY(Main[[#This Row],[Tech Start Date]],12),IF(Main[[#This Row],[Class]]="A",WORKDAY(Main[[#This Row],[Tech Start Date]],4),""))))</f>
        <v/>
      </c>
      <c r="O589" s="77" t="str">
        <f>IF(Main[[#This Row],[Tech Start Date]]&lt;1/1/1990,"",IF(Main[[#This Row],[Class]]="C",WORKDAY(Main[[#This Row],[Tech Start Date]],23),IF(Main[[#This Row],[Class]]="B", WORKDAY(Main[[#This Row],[Tech Start Date]],15),IF(Main[[#This Row],[Class]]="A",WORKDAY(Main[[#This Row],[Tech Start Date]],5),""))))</f>
        <v/>
      </c>
      <c r="P589" s="77" t="str">
        <f>IF(Main[[#This Row],[Tech Start Date]]&lt;1/1/1990,"",IF(Main[[#This Row],[Class]]="C",WORKDAY(Main[[#This Row],[Tech Start Date]],28),IF(Main[[#This Row],[Class]]="B", WORKDAY(Main[[#This Row],[Tech Start Date]],19),IF(Main[[#This Row],[Class]]="A",WORKDAY(Main[[#This Row],[Tech Start Date]],9),""))))</f>
        <v/>
      </c>
      <c r="Q589" s="74">
        <v>40435</v>
      </c>
      <c r="R589" s="74"/>
      <c r="S589" s="72" t="s">
        <v>11</v>
      </c>
      <c r="T589" s="80" t="s">
        <v>4</v>
      </c>
      <c r="U589" s="72" t="s">
        <v>14</v>
      </c>
      <c r="V589" s="72" t="s">
        <v>1940</v>
      </c>
      <c r="W589" s="72" t="s">
        <v>1942</v>
      </c>
      <c r="X589" s="72" t="s">
        <v>2989</v>
      </c>
      <c r="Y589" s="72" t="s">
        <v>3124</v>
      </c>
      <c r="Z589" s="72" t="s">
        <v>536</v>
      </c>
    </row>
    <row r="590" spans="1:26" ht="18.600000000000001" customHeight="1">
      <c r="A590" s="142" t="str">
        <f>IF(priority(Main[[#This Row],[Comments]])&lt;&gt;0, priority(Main[[#This Row],[Comments]]),"")</f>
        <v/>
      </c>
      <c r="B590" s="90" t="s">
        <v>1299</v>
      </c>
      <c r="C590" s="72" t="s">
        <v>42</v>
      </c>
      <c r="D590" s="73" t="s">
        <v>360</v>
      </c>
      <c r="E590" s="74"/>
      <c r="F590" s="74"/>
      <c r="G590" s="75" t="str">
        <f>IF(stdProdLT(Main[[#This Row],[Comments]])=0.1,"N/A",IF(stdProdLT(Main[[#This Row],[Comments]])=0,"",stdProdLT(Main[[#This Row],[Comments]])))</f>
        <v/>
      </c>
      <c r="H590" s="76" t="str">
        <f>IF(AND(Main[[#This Row],[In Stock Date]]&lt;&gt;"",Main[[#This Row],[Revised Due Date]]&lt;&gt;""),Main[[#This Row],[In Stock Date]]-Main[[#This Row],[Revised Due Date]],"")</f>
        <v/>
      </c>
      <c r="I590" s="72" t="s">
        <v>4</v>
      </c>
      <c r="J590" s="72" t="s">
        <v>4</v>
      </c>
      <c r="K590" s="81" t="s">
        <v>4</v>
      </c>
      <c r="L590" s="74"/>
      <c r="M590" s="77" t="str">
        <f>IF(Main[[#This Row],[Tech Start Date]]&lt;1/1/1990,"",IF(Main[[#This Row],[Class]]="C",WORKDAY(Main[[#This Row],[Tech Start Date]],9),IF(Main[[#This Row],[Class]]="B", WORKDAY(Main[[#This Row],[Tech Start Date]],6),IF(Main[[#This Row],[Class]]="A",WORKDAY(Main[[#This Row],[Tech Start Date]],2),""))))</f>
        <v/>
      </c>
      <c r="N590" s="77" t="str">
        <f>IF(Main[[#This Row],[Tech Start Date]]&lt;1/1/1990,"",IF(Main[[#This Row],[Class]]="C",WORKDAY(Main[[#This Row],[Tech Start Date]],19),IF(Main[[#This Row],[Class]]="B", WORKDAY(Main[[#This Row],[Tech Start Date]],12),IF(Main[[#This Row],[Class]]="A",WORKDAY(Main[[#This Row],[Tech Start Date]],4),""))))</f>
        <v/>
      </c>
      <c r="O590" s="77" t="str">
        <f>IF(Main[[#This Row],[Tech Start Date]]&lt;1/1/1990,"",IF(Main[[#This Row],[Class]]="C",WORKDAY(Main[[#This Row],[Tech Start Date]],23),IF(Main[[#This Row],[Class]]="B", WORKDAY(Main[[#This Row],[Tech Start Date]],15),IF(Main[[#This Row],[Class]]="A",WORKDAY(Main[[#This Row],[Tech Start Date]],5),""))))</f>
        <v/>
      </c>
      <c r="P590" s="77" t="str">
        <f>IF(Main[[#This Row],[Tech Start Date]]&lt;1/1/1990,"",IF(Main[[#This Row],[Class]]="C",WORKDAY(Main[[#This Row],[Tech Start Date]],28),IF(Main[[#This Row],[Class]]="B", WORKDAY(Main[[#This Row],[Tech Start Date]],19),IF(Main[[#This Row],[Class]]="A",WORKDAY(Main[[#This Row],[Tech Start Date]],9),""))))</f>
        <v/>
      </c>
      <c r="Q590" s="74"/>
      <c r="R590" s="74"/>
      <c r="S590" s="72" t="s">
        <v>17</v>
      </c>
      <c r="T590" s="80" t="s">
        <v>4</v>
      </c>
      <c r="U590" s="72" t="s">
        <v>14</v>
      </c>
      <c r="V590" s="72" t="s">
        <v>1940</v>
      </c>
      <c r="W590" s="72" t="s">
        <v>4</v>
      </c>
      <c r="X590" s="72" t="s">
        <v>404</v>
      </c>
      <c r="Y590" s="72" t="s">
        <v>4</v>
      </c>
      <c r="Z590" s="72" t="s">
        <v>4</v>
      </c>
    </row>
    <row r="591" spans="1:26" ht="18.600000000000001" customHeight="1">
      <c r="A591" s="142" t="str">
        <f>IF(priority(Main[[#This Row],[Comments]])&lt;&gt;0, priority(Main[[#This Row],[Comments]]),"")</f>
        <v/>
      </c>
      <c r="B591" s="90" t="s">
        <v>1434</v>
      </c>
      <c r="C591" s="72" t="s">
        <v>505</v>
      </c>
      <c r="D591" s="73" t="s">
        <v>506</v>
      </c>
      <c r="E591" s="74"/>
      <c r="F591" s="74">
        <v>40296</v>
      </c>
      <c r="G591" s="75" t="str">
        <f>IF(stdProdLT(Main[[#This Row],[Comments]])=0.1,"N/A",IF(stdProdLT(Main[[#This Row],[Comments]])=0,"",stdProdLT(Main[[#This Row],[Comments]])))</f>
        <v/>
      </c>
      <c r="H591" s="76" t="str">
        <f>IF(AND(Main[[#This Row],[In Stock Date]]&lt;&gt;"",Main[[#This Row],[Revised Due Date]]&lt;&gt;""),Main[[#This Row],[In Stock Date]]-Main[[#This Row],[Revised Due Date]],"")</f>
        <v/>
      </c>
      <c r="I591" s="72" t="s">
        <v>4</v>
      </c>
      <c r="J591" s="72" t="s">
        <v>4</v>
      </c>
      <c r="K591" s="72" t="s">
        <v>4</v>
      </c>
      <c r="L591" s="74"/>
      <c r="M591" s="77" t="str">
        <f>IF(Main[[#This Row],[Tech Start Date]]&lt;1/1/1990,"",IF(Main[[#This Row],[Class]]="C",WORKDAY(Main[[#This Row],[Tech Start Date]],9),IF(Main[[#This Row],[Class]]="B", WORKDAY(Main[[#This Row],[Tech Start Date]],6),IF(Main[[#This Row],[Class]]="A",WORKDAY(Main[[#This Row],[Tech Start Date]],2),""))))</f>
        <v/>
      </c>
      <c r="N591" s="77" t="str">
        <f>IF(Main[[#This Row],[Tech Start Date]]&lt;1/1/1990,"",IF(Main[[#This Row],[Class]]="C",WORKDAY(Main[[#This Row],[Tech Start Date]],19),IF(Main[[#This Row],[Class]]="B", WORKDAY(Main[[#This Row],[Tech Start Date]],12),IF(Main[[#This Row],[Class]]="A",WORKDAY(Main[[#This Row],[Tech Start Date]],4),""))))</f>
        <v/>
      </c>
      <c r="O591" s="77" t="str">
        <f>IF(Main[[#This Row],[Tech Start Date]]&lt;1/1/1990,"",IF(Main[[#This Row],[Class]]="C",WORKDAY(Main[[#This Row],[Tech Start Date]],23),IF(Main[[#This Row],[Class]]="B", WORKDAY(Main[[#This Row],[Tech Start Date]],15),IF(Main[[#This Row],[Class]]="A",WORKDAY(Main[[#This Row],[Tech Start Date]],5),""))))</f>
        <v/>
      </c>
      <c r="P591" s="77" t="str">
        <f>IF(Main[[#This Row],[Tech Start Date]]&lt;1/1/1990,"",IF(Main[[#This Row],[Class]]="C",WORKDAY(Main[[#This Row],[Tech Start Date]],28),IF(Main[[#This Row],[Class]]="B", WORKDAY(Main[[#This Row],[Tech Start Date]],19),IF(Main[[#This Row],[Class]]="A",WORKDAY(Main[[#This Row],[Tech Start Date]],9),""))))</f>
        <v/>
      </c>
      <c r="Q591" s="74"/>
      <c r="R591" s="74"/>
      <c r="S591" s="72" t="s">
        <v>11</v>
      </c>
      <c r="T591" s="80" t="s">
        <v>4</v>
      </c>
      <c r="U591" s="72" t="s">
        <v>14</v>
      </c>
      <c r="V591" s="72" t="s">
        <v>1947</v>
      </c>
      <c r="W591" s="72" t="s">
        <v>1943</v>
      </c>
      <c r="X591" s="72" t="s">
        <v>3020</v>
      </c>
      <c r="Y591" s="72" t="s">
        <v>3170</v>
      </c>
      <c r="Z591" s="72" t="s">
        <v>4</v>
      </c>
    </row>
    <row r="592" spans="1:26" ht="18.600000000000001" customHeight="1">
      <c r="A592" s="142" t="str">
        <f>IF(priority(Main[[#This Row],[Comments]])&lt;&gt;0, priority(Main[[#This Row],[Comments]]),"")</f>
        <v/>
      </c>
      <c r="B592" s="90" t="s">
        <v>1880</v>
      </c>
      <c r="C592" s="72" t="s">
        <v>47</v>
      </c>
      <c r="D592" s="73" t="s">
        <v>929</v>
      </c>
      <c r="E592" s="74">
        <v>39937.592280092591</v>
      </c>
      <c r="F592" s="74"/>
      <c r="G592" s="75" t="str">
        <f>IF(stdProdLT(Main[[#This Row],[Comments]])=0.1,"N/A",IF(stdProdLT(Main[[#This Row],[Comments]])=0,"",stdProdLT(Main[[#This Row],[Comments]])))</f>
        <v/>
      </c>
      <c r="H592" s="76" t="str">
        <f>IF(AND(Main[[#This Row],[In Stock Date]]&lt;&gt;"",Main[[#This Row],[Revised Due Date]]&lt;&gt;""),Main[[#This Row],[In Stock Date]]-Main[[#This Row],[Revised Due Date]],"")</f>
        <v/>
      </c>
      <c r="I592" s="72" t="s">
        <v>903</v>
      </c>
      <c r="J592" s="72" t="s">
        <v>4</v>
      </c>
      <c r="K592" s="81" t="s">
        <v>1949</v>
      </c>
      <c r="L592" s="74"/>
      <c r="M592" s="77" t="str">
        <f>IF(Main[[#This Row],[Tech Start Date]]&lt;1/1/1990,"",IF(Main[[#This Row],[Class]]="C",WORKDAY(Main[[#This Row],[Tech Start Date]],9),IF(Main[[#This Row],[Class]]="B", WORKDAY(Main[[#This Row],[Tech Start Date]],6),IF(Main[[#This Row],[Class]]="A",WORKDAY(Main[[#This Row],[Tech Start Date]],2),""))))</f>
        <v/>
      </c>
      <c r="N592" s="77" t="str">
        <f>IF(Main[[#This Row],[Tech Start Date]]&lt;1/1/1990,"",IF(Main[[#This Row],[Class]]="C",WORKDAY(Main[[#This Row],[Tech Start Date]],19),IF(Main[[#This Row],[Class]]="B", WORKDAY(Main[[#This Row],[Tech Start Date]],12),IF(Main[[#This Row],[Class]]="A",WORKDAY(Main[[#This Row],[Tech Start Date]],4),""))))</f>
        <v/>
      </c>
      <c r="O592" s="77" t="str">
        <f>IF(Main[[#This Row],[Tech Start Date]]&lt;1/1/1990,"",IF(Main[[#This Row],[Class]]="C",WORKDAY(Main[[#This Row],[Tech Start Date]],23),IF(Main[[#This Row],[Class]]="B", WORKDAY(Main[[#This Row],[Tech Start Date]],15),IF(Main[[#This Row],[Class]]="A",WORKDAY(Main[[#This Row],[Tech Start Date]],5),""))))</f>
        <v/>
      </c>
      <c r="P592" s="77" t="str">
        <f>IF(Main[[#This Row],[Tech Start Date]]&lt;1/1/1990,"",IF(Main[[#This Row],[Class]]="C",WORKDAY(Main[[#This Row],[Tech Start Date]],28),IF(Main[[#This Row],[Class]]="B", WORKDAY(Main[[#This Row],[Tech Start Date]],19),IF(Main[[#This Row],[Class]]="A",WORKDAY(Main[[#This Row],[Tech Start Date]],9),""))))</f>
        <v/>
      </c>
      <c r="Q592" s="74">
        <v>40209</v>
      </c>
      <c r="R592" s="74">
        <v>40574</v>
      </c>
      <c r="S592" s="72" t="s">
        <v>17</v>
      </c>
      <c r="T592" s="80" t="s">
        <v>4</v>
      </c>
      <c r="U592" s="72" t="s">
        <v>29</v>
      </c>
      <c r="V592" s="72" t="s">
        <v>1937</v>
      </c>
      <c r="W592" s="72" t="s">
        <v>1941</v>
      </c>
      <c r="X592" s="72" t="s">
        <v>2979</v>
      </c>
      <c r="Y592" s="72" t="s">
        <v>3106</v>
      </c>
      <c r="Z592" s="72" t="s">
        <v>4</v>
      </c>
    </row>
    <row r="593" spans="1:26" ht="18.600000000000001" customHeight="1">
      <c r="A593" s="142" t="str">
        <f>IF(priority(Main[[#This Row],[Comments]])&lt;&gt;0, priority(Main[[#This Row],[Comments]]),"")</f>
        <v/>
      </c>
      <c r="B593" s="90" t="s">
        <v>1435</v>
      </c>
      <c r="C593" s="72" t="s">
        <v>507</v>
      </c>
      <c r="D593" s="73" t="s">
        <v>508</v>
      </c>
      <c r="E593" s="74"/>
      <c r="F593" s="74">
        <v>40848</v>
      </c>
      <c r="G593" s="75" t="str">
        <f>IF(stdProdLT(Main[[#This Row],[Comments]])=0.1,"N/A",IF(stdProdLT(Main[[#This Row],[Comments]])=0,"",stdProdLT(Main[[#This Row],[Comments]])))</f>
        <v/>
      </c>
      <c r="H593" s="76" t="str">
        <f>IF(AND(Main[[#This Row],[In Stock Date]]&lt;&gt;"",Main[[#This Row],[Revised Due Date]]&lt;&gt;""),Main[[#This Row],[In Stock Date]]-Main[[#This Row],[Revised Due Date]],"")</f>
        <v/>
      </c>
      <c r="I593" s="72" t="s">
        <v>4</v>
      </c>
      <c r="J593" s="72" t="s">
        <v>28</v>
      </c>
      <c r="K593" s="81" t="s">
        <v>4</v>
      </c>
      <c r="L593" s="74"/>
      <c r="M593" s="77" t="str">
        <f>IF(Main[[#This Row],[Tech Start Date]]&lt;1/1/1990,"",IF(Main[[#This Row],[Class]]="C",WORKDAY(Main[[#This Row],[Tech Start Date]],9),IF(Main[[#This Row],[Class]]="B", WORKDAY(Main[[#This Row],[Tech Start Date]],6),IF(Main[[#This Row],[Class]]="A",WORKDAY(Main[[#This Row],[Tech Start Date]],2),""))))</f>
        <v/>
      </c>
      <c r="N593" s="77" t="str">
        <f>IF(Main[[#This Row],[Tech Start Date]]&lt;1/1/1990,"",IF(Main[[#This Row],[Class]]="C",WORKDAY(Main[[#This Row],[Tech Start Date]],19),IF(Main[[#This Row],[Class]]="B", WORKDAY(Main[[#This Row],[Tech Start Date]],12),IF(Main[[#This Row],[Class]]="A",WORKDAY(Main[[#This Row],[Tech Start Date]],4),""))))</f>
        <v/>
      </c>
      <c r="O593" s="77" t="str">
        <f>IF(Main[[#This Row],[Tech Start Date]]&lt;1/1/1990,"",IF(Main[[#This Row],[Class]]="C",WORKDAY(Main[[#This Row],[Tech Start Date]],23),IF(Main[[#This Row],[Class]]="B", WORKDAY(Main[[#This Row],[Tech Start Date]],15),IF(Main[[#This Row],[Class]]="A",WORKDAY(Main[[#This Row],[Tech Start Date]],5),""))))</f>
        <v/>
      </c>
      <c r="P593" s="77" t="str">
        <f>IF(Main[[#This Row],[Tech Start Date]]&lt;1/1/1990,"",IF(Main[[#This Row],[Class]]="C",WORKDAY(Main[[#This Row],[Tech Start Date]],28),IF(Main[[#This Row],[Class]]="B", WORKDAY(Main[[#This Row],[Tech Start Date]],19),IF(Main[[#This Row],[Class]]="A",WORKDAY(Main[[#This Row],[Tech Start Date]],9),""))))</f>
        <v/>
      </c>
      <c r="Q593" s="74">
        <v>40627</v>
      </c>
      <c r="R593" s="74"/>
      <c r="S593" s="72" t="s">
        <v>11</v>
      </c>
      <c r="T593" s="80" t="s">
        <v>4</v>
      </c>
      <c r="U593" s="72" t="s">
        <v>14</v>
      </c>
      <c r="V593" s="72" t="s">
        <v>1940</v>
      </c>
      <c r="W593" s="72" t="s">
        <v>1943</v>
      </c>
      <c r="X593" s="72" t="s">
        <v>50</v>
      </c>
      <c r="Y593" s="72" t="s">
        <v>3221</v>
      </c>
      <c r="Z593" s="72" t="s">
        <v>81</v>
      </c>
    </row>
    <row r="594" spans="1:26" ht="18.600000000000001" customHeight="1">
      <c r="A594" s="142" t="str">
        <f>IF(priority(Main[[#This Row],[Comments]])&lt;&gt;0, priority(Main[[#This Row],[Comments]]),"")</f>
        <v/>
      </c>
      <c r="B594" s="90" t="s">
        <v>1436</v>
      </c>
      <c r="C594" s="72" t="s">
        <v>4</v>
      </c>
      <c r="D594" s="73" t="s">
        <v>1973</v>
      </c>
      <c r="E594" s="74"/>
      <c r="F594" s="74"/>
      <c r="G594" s="75" t="str">
        <f>IF(stdProdLT(Main[[#This Row],[Comments]])=0.1,"N/A",IF(stdProdLT(Main[[#This Row],[Comments]])=0,"",stdProdLT(Main[[#This Row],[Comments]])))</f>
        <v/>
      </c>
      <c r="H594" s="76" t="str">
        <f>IF(AND(Main[[#This Row],[In Stock Date]]&lt;&gt;"",Main[[#This Row],[Revised Due Date]]&lt;&gt;""),Main[[#This Row],[In Stock Date]]-Main[[#This Row],[Revised Due Date]],"")</f>
        <v/>
      </c>
      <c r="I594" s="72" t="s">
        <v>4</v>
      </c>
      <c r="J594" s="72" t="s">
        <v>28</v>
      </c>
      <c r="K594" s="72" t="s">
        <v>1944</v>
      </c>
      <c r="L594" s="74"/>
      <c r="M594" s="77" t="str">
        <f>IF(Main[[#This Row],[Tech Start Date]]&lt;1/1/1990,"",IF(Main[[#This Row],[Class]]="C",WORKDAY(Main[[#This Row],[Tech Start Date]],9),IF(Main[[#This Row],[Class]]="B", WORKDAY(Main[[#This Row],[Tech Start Date]],6),IF(Main[[#This Row],[Class]]="A",WORKDAY(Main[[#This Row],[Tech Start Date]],2),""))))</f>
        <v/>
      </c>
      <c r="N594" s="77" t="str">
        <f>IF(Main[[#This Row],[Tech Start Date]]&lt;1/1/1990,"",IF(Main[[#This Row],[Class]]="C",WORKDAY(Main[[#This Row],[Tech Start Date]],19),IF(Main[[#This Row],[Class]]="B", WORKDAY(Main[[#This Row],[Tech Start Date]],12),IF(Main[[#This Row],[Class]]="A",WORKDAY(Main[[#This Row],[Tech Start Date]],4),""))))</f>
        <v/>
      </c>
      <c r="O594" s="77" t="str">
        <f>IF(Main[[#This Row],[Tech Start Date]]&lt;1/1/1990,"",IF(Main[[#This Row],[Class]]="C",WORKDAY(Main[[#This Row],[Tech Start Date]],23),IF(Main[[#This Row],[Class]]="B", WORKDAY(Main[[#This Row],[Tech Start Date]],15),IF(Main[[#This Row],[Class]]="A",WORKDAY(Main[[#This Row],[Tech Start Date]],5),""))))</f>
        <v/>
      </c>
      <c r="P594" s="77" t="str">
        <f>IF(Main[[#This Row],[Tech Start Date]]&lt;1/1/1990,"",IF(Main[[#This Row],[Class]]="C",WORKDAY(Main[[#This Row],[Tech Start Date]],28),IF(Main[[#This Row],[Class]]="B", WORKDAY(Main[[#This Row],[Tech Start Date]],19),IF(Main[[#This Row],[Class]]="A",WORKDAY(Main[[#This Row],[Tech Start Date]],9),""))))</f>
        <v/>
      </c>
      <c r="Q594" s="74"/>
      <c r="R594" s="74"/>
      <c r="S594" s="72" t="s">
        <v>6</v>
      </c>
      <c r="T594" s="80" t="s">
        <v>4</v>
      </c>
      <c r="U594" s="72" t="s">
        <v>14</v>
      </c>
      <c r="V594" s="72" t="s">
        <v>1938</v>
      </c>
      <c r="W594" s="72" t="s">
        <v>1939</v>
      </c>
      <c r="X594" s="72" t="s">
        <v>3049</v>
      </c>
      <c r="Y594" s="72" t="s">
        <v>3222</v>
      </c>
      <c r="Z594" s="72" t="s">
        <v>4</v>
      </c>
    </row>
    <row r="595" spans="1:26" ht="18.600000000000001" customHeight="1">
      <c r="A595" s="142" t="str">
        <f>IF(priority(Main[[#This Row],[Comments]])&lt;&gt;0, priority(Main[[#This Row],[Comments]]),"")</f>
        <v/>
      </c>
      <c r="B595" s="90" t="s">
        <v>1437</v>
      </c>
      <c r="C595" s="72" t="s">
        <v>83</v>
      </c>
      <c r="D595" s="73" t="s">
        <v>509</v>
      </c>
      <c r="E595" s="74"/>
      <c r="F595" s="74"/>
      <c r="G595" s="75" t="str">
        <f>IF(stdProdLT(Main[[#This Row],[Comments]])=0.1,"N/A",IF(stdProdLT(Main[[#This Row],[Comments]])=0,"",stdProdLT(Main[[#This Row],[Comments]])))</f>
        <v/>
      </c>
      <c r="H595" s="76" t="str">
        <f>IF(AND(Main[[#This Row],[In Stock Date]]&lt;&gt;"",Main[[#This Row],[Revised Due Date]]&lt;&gt;""),Main[[#This Row],[In Stock Date]]-Main[[#This Row],[Revised Due Date]],"")</f>
        <v/>
      </c>
      <c r="I595" s="72" t="s">
        <v>4</v>
      </c>
      <c r="J595" s="72" t="s">
        <v>4</v>
      </c>
      <c r="K595" s="72" t="s">
        <v>4</v>
      </c>
      <c r="L595" s="74"/>
      <c r="M595" s="77" t="str">
        <f>IF(Main[[#This Row],[Tech Start Date]]&lt;1/1/1990,"",IF(Main[[#This Row],[Class]]="C",WORKDAY(Main[[#This Row],[Tech Start Date]],9),IF(Main[[#This Row],[Class]]="B", WORKDAY(Main[[#This Row],[Tech Start Date]],6),IF(Main[[#This Row],[Class]]="A",WORKDAY(Main[[#This Row],[Tech Start Date]],2),""))))</f>
        <v/>
      </c>
      <c r="N595" s="77" t="str">
        <f>IF(Main[[#This Row],[Tech Start Date]]&lt;1/1/1990,"",IF(Main[[#This Row],[Class]]="C",WORKDAY(Main[[#This Row],[Tech Start Date]],19),IF(Main[[#This Row],[Class]]="B", WORKDAY(Main[[#This Row],[Tech Start Date]],12),IF(Main[[#This Row],[Class]]="A",WORKDAY(Main[[#This Row],[Tech Start Date]],4),""))))</f>
        <v/>
      </c>
      <c r="O595" s="77" t="str">
        <f>IF(Main[[#This Row],[Tech Start Date]]&lt;1/1/1990,"",IF(Main[[#This Row],[Class]]="C",WORKDAY(Main[[#This Row],[Tech Start Date]],23),IF(Main[[#This Row],[Class]]="B", WORKDAY(Main[[#This Row],[Tech Start Date]],15),IF(Main[[#This Row],[Class]]="A",WORKDAY(Main[[#This Row],[Tech Start Date]],5),""))))</f>
        <v/>
      </c>
      <c r="P595" s="77" t="str">
        <f>IF(Main[[#This Row],[Tech Start Date]]&lt;1/1/1990,"",IF(Main[[#This Row],[Class]]="C",WORKDAY(Main[[#This Row],[Tech Start Date]],28),IF(Main[[#This Row],[Class]]="B", WORKDAY(Main[[#This Row],[Tech Start Date]],19),IF(Main[[#This Row],[Class]]="A",WORKDAY(Main[[#This Row],[Tech Start Date]],9),""))))</f>
        <v/>
      </c>
      <c r="Q595" s="74">
        <v>40259</v>
      </c>
      <c r="R595" s="74"/>
      <c r="S595" s="72" t="s">
        <v>11</v>
      </c>
      <c r="T595" s="80" t="s">
        <v>4</v>
      </c>
      <c r="U595" s="72" t="s">
        <v>14</v>
      </c>
      <c r="V595" s="72" t="s">
        <v>1937</v>
      </c>
      <c r="W595" s="72" t="s">
        <v>1948</v>
      </c>
      <c r="X595" s="72" t="s">
        <v>2969</v>
      </c>
      <c r="Y595" s="72" t="s">
        <v>4</v>
      </c>
      <c r="Z595" s="72" t="s">
        <v>4</v>
      </c>
    </row>
    <row r="596" spans="1:26" ht="18.600000000000001" customHeight="1">
      <c r="A596" s="142" t="str">
        <f>IF(priority(Main[[#This Row],[Comments]])&lt;&gt;0, priority(Main[[#This Row],[Comments]]),"")</f>
        <v/>
      </c>
      <c r="B596" s="90" t="s">
        <v>1438</v>
      </c>
      <c r="C596" s="72" t="s">
        <v>4</v>
      </c>
      <c r="D596" s="73" t="s">
        <v>510</v>
      </c>
      <c r="E596" s="74">
        <v>40582.330949074072</v>
      </c>
      <c r="F596" s="74">
        <v>40664</v>
      </c>
      <c r="G596" s="75" t="str">
        <f>IF(stdProdLT(Main[[#This Row],[Comments]])=0.1,"N/A",IF(stdProdLT(Main[[#This Row],[Comments]])=0,"",stdProdLT(Main[[#This Row],[Comments]])))</f>
        <v/>
      </c>
      <c r="H596" s="76" t="str">
        <f>IF(AND(Main[[#This Row],[In Stock Date]]&lt;&gt;"",Main[[#This Row],[Revised Due Date]]&lt;&gt;""),Main[[#This Row],[In Stock Date]]-Main[[#This Row],[Revised Due Date]],"")</f>
        <v/>
      </c>
      <c r="I596" s="72" t="s">
        <v>4</v>
      </c>
      <c r="J596" s="72" t="s">
        <v>28</v>
      </c>
      <c r="K596" s="72" t="s">
        <v>1944</v>
      </c>
      <c r="L596" s="74"/>
      <c r="M596" s="77" t="str">
        <f>IF(Main[[#This Row],[Tech Start Date]]&lt;1/1/1990,"",IF(Main[[#This Row],[Class]]="C",WORKDAY(Main[[#This Row],[Tech Start Date]],9),IF(Main[[#This Row],[Class]]="B", WORKDAY(Main[[#This Row],[Tech Start Date]],6),IF(Main[[#This Row],[Class]]="A",WORKDAY(Main[[#This Row],[Tech Start Date]],2),""))))</f>
        <v/>
      </c>
      <c r="N596" s="77" t="str">
        <f>IF(Main[[#This Row],[Tech Start Date]]&lt;1/1/1990,"",IF(Main[[#This Row],[Class]]="C",WORKDAY(Main[[#This Row],[Tech Start Date]],19),IF(Main[[#This Row],[Class]]="B", WORKDAY(Main[[#This Row],[Tech Start Date]],12),IF(Main[[#This Row],[Class]]="A",WORKDAY(Main[[#This Row],[Tech Start Date]],4),""))))</f>
        <v/>
      </c>
      <c r="O596" s="77" t="str">
        <f>IF(Main[[#This Row],[Tech Start Date]]&lt;1/1/1990,"",IF(Main[[#This Row],[Class]]="C",WORKDAY(Main[[#This Row],[Tech Start Date]],23),IF(Main[[#This Row],[Class]]="B", WORKDAY(Main[[#This Row],[Tech Start Date]],15),IF(Main[[#This Row],[Class]]="A",WORKDAY(Main[[#This Row],[Tech Start Date]],5),""))))</f>
        <v/>
      </c>
      <c r="P596" s="77" t="str">
        <f>IF(Main[[#This Row],[Tech Start Date]]&lt;1/1/1990,"",IF(Main[[#This Row],[Class]]="C",WORKDAY(Main[[#This Row],[Tech Start Date]],28),IF(Main[[#This Row],[Class]]="B", WORKDAY(Main[[#This Row],[Tech Start Date]],19),IF(Main[[#This Row],[Class]]="A",WORKDAY(Main[[#This Row],[Tech Start Date]],9),""))))</f>
        <v/>
      </c>
      <c r="Q596" s="74">
        <v>40664</v>
      </c>
      <c r="R596" s="74"/>
      <c r="S596" s="72" t="s">
        <v>6</v>
      </c>
      <c r="T596" s="80" t="s">
        <v>4</v>
      </c>
      <c r="U596" s="72" t="s">
        <v>7</v>
      </c>
      <c r="V596" s="72" t="s">
        <v>1937</v>
      </c>
      <c r="W596" s="72" t="s">
        <v>1939</v>
      </c>
      <c r="X596" s="72" t="s">
        <v>2997</v>
      </c>
      <c r="Y596" s="72" t="s">
        <v>3223</v>
      </c>
      <c r="Z596" s="72" t="s">
        <v>129</v>
      </c>
    </row>
    <row r="597" spans="1:26" ht="18.600000000000001" customHeight="1">
      <c r="A597" s="142" t="str">
        <f>IF(priority(Main[[#This Row],[Comments]])&lt;&gt;0, priority(Main[[#This Row],[Comments]]),"")</f>
        <v/>
      </c>
      <c r="B597" s="90" t="s">
        <v>1439</v>
      </c>
      <c r="C597" s="72" t="s">
        <v>4</v>
      </c>
      <c r="D597" s="73" t="s">
        <v>511</v>
      </c>
      <c r="E597" s="74"/>
      <c r="F597" s="74"/>
      <c r="G597" s="75" t="str">
        <f>IF(stdProdLT(Main[[#This Row],[Comments]])=0.1,"N/A",IF(stdProdLT(Main[[#This Row],[Comments]])=0,"",stdProdLT(Main[[#This Row],[Comments]])))</f>
        <v/>
      </c>
      <c r="H597" s="76" t="str">
        <f>IF(AND(Main[[#This Row],[In Stock Date]]&lt;&gt;"",Main[[#This Row],[Revised Due Date]]&lt;&gt;""),Main[[#This Row],[In Stock Date]]-Main[[#This Row],[Revised Due Date]],"")</f>
        <v/>
      </c>
      <c r="I597" s="72" t="s">
        <v>4</v>
      </c>
      <c r="J597" s="72" t="s">
        <v>4</v>
      </c>
      <c r="K597" s="72" t="s">
        <v>4</v>
      </c>
      <c r="L597" s="74"/>
      <c r="M597" s="77" t="str">
        <f>IF(Main[[#This Row],[Tech Start Date]]&lt;1/1/1990,"",IF(Main[[#This Row],[Class]]="C",WORKDAY(Main[[#This Row],[Tech Start Date]],9),IF(Main[[#This Row],[Class]]="B", WORKDAY(Main[[#This Row],[Tech Start Date]],6),IF(Main[[#This Row],[Class]]="A",WORKDAY(Main[[#This Row],[Tech Start Date]],2),""))))</f>
        <v/>
      </c>
      <c r="N597" s="77" t="str">
        <f>IF(Main[[#This Row],[Tech Start Date]]&lt;1/1/1990,"",IF(Main[[#This Row],[Class]]="C",WORKDAY(Main[[#This Row],[Tech Start Date]],19),IF(Main[[#This Row],[Class]]="B", WORKDAY(Main[[#This Row],[Tech Start Date]],12),IF(Main[[#This Row],[Class]]="A",WORKDAY(Main[[#This Row],[Tech Start Date]],4),""))))</f>
        <v/>
      </c>
      <c r="O597" s="77" t="str">
        <f>IF(Main[[#This Row],[Tech Start Date]]&lt;1/1/1990,"",IF(Main[[#This Row],[Class]]="C",WORKDAY(Main[[#This Row],[Tech Start Date]],23),IF(Main[[#This Row],[Class]]="B", WORKDAY(Main[[#This Row],[Tech Start Date]],15),IF(Main[[#This Row],[Class]]="A",WORKDAY(Main[[#This Row],[Tech Start Date]],5),""))))</f>
        <v/>
      </c>
      <c r="P597" s="77" t="str">
        <f>IF(Main[[#This Row],[Tech Start Date]]&lt;1/1/1990,"",IF(Main[[#This Row],[Class]]="C",WORKDAY(Main[[#This Row],[Tech Start Date]],28),IF(Main[[#This Row],[Class]]="B", WORKDAY(Main[[#This Row],[Tech Start Date]],19),IF(Main[[#This Row],[Class]]="A",WORKDAY(Main[[#This Row],[Tech Start Date]],9),""))))</f>
        <v/>
      </c>
      <c r="Q597" s="74"/>
      <c r="R597" s="74"/>
      <c r="S597" s="72" t="s">
        <v>11</v>
      </c>
      <c r="T597" s="80" t="s">
        <v>4</v>
      </c>
      <c r="U597" s="72" t="s">
        <v>14</v>
      </c>
      <c r="V597" s="72" t="s">
        <v>1940</v>
      </c>
      <c r="W597" s="72" t="s">
        <v>1945</v>
      </c>
      <c r="X597" s="72" t="s">
        <v>2999</v>
      </c>
      <c r="Y597" s="72" t="s">
        <v>3136</v>
      </c>
      <c r="Z597" s="72" t="s">
        <v>4</v>
      </c>
    </row>
    <row r="598" spans="1:26" ht="18.600000000000001" customHeight="1">
      <c r="A598" s="142" t="str">
        <f>IF(priority(Main[[#This Row],[Comments]])&lt;&gt;0, priority(Main[[#This Row],[Comments]]),"")</f>
        <v/>
      </c>
      <c r="B598" s="90" t="s">
        <v>1440</v>
      </c>
      <c r="C598" s="72" t="s">
        <v>512</v>
      </c>
      <c r="D598" s="73" t="s">
        <v>513</v>
      </c>
      <c r="E598" s="74"/>
      <c r="F598" s="74"/>
      <c r="G598" s="75" t="str">
        <f>IF(stdProdLT(Main[[#This Row],[Comments]])=0.1,"N/A",IF(stdProdLT(Main[[#This Row],[Comments]])=0,"",stdProdLT(Main[[#This Row],[Comments]])))</f>
        <v/>
      </c>
      <c r="H598" s="76" t="str">
        <f>IF(AND(Main[[#This Row],[In Stock Date]]&lt;&gt;"",Main[[#This Row],[Revised Due Date]]&lt;&gt;""),Main[[#This Row],[In Stock Date]]-Main[[#This Row],[Revised Due Date]],"")</f>
        <v/>
      </c>
      <c r="I598" s="72" t="s">
        <v>4</v>
      </c>
      <c r="J598" s="72" t="s">
        <v>4</v>
      </c>
      <c r="K598" s="72" t="s">
        <v>4</v>
      </c>
      <c r="L598" s="74"/>
      <c r="M598" s="77" t="str">
        <f>IF(Main[[#This Row],[Tech Start Date]]&lt;1/1/1990,"",IF(Main[[#This Row],[Class]]="C",WORKDAY(Main[[#This Row],[Tech Start Date]],9),IF(Main[[#This Row],[Class]]="B", WORKDAY(Main[[#This Row],[Tech Start Date]],6),IF(Main[[#This Row],[Class]]="A",WORKDAY(Main[[#This Row],[Tech Start Date]],2),""))))</f>
        <v/>
      </c>
      <c r="N598" s="77" t="str">
        <f>IF(Main[[#This Row],[Tech Start Date]]&lt;1/1/1990,"",IF(Main[[#This Row],[Class]]="C",WORKDAY(Main[[#This Row],[Tech Start Date]],19),IF(Main[[#This Row],[Class]]="B", WORKDAY(Main[[#This Row],[Tech Start Date]],12),IF(Main[[#This Row],[Class]]="A",WORKDAY(Main[[#This Row],[Tech Start Date]],4),""))))</f>
        <v/>
      </c>
      <c r="O598" s="77" t="str">
        <f>IF(Main[[#This Row],[Tech Start Date]]&lt;1/1/1990,"",IF(Main[[#This Row],[Class]]="C",WORKDAY(Main[[#This Row],[Tech Start Date]],23),IF(Main[[#This Row],[Class]]="B", WORKDAY(Main[[#This Row],[Tech Start Date]],15),IF(Main[[#This Row],[Class]]="A",WORKDAY(Main[[#This Row],[Tech Start Date]],5),""))))</f>
        <v/>
      </c>
      <c r="P598" s="77" t="str">
        <f>IF(Main[[#This Row],[Tech Start Date]]&lt;1/1/1990,"",IF(Main[[#This Row],[Class]]="C",WORKDAY(Main[[#This Row],[Tech Start Date]],28),IF(Main[[#This Row],[Class]]="B", WORKDAY(Main[[#This Row],[Tech Start Date]],19),IF(Main[[#This Row],[Class]]="A",WORKDAY(Main[[#This Row],[Tech Start Date]],9),""))))</f>
        <v/>
      </c>
      <c r="Q598" s="74">
        <v>40042</v>
      </c>
      <c r="R598" s="74"/>
      <c r="S598" s="72" t="s">
        <v>11</v>
      </c>
      <c r="T598" s="80" t="s">
        <v>4</v>
      </c>
      <c r="U598" s="72" t="s">
        <v>14</v>
      </c>
      <c r="V598" s="72" t="s">
        <v>1938</v>
      </c>
      <c r="W598" s="72" t="s">
        <v>1951</v>
      </c>
      <c r="X598" s="72" t="s">
        <v>757</v>
      </c>
      <c r="Y598" s="72" t="s">
        <v>3224</v>
      </c>
      <c r="Z598" s="72" t="s">
        <v>4</v>
      </c>
    </row>
    <row r="599" spans="1:26" ht="18.600000000000001" customHeight="1">
      <c r="A599" s="142" t="str">
        <f>IF(priority(Main[[#This Row],[Comments]])&lt;&gt;0, priority(Main[[#This Row],[Comments]]),"")</f>
        <v/>
      </c>
      <c r="B599" s="90" t="s">
        <v>1989</v>
      </c>
      <c r="C599" s="72" t="s">
        <v>4</v>
      </c>
      <c r="D599" s="73" t="s">
        <v>1990</v>
      </c>
      <c r="E599" s="74"/>
      <c r="F599" s="74"/>
      <c r="G599" s="75" t="str">
        <f>IF(stdProdLT(Main[[#This Row],[Comments]])=0.1,"N/A",IF(stdProdLT(Main[[#This Row],[Comments]])=0,"",stdProdLT(Main[[#This Row],[Comments]])))</f>
        <v/>
      </c>
      <c r="H599" s="76" t="str">
        <f>IF(AND(Main[[#This Row],[In Stock Date]]&lt;&gt;"",Main[[#This Row],[Revised Due Date]]&lt;&gt;""),Main[[#This Row],[In Stock Date]]-Main[[#This Row],[Revised Due Date]],"")</f>
        <v/>
      </c>
      <c r="I599" s="72" t="s">
        <v>4</v>
      </c>
      <c r="J599" s="72" t="s">
        <v>4</v>
      </c>
      <c r="K599" s="72" t="s">
        <v>4</v>
      </c>
      <c r="L599" s="74"/>
      <c r="M599" s="77" t="str">
        <f>IF(Main[[#This Row],[Tech Start Date]]&lt;1/1/1990,"",IF(Main[[#This Row],[Class]]="C",WORKDAY(Main[[#This Row],[Tech Start Date]],9),IF(Main[[#This Row],[Class]]="B", WORKDAY(Main[[#This Row],[Tech Start Date]],6),IF(Main[[#This Row],[Class]]="A",WORKDAY(Main[[#This Row],[Tech Start Date]],2),""))))</f>
        <v/>
      </c>
      <c r="N599" s="77" t="str">
        <f>IF(Main[[#This Row],[Tech Start Date]]&lt;1/1/1990,"",IF(Main[[#This Row],[Class]]="C",WORKDAY(Main[[#This Row],[Tech Start Date]],19),IF(Main[[#This Row],[Class]]="B", WORKDAY(Main[[#This Row],[Tech Start Date]],12),IF(Main[[#This Row],[Class]]="A",WORKDAY(Main[[#This Row],[Tech Start Date]],4),""))))</f>
        <v/>
      </c>
      <c r="O599" s="77" t="str">
        <f>IF(Main[[#This Row],[Tech Start Date]]&lt;1/1/1990,"",IF(Main[[#This Row],[Class]]="C",WORKDAY(Main[[#This Row],[Tech Start Date]],23),IF(Main[[#This Row],[Class]]="B", WORKDAY(Main[[#This Row],[Tech Start Date]],15),IF(Main[[#This Row],[Class]]="A",WORKDAY(Main[[#This Row],[Tech Start Date]],5),""))))</f>
        <v/>
      </c>
      <c r="P599" s="77" t="str">
        <f>IF(Main[[#This Row],[Tech Start Date]]&lt;1/1/1990,"",IF(Main[[#This Row],[Class]]="C",WORKDAY(Main[[#This Row],[Tech Start Date]],28),IF(Main[[#This Row],[Class]]="B", WORKDAY(Main[[#This Row],[Tech Start Date]],19),IF(Main[[#This Row],[Class]]="A",WORKDAY(Main[[#This Row],[Tech Start Date]],9),""))))</f>
        <v/>
      </c>
      <c r="Q599" s="74"/>
      <c r="R599" s="74"/>
      <c r="S599" s="72" t="s">
        <v>23</v>
      </c>
      <c r="T599" s="80" t="s">
        <v>4</v>
      </c>
      <c r="U599" s="72" t="s">
        <v>14</v>
      </c>
      <c r="V599" s="72" t="s">
        <v>1937</v>
      </c>
      <c r="W599" s="72" t="s">
        <v>1941</v>
      </c>
      <c r="X599" s="72" t="s">
        <v>102</v>
      </c>
      <c r="Y599" s="72" t="s">
        <v>3225</v>
      </c>
      <c r="Z599" s="72" t="s">
        <v>4</v>
      </c>
    </row>
    <row r="600" spans="1:26" ht="18.600000000000001" customHeight="1">
      <c r="A600" s="142" t="str">
        <f>IF(priority(Main[[#This Row],[Comments]])&lt;&gt;0, priority(Main[[#This Row],[Comments]]),"")</f>
        <v/>
      </c>
      <c r="B600" s="90" t="s">
        <v>1441</v>
      </c>
      <c r="C600" s="72" t="s">
        <v>4</v>
      </c>
      <c r="D600" s="73" t="s">
        <v>514</v>
      </c>
      <c r="E600" s="74">
        <v>40322.154652777775</v>
      </c>
      <c r="F600" s="74"/>
      <c r="G600" s="75" t="str">
        <f>IF(stdProdLT(Main[[#This Row],[Comments]])=0.1,"N/A",IF(stdProdLT(Main[[#This Row],[Comments]])=0,"",stdProdLT(Main[[#This Row],[Comments]])))</f>
        <v/>
      </c>
      <c r="H600" s="76" t="str">
        <f>IF(AND(Main[[#This Row],[In Stock Date]]&lt;&gt;"",Main[[#This Row],[Revised Due Date]]&lt;&gt;""),Main[[#This Row],[In Stock Date]]-Main[[#This Row],[Revised Due Date]],"")</f>
        <v/>
      </c>
      <c r="I600" s="72" t="s">
        <v>129</v>
      </c>
      <c r="J600" s="72" t="s">
        <v>4</v>
      </c>
      <c r="K600" s="72" t="s">
        <v>4</v>
      </c>
      <c r="L600" s="74"/>
      <c r="M600" s="77" t="str">
        <f>IF(Main[[#This Row],[Tech Start Date]]&lt;1/1/1990,"",IF(Main[[#This Row],[Class]]="C",WORKDAY(Main[[#This Row],[Tech Start Date]],9),IF(Main[[#This Row],[Class]]="B", WORKDAY(Main[[#This Row],[Tech Start Date]],6),IF(Main[[#This Row],[Class]]="A",WORKDAY(Main[[#This Row],[Tech Start Date]],2),""))))</f>
        <v/>
      </c>
      <c r="N600" s="77" t="str">
        <f>IF(Main[[#This Row],[Tech Start Date]]&lt;1/1/1990,"",IF(Main[[#This Row],[Class]]="C",WORKDAY(Main[[#This Row],[Tech Start Date]],19),IF(Main[[#This Row],[Class]]="B", WORKDAY(Main[[#This Row],[Tech Start Date]],12),IF(Main[[#This Row],[Class]]="A",WORKDAY(Main[[#This Row],[Tech Start Date]],4),""))))</f>
        <v/>
      </c>
      <c r="O600" s="77" t="str">
        <f>IF(Main[[#This Row],[Tech Start Date]]&lt;1/1/1990,"",IF(Main[[#This Row],[Class]]="C",WORKDAY(Main[[#This Row],[Tech Start Date]],23),IF(Main[[#This Row],[Class]]="B", WORKDAY(Main[[#This Row],[Tech Start Date]],15),IF(Main[[#This Row],[Class]]="A",WORKDAY(Main[[#This Row],[Tech Start Date]],5),""))))</f>
        <v/>
      </c>
      <c r="P600" s="77" t="str">
        <f>IF(Main[[#This Row],[Tech Start Date]]&lt;1/1/1990,"",IF(Main[[#This Row],[Class]]="C",WORKDAY(Main[[#This Row],[Tech Start Date]],28),IF(Main[[#This Row],[Class]]="B", WORKDAY(Main[[#This Row],[Tech Start Date]],19),IF(Main[[#This Row],[Class]]="A",WORKDAY(Main[[#This Row],[Tech Start Date]],9),""))))</f>
        <v/>
      </c>
      <c r="Q600" s="74">
        <v>40353</v>
      </c>
      <c r="R600" s="74"/>
      <c r="S600" s="72" t="s">
        <v>6</v>
      </c>
      <c r="T600" s="80" t="s">
        <v>4</v>
      </c>
      <c r="U600" s="72" t="s">
        <v>7</v>
      </c>
      <c r="V600" s="72" t="s">
        <v>1937</v>
      </c>
      <c r="W600" s="72" t="s">
        <v>1939</v>
      </c>
      <c r="X600" s="72" t="s">
        <v>2974</v>
      </c>
      <c r="Y600" s="72" t="s">
        <v>3096</v>
      </c>
      <c r="Z600" s="72" t="s">
        <v>4</v>
      </c>
    </row>
    <row r="601" spans="1:26" ht="18.600000000000001" customHeight="1">
      <c r="A601" s="142" t="str">
        <f>IF(priority(Main[[#This Row],[Comments]])&lt;&gt;0, priority(Main[[#This Row],[Comments]]),"")</f>
        <v/>
      </c>
      <c r="B601" s="90" t="s">
        <v>1442</v>
      </c>
      <c r="C601" s="72" t="s">
        <v>4</v>
      </c>
      <c r="D601" s="73" t="s">
        <v>515</v>
      </c>
      <c r="E601" s="74"/>
      <c r="F601" s="74"/>
      <c r="G601" s="75" t="str">
        <f>IF(stdProdLT(Main[[#This Row],[Comments]])=0.1,"N/A",IF(stdProdLT(Main[[#This Row],[Comments]])=0,"",stdProdLT(Main[[#This Row],[Comments]])))</f>
        <v/>
      </c>
      <c r="H601" s="76" t="str">
        <f>IF(AND(Main[[#This Row],[In Stock Date]]&lt;&gt;"",Main[[#This Row],[Revised Due Date]]&lt;&gt;""),Main[[#This Row],[In Stock Date]]-Main[[#This Row],[Revised Due Date]],"")</f>
        <v/>
      </c>
      <c r="I601" s="72" t="s">
        <v>4</v>
      </c>
      <c r="J601" s="72" t="s">
        <v>4</v>
      </c>
      <c r="K601" s="72" t="s">
        <v>4</v>
      </c>
      <c r="L601" s="74"/>
      <c r="M601" s="77" t="str">
        <f>IF(Main[[#This Row],[Tech Start Date]]&lt;1/1/1990,"",IF(Main[[#This Row],[Class]]="C",WORKDAY(Main[[#This Row],[Tech Start Date]],9),IF(Main[[#This Row],[Class]]="B", WORKDAY(Main[[#This Row],[Tech Start Date]],6),IF(Main[[#This Row],[Class]]="A",WORKDAY(Main[[#This Row],[Tech Start Date]],2),""))))</f>
        <v/>
      </c>
      <c r="N601" s="77" t="str">
        <f>IF(Main[[#This Row],[Tech Start Date]]&lt;1/1/1990,"",IF(Main[[#This Row],[Class]]="C",WORKDAY(Main[[#This Row],[Tech Start Date]],19),IF(Main[[#This Row],[Class]]="B", WORKDAY(Main[[#This Row],[Tech Start Date]],12),IF(Main[[#This Row],[Class]]="A",WORKDAY(Main[[#This Row],[Tech Start Date]],4),""))))</f>
        <v/>
      </c>
      <c r="O601" s="77" t="str">
        <f>IF(Main[[#This Row],[Tech Start Date]]&lt;1/1/1990,"",IF(Main[[#This Row],[Class]]="C",WORKDAY(Main[[#This Row],[Tech Start Date]],23),IF(Main[[#This Row],[Class]]="B", WORKDAY(Main[[#This Row],[Tech Start Date]],15),IF(Main[[#This Row],[Class]]="A",WORKDAY(Main[[#This Row],[Tech Start Date]],5),""))))</f>
        <v/>
      </c>
      <c r="P601" s="77" t="str">
        <f>IF(Main[[#This Row],[Tech Start Date]]&lt;1/1/1990,"",IF(Main[[#This Row],[Class]]="C",WORKDAY(Main[[#This Row],[Tech Start Date]],28),IF(Main[[#This Row],[Class]]="B", WORKDAY(Main[[#This Row],[Tech Start Date]],19),IF(Main[[#This Row],[Class]]="A",WORKDAY(Main[[#This Row],[Tech Start Date]],9),""))))</f>
        <v/>
      </c>
      <c r="Q601" s="74"/>
      <c r="R601" s="74"/>
      <c r="S601" s="72" t="s">
        <v>4</v>
      </c>
      <c r="T601" s="80" t="s">
        <v>4</v>
      </c>
      <c r="U601" s="72" t="s">
        <v>14</v>
      </c>
      <c r="V601" s="72" t="s">
        <v>1937</v>
      </c>
      <c r="W601" s="72" t="s">
        <v>4</v>
      </c>
      <c r="X601" s="72" t="s">
        <v>3040</v>
      </c>
      <c r="Y601" s="72" t="s">
        <v>3202</v>
      </c>
      <c r="Z601" s="72" t="s">
        <v>4</v>
      </c>
    </row>
    <row r="602" spans="1:26" ht="18.600000000000001" customHeight="1">
      <c r="A602" s="142" t="str">
        <f>IF(priority(Main[[#This Row],[Comments]])&lt;&gt;0, priority(Main[[#This Row],[Comments]]),"")</f>
        <v/>
      </c>
      <c r="B602" s="90" t="s">
        <v>1445</v>
      </c>
      <c r="C602" s="72" t="s">
        <v>31</v>
      </c>
      <c r="D602" s="73" t="s">
        <v>516</v>
      </c>
      <c r="E602" s="74"/>
      <c r="F602" s="74"/>
      <c r="G602" s="75" t="str">
        <f>IF(stdProdLT(Main[[#This Row],[Comments]])=0.1,"N/A",IF(stdProdLT(Main[[#This Row],[Comments]])=0,"",stdProdLT(Main[[#This Row],[Comments]])))</f>
        <v/>
      </c>
      <c r="H602" s="76" t="str">
        <f>IF(AND(Main[[#This Row],[In Stock Date]]&lt;&gt;"",Main[[#This Row],[Revised Due Date]]&lt;&gt;""),Main[[#This Row],[In Stock Date]]-Main[[#This Row],[Revised Due Date]],"")</f>
        <v/>
      </c>
      <c r="I602" s="72" t="s">
        <v>4</v>
      </c>
      <c r="J602" s="72" t="s">
        <v>4</v>
      </c>
      <c r="K602" s="72" t="s">
        <v>4</v>
      </c>
      <c r="L602" s="74"/>
      <c r="M602" s="77" t="str">
        <f>IF(Main[[#This Row],[Tech Start Date]]&lt;1/1/1990,"",IF(Main[[#This Row],[Class]]="C",WORKDAY(Main[[#This Row],[Tech Start Date]],9),IF(Main[[#This Row],[Class]]="B", WORKDAY(Main[[#This Row],[Tech Start Date]],6),IF(Main[[#This Row],[Class]]="A",WORKDAY(Main[[#This Row],[Tech Start Date]],2),""))))</f>
        <v/>
      </c>
      <c r="N602" s="77" t="str">
        <f>IF(Main[[#This Row],[Tech Start Date]]&lt;1/1/1990,"",IF(Main[[#This Row],[Class]]="C",WORKDAY(Main[[#This Row],[Tech Start Date]],19),IF(Main[[#This Row],[Class]]="B", WORKDAY(Main[[#This Row],[Tech Start Date]],12),IF(Main[[#This Row],[Class]]="A",WORKDAY(Main[[#This Row],[Tech Start Date]],4),""))))</f>
        <v/>
      </c>
      <c r="O602" s="77" t="str">
        <f>IF(Main[[#This Row],[Tech Start Date]]&lt;1/1/1990,"",IF(Main[[#This Row],[Class]]="C",WORKDAY(Main[[#This Row],[Tech Start Date]],23),IF(Main[[#This Row],[Class]]="B", WORKDAY(Main[[#This Row],[Tech Start Date]],15),IF(Main[[#This Row],[Class]]="A",WORKDAY(Main[[#This Row],[Tech Start Date]],5),""))))</f>
        <v/>
      </c>
      <c r="P602" s="77" t="str">
        <f>IF(Main[[#This Row],[Tech Start Date]]&lt;1/1/1990,"",IF(Main[[#This Row],[Class]]="C",WORKDAY(Main[[#This Row],[Tech Start Date]],28),IF(Main[[#This Row],[Class]]="B", WORKDAY(Main[[#This Row],[Tech Start Date]],19),IF(Main[[#This Row],[Class]]="A",WORKDAY(Main[[#This Row],[Tech Start Date]],9),""))))</f>
        <v/>
      </c>
      <c r="Q602" s="74">
        <v>40318</v>
      </c>
      <c r="R602" s="74"/>
      <c r="S602" s="72" t="s">
        <v>11</v>
      </c>
      <c r="T602" s="80" t="s">
        <v>4</v>
      </c>
      <c r="U602" s="72" t="s">
        <v>14</v>
      </c>
      <c r="V602" s="72" t="s">
        <v>1940</v>
      </c>
      <c r="W602" s="72" t="s">
        <v>1948</v>
      </c>
      <c r="X602" s="72" t="s">
        <v>2982</v>
      </c>
      <c r="Y602" s="72" t="s">
        <v>4</v>
      </c>
      <c r="Z602" s="72" t="s">
        <v>4</v>
      </c>
    </row>
    <row r="603" spans="1:26" ht="18.600000000000001" customHeight="1">
      <c r="A603" s="142" t="str">
        <f>IF(priority(Main[[#This Row],[Comments]])&lt;&gt;0, priority(Main[[#This Row],[Comments]]),"")</f>
        <v/>
      </c>
      <c r="B603" s="90" t="s">
        <v>1446</v>
      </c>
      <c r="C603" s="72" t="s">
        <v>47</v>
      </c>
      <c r="D603" s="73" t="s">
        <v>517</v>
      </c>
      <c r="E603" s="74"/>
      <c r="F603" s="74"/>
      <c r="G603" s="75" t="str">
        <f>IF(stdProdLT(Main[[#This Row],[Comments]])=0.1,"N/A",IF(stdProdLT(Main[[#This Row],[Comments]])=0,"",stdProdLT(Main[[#This Row],[Comments]])))</f>
        <v/>
      </c>
      <c r="H603" s="76" t="str">
        <f>IF(AND(Main[[#This Row],[In Stock Date]]&lt;&gt;"",Main[[#This Row],[Revised Due Date]]&lt;&gt;""),Main[[#This Row],[In Stock Date]]-Main[[#This Row],[Revised Due Date]],"")</f>
        <v/>
      </c>
      <c r="I603" s="72" t="s">
        <v>4</v>
      </c>
      <c r="J603" s="72" t="s">
        <v>4</v>
      </c>
      <c r="K603" s="81" t="s">
        <v>4</v>
      </c>
      <c r="L603" s="74"/>
      <c r="M603" s="77" t="str">
        <f>IF(Main[[#This Row],[Tech Start Date]]&lt;1/1/1990,"",IF(Main[[#This Row],[Class]]="C",WORKDAY(Main[[#This Row],[Tech Start Date]],9),IF(Main[[#This Row],[Class]]="B", WORKDAY(Main[[#This Row],[Tech Start Date]],6),IF(Main[[#This Row],[Class]]="A",WORKDAY(Main[[#This Row],[Tech Start Date]],2),""))))</f>
        <v/>
      </c>
      <c r="N603" s="77" t="str">
        <f>IF(Main[[#This Row],[Tech Start Date]]&lt;1/1/1990,"",IF(Main[[#This Row],[Class]]="C",WORKDAY(Main[[#This Row],[Tech Start Date]],19),IF(Main[[#This Row],[Class]]="B", WORKDAY(Main[[#This Row],[Tech Start Date]],12),IF(Main[[#This Row],[Class]]="A",WORKDAY(Main[[#This Row],[Tech Start Date]],4),""))))</f>
        <v/>
      </c>
      <c r="O603" s="77" t="str">
        <f>IF(Main[[#This Row],[Tech Start Date]]&lt;1/1/1990,"",IF(Main[[#This Row],[Class]]="C",WORKDAY(Main[[#This Row],[Tech Start Date]],23),IF(Main[[#This Row],[Class]]="B", WORKDAY(Main[[#This Row],[Tech Start Date]],15),IF(Main[[#This Row],[Class]]="A",WORKDAY(Main[[#This Row],[Tech Start Date]],5),""))))</f>
        <v/>
      </c>
      <c r="P603" s="77" t="str">
        <f>IF(Main[[#This Row],[Tech Start Date]]&lt;1/1/1990,"",IF(Main[[#This Row],[Class]]="C",WORKDAY(Main[[#This Row],[Tech Start Date]],28),IF(Main[[#This Row],[Class]]="B", WORKDAY(Main[[#This Row],[Tech Start Date]],19),IF(Main[[#This Row],[Class]]="A",WORKDAY(Main[[#This Row],[Tech Start Date]],9),""))))</f>
        <v/>
      </c>
      <c r="Q603" s="74"/>
      <c r="R603" s="74"/>
      <c r="S603" s="72" t="s">
        <v>11</v>
      </c>
      <c r="T603" s="80" t="s">
        <v>4</v>
      </c>
      <c r="U603" s="72" t="s">
        <v>14</v>
      </c>
      <c r="V603" s="72" t="s">
        <v>1938</v>
      </c>
      <c r="W603" s="72" t="s">
        <v>1941</v>
      </c>
      <c r="X603" s="72" t="s">
        <v>311</v>
      </c>
      <c r="Y603" s="72" t="s">
        <v>3099</v>
      </c>
      <c r="Z603" s="72" t="s">
        <v>4</v>
      </c>
    </row>
    <row r="604" spans="1:26" ht="18.600000000000001" customHeight="1">
      <c r="A604" s="142" t="str">
        <f>IF(priority(Main[[#This Row],[Comments]])&lt;&gt;0, priority(Main[[#This Row],[Comments]]),"")</f>
        <v/>
      </c>
      <c r="B604" s="90" t="s">
        <v>1447</v>
      </c>
      <c r="C604" s="72" t="s">
        <v>4</v>
      </c>
      <c r="D604" s="73" t="s">
        <v>518</v>
      </c>
      <c r="E604" s="74">
        <v>40465.986851851849</v>
      </c>
      <c r="F604" s="74"/>
      <c r="G604" s="75" t="str">
        <f>IF(stdProdLT(Main[[#This Row],[Comments]])=0.1,"N/A",IF(stdProdLT(Main[[#This Row],[Comments]])=0,"",stdProdLT(Main[[#This Row],[Comments]])))</f>
        <v/>
      </c>
      <c r="H604" s="76" t="str">
        <f>IF(AND(Main[[#This Row],[In Stock Date]]&lt;&gt;"",Main[[#This Row],[Revised Due Date]]&lt;&gt;""),Main[[#This Row],[In Stock Date]]-Main[[#This Row],[Revised Due Date]],"")</f>
        <v/>
      </c>
      <c r="I604" s="72" t="s">
        <v>4</v>
      </c>
      <c r="J604" s="72" t="s">
        <v>28</v>
      </c>
      <c r="K604" s="72" t="s">
        <v>4</v>
      </c>
      <c r="L604" s="74"/>
      <c r="M604" s="77" t="str">
        <f>IF(Main[[#This Row],[Tech Start Date]]&lt;1/1/1990,"",IF(Main[[#This Row],[Class]]="C",WORKDAY(Main[[#This Row],[Tech Start Date]],9),IF(Main[[#This Row],[Class]]="B", WORKDAY(Main[[#This Row],[Tech Start Date]],6),IF(Main[[#This Row],[Class]]="A",WORKDAY(Main[[#This Row],[Tech Start Date]],2),""))))</f>
        <v/>
      </c>
      <c r="N604" s="77" t="str">
        <f>IF(Main[[#This Row],[Tech Start Date]]&lt;1/1/1990,"",IF(Main[[#This Row],[Class]]="C",WORKDAY(Main[[#This Row],[Tech Start Date]],19),IF(Main[[#This Row],[Class]]="B", WORKDAY(Main[[#This Row],[Tech Start Date]],12),IF(Main[[#This Row],[Class]]="A",WORKDAY(Main[[#This Row],[Tech Start Date]],4),""))))</f>
        <v/>
      </c>
      <c r="O604" s="77" t="str">
        <f>IF(Main[[#This Row],[Tech Start Date]]&lt;1/1/1990,"",IF(Main[[#This Row],[Class]]="C",WORKDAY(Main[[#This Row],[Tech Start Date]],23),IF(Main[[#This Row],[Class]]="B", WORKDAY(Main[[#This Row],[Tech Start Date]],15),IF(Main[[#This Row],[Class]]="A",WORKDAY(Main[[#This Row],[Tech Start Date]],5),""))))</f>
        <v/>
      </c>
      <c r="P604" s="77" t="str">
        <f>IF(Main[[#This Row],[Tech Start Date]]&lt;1/1/1990,"",IF(Main[[#This Row],[Class]]="C",WORKDAY(Main[[#This Row],[Tech Start Date]],28),IF(Main[[#This Row],[Class]]="B", WORKDAY(Main[[#This Row],[Tech Start Date]],19),IF(Main[[#This Row],[Class]]="A",WORKDAY(Main[[#This Row],[Tech Start Date]],9),""))))</f>
        <v/>
      </c>
      <c r="Q604" s="74"/>
      <c r="R604" s="74"/>
      <c r="S604" s="72" t="s">
        <v>6</v>
      </c>
      <c r="T604" s="80" t="s">
        <v>4</v>
      </c>
      <c r="U604" s="72" t="s">
        <v>7</v>
      </c>
      <c r="V604" s="72" t="s">
        <v>1937</v>
      </c>
      <c r="W604" s="72" t="s">
        <v>1941</v>
      </c>
      <c r="X604" s="72" t="s">
        <v>3018</v>
      </c>
      <c r="Y604" s="72" t="s">
        <v>3158</v>
      </c>
      <c r="Z604" s="72" t="s">
        <v>129</v>
      </c>
    </row>
    <row r="605" spans="1:26" ht="18.600000000000001" customHeight="1">
      <c r="A605" s="142" t="str">
        <f>IF(priority(Main[[#This Row],[Comments]])&lt;&gt;0, priority(Main[[#This Row],[Comments]]),"")</f>
        <v/>
      </c>
      <c r="B605" s="90" t="s">
        <v>1271</v>
      </c>
      <c r="C605" s="72" t="s">
        <v>4</v>
      </c>
      <c r="D605" s="73" t="s">
        <v>324</v>
      </c>
      <c r="E605" s="74">
        <v>40014.430787037039</v>
      </c>
      <c r="F605" s="74"/>
      <c r="G605" s="75" t="str">
        <f>IF(stdProdLT(Main[[#This Row],[Comments]])=0.1,"N/A",IF(stdProdLT(Main[[#This Row],[Comments]])=0,"",stdProdLT(Main[[#This Row],[Comments]])))</f>
        <v/>
      </c>
      <c r="H605" s="76" t="str">
        <f>IF(AND(Main[[#This Row],[In Stock Date]]&lt;&gt;"",Main[[#This Row],[Revised Due Date]]&lt;&gt;""),Main[[#This Row],[In Stock Date]]-Main[[#This Row],[Revised Due Date]],"")</f>
        <v/>
      </c>
      <c r="I605" s="72" t="s">
        <v>2039</v>
      </c>
      <c r="J605" s="72" t="s">
        <v>28</v>
      </c>
      <c r="K605" s="72" t="s">
        <v>4</v>
      </c>
      <c r="L605" s="74"/>
      <c r="M605" s="77" t="str">
        <f>IF(Main[[#This Row],[Tech Start Date]]&lt;1/1/1990,"",IF(Main[[#This Row],[Class]]="C",WORKDAY(Main[[#This Row],[Tech Start Date]],9),IF(Main[[#This Row],[Class]]="B", WORKDAY(Main[[#This Row],[Tech Start Date]],6),IF(Main[[#This Row],[Class]]="A",WORKDAY(Main[[#This Row],[Tech Start Date]],2),""))))</f>
        <v/>
      </c>
      <c r="N605" s="77" t="str">
        <f>IF(Main[[#This Row],[Tech Start Date]]&lt;1/1/1990,"",IF(Main[[#This Row],[Class]]="C",WORKDAY(Main[[#This Row],[Tech Start Date]],19),IF(Main[[#This Row],[Class]]="B", WORKDAY(Main[[#This Row],[Tech Start Date]],12),IF(Main[[#This Row],[Class]]="A",WORKDAY(Main[[#This Row],[Tech Start Date]],4),""))))</f>
        <v/>
      </c>
      <c r="O605" s="77" t="str">
        <f>IF(Main[[#This Row],[Tech Start Date]]&lt;1/1/1990,"",IF(Main[[#This Row],[Class]]="C",WORKDAY(Main[[#This Row],[Tech Start Date]],23),IF(Main[[#This Row],[Class]]="B", WORKDAY(Main[[#This Row],[Tech Start Date]],15),IF(Main[[#This Row],[Class]]="A",WORKDAY(Main[[#This Row],[Tech Start Date]],5),""))))</f>
        <v/>
      </c>
      <c r="P605" s="77" t="str">
        <f>IF(Main[[#This Row],[Tech Start Date]]&lt;1/1/1990,"",IF(Main[[#This Row],[Class]]="C",WORKDAY(Main[[#This Row],[Tech Start Date]],28),IF(Main[[#This Row],[Class]]="B", WORKDAY(Main[[#This Row],[Tech Start Date]],19),IF(Main[[#This Row],[Class]]="A",WORKDAY(Main[[#This Row],[Tech Start Date]],9),""))))</f>
        <v/>
      </c>
      <c r="Q605" s="74">
        <v>40237</v>
      </c>
      <c r="R605" s="74"/>
      <c r="S605" s="72" t="s">
        <v>17</v>
      </c>
      <c r="T605" s="80" t="s">
        <v>4</v>
      </c>
      <c r="U605" s="72" t="s">
        <v>7</v>
      </c>
      <c r="V605" s="72" t="s">
        <v>1952</v>
      </c>
      <c r="W605" s="72" t="s">
        <v>1945</v>
      </c>
      <c r="X605" s="72" t="s">
        <v>3014</v>
      </c>
      <c r="Y605" s="72" t="s">
        <v>3203</v>
      </c>
      <c r="Z605" s="72" t="s">
        <v>2242</v>
      </c>
    </row>
    <row r="606" spans="1:26" ht="18.600000000000001" customHeight="1">
      <c r="A606" s="142" t="str">
        <f>IF(priority(Main[[#This Row],[Comments]])&lt;&gt;0, priority(Main[[#This Row],[Comments]]),"")</f>
        <v/>
      </c>
      <c r="B606" s="90" t="s">
        <v>1448</v>
      </c>
      <c r="C606" s="72" t="s">
        <v>72</v>
      </c>
      <c r="D606" s="73" t="s">
        <v>519</v>
      </c>
      <c r="E606" s="74"/>
      <c r="F606" s="74">
        <v>40544</v>
      </c>
      <c r="G606" s="75" t="str">
        <f>IF(stdProdLT(Main[[#This Row],[Comments]])=0.1,"N/A",IF(stdProdLT(Main[[#This Row],[Comments]])=0,"",stdProdLT(Main[[#This Row],[Comments]])))</f>
        <v/>
      </c>
      <c r="H606" s="76" t="str">
        <f>IF(AND(Main[[#This Row],[In Stock Date]]&lt;&gt;"",Main[[#This Row],[Revised Due Date]]&lt;&gt;""),Main[[#This Row],[In Stock Date]]-Main[[#This Row],[Revised Due Date]],"")</f>
        <v/>
      </c>
      <c r="I606" s="72" t="s">
        <v>4</v>
      </c>
      <c r="J606" s="72" t="s">
        <v>4</v>
      </c>
      <c r="K606" s="72" t="s">
        <v>4</v>
      </c>
      <c r="L606" s="74"/>
      <c r="M606" s="77" t="str">
        <f>IF(Main[[#This Row],[Tech Start Date]]&lt;1/1/1990,"",IF(Main[[#This Row],[Class]]="C",WORKDAY(Main[[#This Row],[Tech Start Date]],9),IF(Main[[#This Row],[Class]]="B", WORKDAY(Main[[#This Row],[Tech Start Date]],6),IF(Main[[#This Row],[Class]]="A",WORKDAY(Main[[#This Row],[Tech Start Date]],2),""))))</f>
        <v/>
      </c>
      <c r="N606" s="77" t="str">
        <f>IF(Main[[#This Row],[Tech Start Date]]&lt;1/1/1990,"",IF(Main[[#This Row],[Class]]="C",WORKDAY(Main[[#This Row],[Tech Start Date]],19),IF(Main[[#This Row],[Class]]="B", WORKDAY(Main[[#This Row],[Tech Start Date]],12),IF(Main[[#This Row],[Class]]="A",WORKDAY(Main[[#This Row],[Tech Start Date]],4),""))))</f>
        <v/>
      </c>
      <c r="O606" s="77" t="str">
        <f>IF(Main[[#This Row],[Tech Start Date]]&lt;1/1/1990,"",IF(Main[[#This Row],[Class]]="C",WORKDAY(Main[[#This Row],[Tech Start Date]],23),IF(Main[[#This Row],[Class]]="B", WORKDAY(Main[[#This Row],[Tech Start Date]],15),IF(Main[[#This Row],[Class]]="A",WORKDAY(Main[[#This Row],[Tech Start Date]],5),""))))</f>
        <v/>
      </c>
      <c r="P606" s="77" t="str">
        <f>IF(Main[[#This Row],[Tech Start Date]]&lt;1/1/1990,"",IF(Main[[#This Row],[Class]]="C",WORKDAY(Main[[#This Row],[Tech Start Date]],28),IF(Main[[#This Row],[Class]]="B", WORKDAY(Main[[#This Row],[Tech Start Date]],19),IF(Main[[#This Row],[Class]]="A",WORKDAY(Main[[#This Row],[Tech Start Date]],9),""))))</f>
        <v/>
      </c>
      <c r="Q606" s="74"/>
      <c r="R606" s="74"/>
      <c r="S606" s="72" t="s">
        <v>11</v>
      </c>
      <c r="T606" s="80" t="s">
        <v>4</v>
      </c>
      <c r="U606" s="72" t="s">
        <v>14</v>
      </c>
      <c r="V606" s="72" t="s">
        <v>1940</v>
      </c>
      <c r="W606" s="72" t="s">
        <v>1945</v>
      </c>
      <c r="X606" s="72" t="s">
        <v>2999</v>
      </c>
      <c r="Y606" s="72" t="s">
        <v>3136</v>
      </c>
      <c r="Z606" s="72" t="s">
        <v>4</v>
      </c>
    </row>
    <row r="607" spans="1:26" ht="18.600000000000001" customHeight="1">
      <c r="A607" s="142" t="str">
        <f>IF(priority(Main[[#This Row],[Comments]])&lt;&gt;0, priority(Main[[#This Row],[Comments]]),"")</f>
        <v/>
      </c>
      <c r="B607" s="90" t="s">
        <v>1660</v>
      </c>
      <c r="C607" s="72" t="s">
        <v>4</v>
      </c>
      <c r="D607" s="73" t="s">
        <v>2018</v>
      </c>
      <c r="E607" s="74"/>
      <c r="F607" s="74"/>
      <c r="G607" s="75" t="str">
        <f>IF(stdProdLT(Main[[#This Row],[Comments]])=0.1,"N/A",IF(stdProdLT(Main[[#This Row],[Comments]])=0,"",stdProdLT(Main[[#This Row],[Comments]])))</f>
        <v/>
      </c>
      <c r="H607" s="76" t="str">
        <f>IF(AND(Main[[#This Row],[In Stock Date]]&lt;&gt;"",Main[[#This Row],[Revised Due Date]]&lt;&gt;""),Main[[#This Row],[In Stock Date]]-Main[[#This Row],[Revised Due Date]],"")</f>
        <v/>
      </c>
      <c r="I607" s="72" t="s">
        <v>44</v>
      </c>
      <c r="J607" s="72" t="s">
        <v>28</v>
      </c>
      <c r="K607" s="72" t="s">
        <v>1946</v>
      </c>
      <c r="L607" s="74"/>
      <c r="M607" s="77" t="str">
        <f>IF(Main[[#This Row],[Tech Start Date]]&lt;1/1/1990,"",IF(Main[[#This Row],[Class]]="C",WORKDAY(Main[[#This Row],[Tech Start Date]],9),IF(Main[[#This Row],[Class]]="B", WORKDAY(Main[[#This Row],[Tech Start Date]],6),IF(Main[[#This Row],[Class]]="A",WORKDAY(Main[[#This Row],[Tech Start Date]],2),""))))</f>
        <v/>
      </c>
      <c r="N607" s="77" t="str">
        <f>IF(Main[[#This Row],[Tech Start Date]]&lt;1/1/1990,"",IF(Main[[#This Row],[Class]]="C",WORKDAY(Main[[#This Row],[Tech Start Date]],19),IF(Main[[#This Row],[Class]]="B", WORKDAY(Main[[#This Row],[Tech Start Date]],12),IF(Main[[#This Row],[Class]]="A",WORKDAY(Main[[#This Row],[Tech Start Date]],4),""))))</f>
        <v/>
      </c>
      <c r="O607" s="77" t="str">
        <f>IF(Main[[#This Row],[Tech Start Date]]&lt;1/1/1990,"",IF(Main[[#This Row],[Class]]="C",WORKDAY(Main[[#This Row],[Tech Start Date]],23),IF(Main[[#This Row],[Class]]="B", WORKDAY(Main[[#This Row],[Tech Start Date]],15),IF(Main[[#This Row],[Class]]="A",WORKDAY(Main[[#This Row],[Tech Start Date]],5),""))))</f>
        <v/>
      </c>
      <c r="P607" s="77" t="str">
        <f>IF(Main[[#This Row],[Tech Start Date]]&lt;1/1/1990,"",IF(Main[[#This Row],[Class]]="C",WORKDAY(Main[[#This Row],[Tech Start Date]],28),IF(Main[[#This Row],[Class]]="B", WORKDAY(Main[[#This Row],[Tech Start Date]],19),IF(Main[[#This Row],[Class]]="A",WORKDAY(Main[[#This Row],[Tech Start Date]],9),""))))</f>
        <v/>
      </c>
      <c r="Q607" s="74">
        <v>40755</v>
      </c>
      <c r="R607" s="74"/>
      <c r="S607" s="72" t="s">
        <v>6</v>
      </c>
      <c r="T607" s="80" t="s">
        <v>4</v>
      </c>
      <c r="U607" s="72" t="s">
        <v>14</v>
      </c>
      <c r="V607" s="72" t="s">
        <v>1940</v>
      </c>
      <c r="W607" s="72" t="s">
        <v>1941</v>
      </c>
      <c r="X607" s="72" t="s">
        <v>30</v>
      </c>
      <c r="Y607" s="72" t="s">
        <v>3204</v>
      </c>
      <c r="Z607" s="72" t="s">
        <v>44</v>
      </c>
    </row>
    <row r="608" spans="1:26" ht="18.600000000000001" customHeight="1">
      <c r="A608" s="142" t="str">
        <f>IF(priority(Main[[#This Row],[Comments]])&lt;&gt;0, priority(Main[[#This Row],[Comments]]),"")</f>
        <v/>
      </c>
      <c r="B608" s="90" t="s">
        <v>1449</v>
      </c>
      <c r="C608" s="72" t="s">
        <v>4</v>
      </c>
      <c r="D608" s="73" t="s">
        <v>97</v>
      </c>
      <c r="E608" s="74"/>
      <c r="F608" s="74"/>
      <c r="G608" s="75" t="str">
        <f>IF(stdProdLT(Main[[#This Row],[Comments]])=0.1,"N/A",IF(stdProdLT(Main[[#This Row],[Comments]])=0,"",stdProdLT(Main[[#This Row],[Comments]])))</f>
        <v/>
      </c>
      <c r="H608" s="76" t="str">
        <f>IF(AND(Main[[#This Row],[In Stock Date]]&lt;&gt;"",Main[[#This Row],[Revised Due Date]]&lt;&gt;""),Main[[#This Row],[In Stock Date]]-Main[[#This Row],[Revised Due Date]],"")</f>
        <v/>
      </c>
      <c r="I608" s="72" t="s">
        <v>4</v>
      </c>
      <c r="J608" s="72" t="s">
        <v>4</v>
      </c>
      <c r="K608" s="72" t="s">
        <v>4</v>
      </c>
      <c r="L608" s="74"/>
      <c r="M608" s="77" t="str">
        <f>IF(Main[[#This Row],[Tech Start Date]]&lt;1/1/1990,"",IF(Main[[#This Row],[Class]]="C",WORKDAY(Main[[#This Row],[Tech Start Date]],9),IF(Main[[#This Row],[Class]]="B", WORKDAY(Main[[#This Row],[Tech Start Date]],6),IF(Main[[#This Row],[Class]]="A",WORKDAY(Main[[#This Row],[Tech Start Date]],2),""))))</f>
        <v/>
      </c>
      <c r="N608" s="77" t="str">
        <f>IF(Main[[#This Row],[Tech Start Date]]&lt;1/1/1990,"",IF(Main[[#This Row],[Class]]="C",WORKDAY(Main[[#This Row],[Tech Start Date]],19),IF(Main[[#This Row],[Class]]="B", WORKDAY(Main[[#This Row],[Tech Start Date]],12),IF(Main[[#This Row],[Class]]="A",WORKDAY(Main[[#This Row],[Tech Start Date]],4),""))))</f>
        <v/>
      </c>
      <c r="O608" s="77" t="str">
        <f>IF(Main[[#This Row],[Tech Start Date]]&lt;1/1/1990,"",IF(Main[[#This Row],[Class]]="C",WORKDAY(Main[[#This Row],[Tech Start Date]],23),IF(Main[[#This Row],[Class]]="B", WORKDAY(Main[[#This Row],[Tech Start Date]],15),IF(Main[[#This Row],[Class]]="A",WORKDAY(Main[[#This Row],[Tech Start Date]],5),""))))</f>
        <v/>
      </c>
      <c r="P608" s="77" t="str">
        <f>IF(Main[[#This Row],[Tech Start Date]]&lt;1/1/1990,"",IF(Main[[#This Row],[Class]]="C",WORKDAY(Main[[#This Row],[Tech Start Date]],28),IF(Main[[#This Row],[Class]]="B", WORKDAY(Main[[#This Row],[Tech Start Date]],19),IF(Main[[#This Row],[Class]]="A",WORKDAY(Main[[#This Row],[Tech Start Date]],9),""))))</f>
        <v/>
      </c>
      <c r="Q608" s="74">
        <v>40858</v>
      </c>
      <c r="R608" s="74"/>
      <c r="S608" s="72" t="s">
        <v>17</v>
      </c>
      <c r="T608" s="80" t="s">
        <v>4</v>
      </c>
      <c r="U608" s="72" t="s">
        <v>14</v>
      </c>
      <c r="V608" s="72" t="s">
        <v>1937</v>
      </c>
      <c r="W608" s="72" t="s">
        <v>1942</v>
      </c>
      <c r="X608" s="72" t="s">
        <v>50</v>
      </c>
      <c r="Y608" s="72" t="s">
        <v>3117</v>
      </c>
      <c r="Z608" s="72" t="s">
        <v>4</v>
      </c>
    </row>
    <row r="609" spans="1:26" ht="18.600000000000001" customHeight="1">
      <c r="A609" s="142" t="str">
        <f>IF(priority(Main[[#This Row],[Comments]])&lt;&gt;0, priority(Main[[#This Row],[Comments]]),"")</f>
        <v/>
      </c>
      <c r="B609" s="90" t="s">
        <v>1450</v>
      </c>
      <c r="C609" s="72" t="s">
        <v>47</v>
      </c>
      <c r="D609" s="73" t="s">
        <v>523</v>
      </c>
      <c r="E609" s="74"/>
      <c r="F609" s="74"/>
      <c r="G609" s="75" t="str">
        <f>IF(stdProdLT(Main[[#This Row],[Comments]])=0.1,"N/A",IF(stdProdLT(Main[[#This Row],[Comments]])=0,"",stdProdLT(Main[[#This Row],[Comments]])))</f>
        <v/>
      </c>
      <c r="H609" s="76" t="str">
        <f>IF(AND(Main[[#This Row],[In Stock Date]]&lt;&gt;"",Main[[#This Row],[Revised Due Date]]&lt;&gt;""),Main[[#This Row],[In Stock Date]]-Main[[#This Row],[Revised Due Date]],"")</f>
        <v/>
      </c>
      <c r="I609" s="72" t="s">
        <v>4</v>
      </c>
      <c r="J609" s="72" t="s">
        <v>4</v>
      </c>
      <c r="K609" s="72" t="s">
        <v>4</v>
      </c>
      <c r="L609" s="74"/>
      <c r="M609" s="77" t="str">
        <f>IF(Main[[#This Row],[Tech Start Date]]&lt;1/1/1990,"",IF(Main[[#This Row],[Class]]="C",WORKDAY(Main[[#This Row],[Tech Start Date]],9),IF(Main[[#This Row],[Class]]="B", WORKDAY(Main[[#This Row],[Tech Start Date]],6),IF(Main[[#This Row],[Class]]="A",WORKDAY(Main[[#This Row],[Tech Start Date]],2),""))))</f>
        <v/>
      </c>
      <c r="N609" s="77" t="str">
        <f>IF(Main[[#This Row],[Tech Start Date]]&lt;1/1/1990,"",IF(Main[[#This Row],[Class]]="C",WORKDAY(Main[[#This Row],[Tech Start Date]],19),IF(Main[[#This Row],[Class]]="B", WORKDAY(Main[[#This Row],[Tech Start Date]],12),IF(Main[[#This Row],[Class]]="A",WORKDAY(Main[[#This Row],[Tech Start Date]],4),""))))</f>
        <v/>
      </c>
      <c r="O609" s="77" t="str">
        <f>IF(Main[[#This Row],[Tech Start Date]]&lt;1/1/1990,"",IF(Main[[#This Row],[Class]]="C",WORKDAY(Main[[#This Row],[Tech Start Date]],23),IF(Main[[#This Row],[Class]]="B", WORKDAY(Main[[#This Row],[Tech Start Date]],15),IF(Main[[#This Row],[Class]]="A",WORKDAY(Main[[#This Row],[Tech Start Date]],5),""))))</f>
        <v/>
      </c>
      <c r="P609" s="77" t="str">
        <f>IF(Main[[#This Row],[Tech Start Date]]&lt;1/1/1990,"",IF(Main[[#This Row],[Class]]="C",WORKDAY(Main[[#This Row],[Tech Start Date]],28),IF(Main[[#This Row],[Class]]="B", WORKDAY(Main[[#This Row],[Tech Start Date]],19),IF(Main[[#This Row],[Class]]="A",WORKDAY(Main[[#This Row],[Tech Start Date]],9),""))))</f>
        <v/>
      </c>
      <c r="Q609" s="74"/>
      <c r="R609" s="74"/>
      <c r="S609" s="72" t="s">
        <v>49</v>
      </c>
      <c r="T609" s="80" t="s">
        <v>4</v>
      </c>
      <c r="U609" s="72" t="s">
        <v>14</v>
      </c>
      <c r="V609" s="72" t="s">
        <v>1940</v>
      </c>
      <c r="W609" s="72" t="s">
        <v>1941</v>
      </c>
      <c r="X609" s="72" t="s">
        <v>311</v>
      </c>
      <c r="Y609" s="72" t="s">
        <v>4</v>
      </c>
      <c r="Z609" s="72" t="s">
        <v>4</v>
      </c>
    </row>
    <row r="610" spans="1:26" ht="18.600000000000001" customHeight="1">
      <c r="A610" s="142" t="str">
        <f>IF(priority(Main[[#This Row],[Comments]])&lt;&gt;0, priority(Main[[#This Row],[Comments]]),"")</f>
        <v/>
      </c>
      <c r="B610" s="90" t="s">
        <v>1451</v>
      </c>
      <c r="C610" s="72" t="s">
        <v>524</v>
      </c>
      <c r="D610" s="73" t="s">
        <v>525</v>
      </c>
      <c r="E610" s="74"/>
      <c r="F610" s="74">
        <v>40548</v>
      </c>
      <c r="G610" s="75" t="str">
        <f>IF(stdProdLT(Main[[#This Row],[Comments]])=0.1,"N/A",IF(stdProdLT(Main[[#This Row],[Comments]])=0,"",stdProdLT(Main[[#This Row],[Comments]])))</f>
        <v/>
      </c>
      <c r="H610" s="76" t="str">
        <f>IF(AND(Main[[#This Row],[In Stock Date]]&lt;&gt;"",Main[[#This Row],[Revised Due Date]]&lt;&gt;""),Main[[#This Row],[In Stock Date]]-Main[[#This Row],[Revised Due Date]],"")</f>
        <v/>
      </c>
      <c r="I610" s="72" t="s">
        <v>4</v>
      </c>
      <c r="J610" s="72" t="s">
        <v>4</v>
      </c>
      <c r="K610" s="72" t="s">
        <v>1949</v>
      </c>
      <c r="L610" s="74"/>
      <c r="M610" s="77" t="str">
        <f>IF(Main[[#This Row],[Tech Start Date]]&lt;1/1/1990,"",IF(Main[[#This Row],[Class]]="C",WORKDAY(Main[[#This Row],[Tech Start Date]],9),IF(Main[[#This Row],[Class]]="B", WORKDAY(Main[[#This Row],[Tech Start Date]],6),IF(Main[[#This Row],[Class]]="A",WORKDAY(Main[[#This Row],[Tech Start Date]],2),""))))</f>
        <v/>
      </c>
      <c r="N610" s="77" t="str">
        <f>IF(Main[[#This Row],[Tech Start Date]]&lt;1/1/1990,"",IF(Main[[#This Row],[Class]]="C",WORKDAY(Main[[#This Row],[Tech Start Date]],19),IF(Main[[#This Row],[Class]]="B", WORKDAY(Main[[#This Row],[Tech Start Date]],12),IF(Main[[#This Row],[Class]]="A",WORKDAY(Main[[#This Row],[Tech Start Date]],4),""))))</f>
        <v/>
      </c>
      <c r="O610" s="77" t="str">
        <f>IF(Main[[#This Row],[Tech Start Date]]&lt;1/1/1990,"",IF(Main[[#This Row],[Class]]="C",WORKDAY(Main[[#This Row],[Tech Start Date]],23),IF(Main[[#This Row],[Class]]="B", WORKDAY(Main[[#This Row],[Tech Start Date]],15),IF(Main[[#This Row],[Class]]="A",WORKDAY(Main[[#This Row],[Tech Start Date]],5),""))))</f>
        <v/>
      </c>
      <c r="P610" s="77" t="str">
        <f>IF(Main[[#This Row],[Tech Start Date]]&lt;1/1/1990,"",IF(Main[[#This Row],[Class]]="C",WORKDAY(Main[[#This Row],[Tech Start Date]],28),IF(Main[[#This Row],[Class]]="B", WORKDAY(Main[[#This Row],[Tech Start Date]],19),IF(Main[[#This Row],[Class]]="A",WORKDAY(Main[[#This Row],[Tech Start Date]],9),""))))</f>
        <v/>
      </c>
      <c r="Q610" s="74"/>
      <c r="R610" s="74"/>
      <c r="S610" s="72" t="s">
        <v>11</v>
      </c>
      <c r="T610" s="80" t="s">
        <v>4</v>
      </c>
      <c r="U610" s="72" t="s">
        <v>14</v>
      </c>
      <c r="V610" s="72" t="s">
        <v>1938</v>
      </c>
      <c r="W610" s="72" t="s">
        <v>1942</v>
      </c>
      <c r="X610" s="72" t="s">
        <v>3041</v>
      </c>
      <c r="Y610" s="72" t="s">
        <v>4</v>
      </c>
      <c r="Z610" s="72" t="s">
        <v>4</v>
      </c>
    </row>
    <row r="611" spans="1:26" ht="18.600000000000001" customHeight="1">
      <c r="A611" s="142" t="str">
        <f>IF(priority(Main[[#This Row],[Comments]])&lt;&gt;0, priority(Main[[#This Row],[Comments]]),"")</f>
        <v/>
      </c>
      <c r="B611" s="90" t="s">
        <v>1452</v>
      </c>
      <c r="C611" s="72" t="s">
        <v>122</v>
      </c>
      <c r="D611" s="73" t="s">
        <v>526</v>
      </c>
      <c r="E611" s="74"/>
      <c r="F611" s="74"/>
      <c r="G611" s="75" t="str">
        <f>IF(stdProdLT(Main[[#This Row],[Comments]])=0.1,"N/A",IF(stdProdLT(Main[[#This Row],[Comments]])=0,"",stdProdLT(Main[[#This Row],[Comments]])))</f>
        <v/>
      </c>
      <c r="H611" s="76" t="str">
        <f>IF(AND(Main[[#This Row],[In Stock Date]]&lt;&gt;"",Main[[#This Row],[Revised Due Date]]&lt;&gt;""),Main[[#This Row],[In Stock Date]]-Main[[#This Row],[Revised Due Date]],"")</f>
        <v/>
      </c>
      <c r="I611" s="72" t="s">
        <v>4</v>
      </c>
      <c r="J611" s="72" t="s">
        <v>4</v>
      </c>
      <c r="K611" s="72" t="s">
        <v>4</v>
      </c>
      <c r="L611" s="74"/>
      <c r="M611" s="77" t="str">
        <f>IF(Main[[#This Row],[Tech Start Date]]&lt;1/1/1990,"",IF(Main[[#This Row],[Class]]="C",WORKDAY(Main[[#This Row],[Tech Start Date]],9),IF(Main[[#This Row],[Class]]="B", WORKDAY(Main[[#This Row],[Tech Start Date]],6),IF(Main[[#This Row],[Class]]="A",WORKDAY(Main[[#This Row],[Tech Start Date]],2),""))))</f>
        <v/>
      </c>
      <c r="N611" s="77" t="str">
        <f>IF(Main[[#This Row],[Tech Start Date]]&lt;1/1/1990,"",IF(Main[[#This Row],[Class]]="C",WORKDAY(Main[[#This Row],[Tech Start Date]],19),IF(Main[[#This Row],[Class]]="B", WORKDAY(Main[[#This Row],[Tech Start Date]],12),IF(Main[[#This Row],[Class]]="A",WORKDAY(Main[[#This Row],[Tech Start Date]],4),""))))</f>
        <v/>
      </c>
      <c r="O611" s="77" t="str">
        <f>IF(Main[[#This Row],[Tech Start Date]]&lt;1/1/1990,"",IF(Main[[#This Row],[Class]]="C",WORKDAY(Main[[#This Row],[Tech Start Date]],23),IF(Main[[#This Row],[Class]]="B", WORKDAY(Main[[#This Row],[Tech Start Date]],15),IF(Main[[#This Row],[Class]]="A",WORKDAY(Main[[#This Row],[Tech Start Date]],5),""))))</f>
        <v/>
      </c>
      <c r="P611" s="77" t="str">
        <f>IF(Main[[#This Row],[Tech Start Date]]&lt;1/1/1990,"",IF(Main[[#This Row],[Class]]="C",WORKDAY(Main[[#This Row],[Tech Start Date]],28),IF(Main[[#This Row],[Class]]="B", WORKDAY(Main[[#This Row],[Tech Start Date]],19),IF(Main[[#This Row],[Class]]="A",WORKDAY(Main[[#This Row],[Tech Start Date]],9),""))))</f>
        <v/>
      </c>
      <c r="Q611" s="74">
        <v>40245</v>
      </c>
      <c r="R611" s="74"/>
      <c r="S611" s="72" t="s">
        <v>11</v>
      </c>
      <c r="T611" s="80" t="s">
        <v>4</v>
      </c>
      <c r="U611" s="72" t="s">
        <v>14</v>
      </c>
      <c r="V611" s="72" t="s">
        <v>1940</v>
      </c>
      <c r="W611" s="72" t="s">
        <v>1939</v>
      </c>
      <c r="X611" s="72" t="s">
        <v>3024</v>
      </c>
      <c r="Y611" s="72" t="s">
        <v>4</v>
      </c>
      <c r="Z611" s="72" t="s">
        <v>4</v>
      </c>
    </row>
    <row r="612" spans="1:26" ht="18.600000000000001" customHeight="1">
      <c r="A612" s="142" t="str">
        <f>IF(priority(Main[[#This Row],[Comments]])&lt;&gt;0, priority(Main[[#This Row],[Comments]]),"")</f>
        <v/>
      </c>
      <c r="B612" s="90" t="s">
        <v>1453</v>
      </c>
      <c r="C612" s="72" t="s">
        <v>4</v>
      </c>
      <c r="D612" s="73" t="s">
        <v>527</v>
      </c>
      <c r="E612" s="74"/>
      <c r="F612" s="74">
        <v>40178</v>
      </c>
      <c r="G612" s="75" t="str">
        <f>IF(stdProdLT(Main[[#This Row],[Comments]])=0.1,"N/A",IF(stdProdLT(Main[[#This Row],[Comments]])=0,"",stdProdLT(Main[[#This Row],[Comments]])))</f>
        <v/>
      </c>
      <c r="H612" s="76" t="str">
        <f>IF(AND(Main[[#This Row],[In Stock Date]]&lt;&gt;"",Main[[#This Row],[Revised Due Date]]&lt;&gt;""),Main[[#This Row],[In Stock Date]]-Main[[#This Row],[Revised Due Date]],"")</f>
        <v/>
      </c>
      <c r="I612" s="72" t="s">
        <v>4</v>
      </c>
      <c r="J612" s="72" t="s">
        <v>4</v>
      </c>
      <c r="K612" s="72" t="s">
        <v>4</v>
      </c>
      <c r="L612" s="74"/>
      <c r="M612" s="77" t="str">
        <f>IF(Main[[#This Row],[Tech Start Date]]&lt;1/1/1990,"",IF(Main[[#This Row],[Class]]="C",WORKDAY(Main[[#This Row],[Tech Start Date]],9),IF(Main[[#This Row],[Class]]="B", WORKDAY(Main[[#This Row],[Tech Start Date]],6),IF(Main[[#This Row],[Class]]="A",WORKDAY(Main[[#This Row],[Tech Start Date]],2),""))))</f>
        <v/>
      </c>
      <c r="N612" s="77" t="str">
        <f>IF(Main[[#This Row],[Tech Start Date]]&lt;1/1/1990,"",IF(Main[[#This Row],[Class]]="C",WORKDAY(Main[[#This Row],[Tech Start Date]],19),IF(Main[[#This Row],[Class]]="B", WORKDAY(Main[[#This Row],[Tech Start Date]],12),IF(Main[[#This Row],[Class]]="A",WORKDAY(Main[[#This Row],[Tech Start Date]],4),""))))</f>
        <v/>
      </c>
      <c r="O612" s="77" t="str">
        <f>IF(Main[[#This Row],[Tech Start Date]]&lt;1/1/1990,"",IF(Main[[#This Row],[Class]]="C",WORKDAY(Main[[#This Row],[Tech Start Date]],23),IF(Main[[#This Row],[Class]]="B", WORKDAY(Main[[#This Row],[Tech Start Date]],15),IF(Main[[#This Row],[Class]]="A",WORKDAY(Main[[#This Row],[Tech Start Date]],5),""))))</f>
        <v/>
      </c>
      <c r="P612" s="77" t="str">
        <f>IF(Main[[#This Row],[Tech Start Date]]&lt;1/1/1990,"",IF(Main[[#This Row],[Class]]="C",WORKDAY(Main[[#This Row],[Tech Start Date]],28),IF(Main[[#This Row],[Class]]="B", WORKDAY(Main[[#This Row],[Tech Start Date]],19),IF(Main[[#This Row],[Class]]="A",WORKDAY(Main[[#This Row],[Tech Start Date]],9),""))))</f>
        <v/>
      </c>
      <c r="Q612" s="74">
        <v>40158</v>
      </c>
      <c r="R612" s="74"/>
      <c r="S612" s="72" t="s">
        <v>11</v>
      </c>
      <c r="T612" s="80" t="s">
        <v>4</v>
      </c>
      <c r="U612" s="72" t="s">
        <v>14</v>
      </c>
      <c r="V612" s="72" t="s">
        <v>1937</v>
      </c>
      <c r="W612" s="72" t="s">
        <v>1942</v>
      </c>
      <c r="X612" s="72" t="s">
        <v>2976</v>
      </c>
      <c r="Y612" s="72" t="s">
        <v>3101</v>
      </c>
      <c r="Z612" s="72" t="s">
        <v>4</v>
      </c>
    </row>
    <row r="613" spans="1:26" ht="18.600000000000001" customHeight="1">
      <c r="A613" s="142" t="str">
        <f>IF(priority(Main[[#This Row],[Comments]])&lt;&gt;0, priority(Main[[#This Row],[Comments]]),"")</f>
        <v/>
      </c>
      <c r="B613" s="90" t="s">
        <v>2413</v>
      </c>
      <c r="C613" s="72" t="s">
        <v>72</v>
      </c>
      <c r="D613" s="73" t="s">
        <v>2414</v>
      </c>
      <c r="E613" s="74"/>
      <c r="F613" s="74"/>
      <c r="G613" s="75" t="str">
        <f>IF(stdProdLT(Main[[#This Row],[Comments]])=0.1,"N/A",IF(stdProdLT(Main[[#This Row],[Comments]])=0,"",stdProdLT(Main[[#This Row],[Comments]])))</f>
        <v/>
      </c>
      <c r="H613" s="76" t="str">
        <f>IF(AND(Main[[#This Row],[In Stock Date]]&lt;&gt;"",Main[[#This Row],[Revised Due Date]]&lt;&gt;""),Main[[#This Row],[In Stock Date]]-Main[[#This Row],[Revised Due Date]],"")</f>
        <v/>
      </c>
      <c r="I613" s="72" t="s">
        <v>4</v>
      </c>
      <c r="J613" s="72" t="s">
        <v>4</v>
      </c>
      <c r="K613" s="72" t="s">
        <v>4</v>
      </c>
      <c r="L613" s="74"/>
      <c r="M613" s="77" t="str">
        <f>IF(Main[[#This Row],[Tech Start Date]]&lt;1/1/1990,"",IF(Main[[#This Row],[Class]]="C",WORKDAY(Main[[#This Row],[Tech Start Date]],9),IF(Main[[#This Row],[Class]]="B", WORKDAY(Main[[#This Row],[Tech Start Date]],6),IF(Main[[#This Row],[Class]]="A",WORKDAY(Main[[#This Row],[Tech Start Date]],2),""))))</f>
        <v/>
      </c>
      <c r="N613" s="77" t="str">
        <f>IF(Main[[#This Row],[Tech Start Date]]&lt;1/1/1990,"",IF(Main[[#This Row],[Class]]="C",WORKDAY(Main[[#This Row],[Tech Start Date]],19),IF(Main[[#This Row],[Class]]="B", WORKDAY(Main[[#This Row],[Tech Start Date]],12),IF(Main[[#This Row],[Class]]="A",WORKDAY(Main[[#This Row],[Tech Start Date]],4),""))))</f>
        <v/>
      </c>
      <c r="O613" s="77" t="str">
        <f>IF(Main[[#This Row],[Tech Start Date]]&lt;1/1/1990,"",IF(Main[[#This Row],[Class]]="C",WORKDAY(Main[[#This Row],[Tech Start Date]],23),IF(Main[[#This Row],[Class]]="B", WORKDAY(Main[[#This Row],[Tech Start Date]],15),IF(Main[[#This Row],[Class]]="A",WORKDAY(Main[[#This Row],[Tech Start Date]],5),""))))</f>
        <v/>
      </c>
      <c r="P613" s="77" t="str">
        <f>IF(Main[[#This Row],[Tech Start Date]]&lt;1/1/1990,"",IF(Main[[#This Row],[Class]]="C",WORKDAY(Main[[#This Row],[Tech Start Date]],28),IF(Main[[#This Row],[Class]]="B", WORKDAY(Main[[#This Row],[Tech Start Date]],19),IF(Main[[#This Row],[Class]]="A",WORKDAY(Main[[#This Row],[Tech Start Date]],9),""))))</f>
        <v/>
      </c>
      <c r="Q613" s="74"/>
      <c r="R613" s="74"/>
      <c r="S613" s="72" t="s">
        <v>17</v>
      </c>
      <c r="T613" s="80" t="s">
        <v>4</v>
      </c>
      <c r="U613" s="72" t="s">
        <v>14</v>
      </c>
      <c r="V613" s="72" t="s">
        <v>1938</v>
      </c>
      <c r="W613" s="72" t="s">
        <v>1939</v>
      </c>
      <c r="X613" s="72" t="s">
        <v>3042</v>
      </c>
      <c r="Y613" s="72" t="s">
        <v>3205</v>
      </c>
      <c r="Z613" s="72" t="s">
        <v>4</v>
      </c>
    </row>
    <row r="614" spans="1:26" ht="18.600000000000001" customHeight="1">
      <c r="A614" s="142" t="str">
        <f>IF(priority(Main[[#This Row],[Comments]])&lt;&gt;0, priority(Main[[#This Row],[Comments]]),"")</f>
        <v/>
      </c>
      <c r="B614" s="90" t="s">
        <v>1458</v>
      </c>
      <c r="C614" s="72" t="s">
        <v>113</v>
      </c>
      <c r="D614" s="73" t="s">
        <v>528</v>
      </c>
      <c r="E614" s="74"/>
      <c r="F614" s="74"/>
      <c r="G614" s="75" t="str">
        <f>IF(stdProdLT(Main[[#This Row],[Comments]])=0.1,"N/A",IF(stdProdLT(Main[[#This Row],[Comments]])=0,"",stdProdLT(Main[[#This Row],[Comments]])))</f>
        <v/>
      </c>
      <c r="H614" s="76" t="str">
        <f>IF(AND(Main[[#This Row],[In Stock Date]]&lt;&gt;"",Main[[#This Row],[Revised Due Date]]&lt;&gt;""),Main[[#This Row],[In Stock Date]]-Main[[#This Row],[Revised Due Date]],"")</f>
        <v/>
      </c>
      <c r="I614" s="72" t="s">
        <v>4</v>
      </c>
      <c r="J614" s="72" t="s">
        <v>4</v>
      </c>
      <c r="K614" s="72" t="s">
        <v>4</v>
      </c>
      <c r="L614" s="74"/>
      <c r="M614" s="77" t="str">
        <f>IF(Main[[#This Row],[Tech Start Date]]&lt;1/1/1990,"",IF(Main[[#This Row],[Class]]="C",WORKDAY(Main[[#This Row],[Tech Start Date]],9),IF(Main[[#This Row],[Class]]="B", WORKDAY(Main[[#This Row],[Tech Start Date]],6),IF(Main[[#This Row],[Class]]="A",WORKDAY(Main[[#This Row],[Tech Start Date]],2),""))))</f>
        <v/>
      </c>
      <c r="N614" s="77" t="str">
        <f>IF(Main[[#This Row],[Tech Start Date]]&lt;1/1/1990,"",IF(Main[[#This Row],[Class]]="C",WORKDAY(Main[[#This Row],[Tech Start Date]],19),IF(Main[[#This Row],[Class]]="B", WORKDAY(Main[[#This Row],[Tech Start Date]],12),IF(Main[[#This Row],[Class]]="A",WORKDAY(Main[[#This Row],[Tech Start Date]],4),""))))</f>
        <v/>
      </c>
      <c r="O614" s="77" t="str">
        <f>IF(Main[[#This Row],[Tech Start Date]]&lt;1/1/1990,"",IF(Main[[#This Row],[Class]]="C",WORKDAY(Main[[#This Row],[Tech Start Date]],23),IF(Main[[#This Row],[Class]]="B", WORKDAY(Main[[#This Row],[Tech Start Date]],15),IF(Main[[#This Row],[Class]]="A",WORKDAY(Main[[#This Row],[Tech Start Date]],5),""))))</f>
        <v/>
      </c>
      <c r="P614" s="77" t="str">
        <f>IF(Main[[#This Row],[Tech Start Date]]&lt;1/1/1990,"",IF(Main[[#This Row],[Class]]="C",WORKDAY(Main[[#This Row],[Tech Start Date]],28),IF(Main[[#This Row],[Class]]="B", WORKDAY(Main[[#This Row],[Tech Start Date]],19),IF(Main[[#This Row],[Class]]="A",WORKDAY(Main[[#This Row],[Tech Start Date]],9),""))))</f>
        <v/>
      </c>
      <c r="Q614" s="74">
        <v>40505</v>
      </c>
      <c r="R614" s="74"/>
      <c r="S614" s="72" t="s">
        <v>49</v>
      </c>
      <c r="T614" s="80" t="s">
        <v>4</v>
      </c>
      <c r="U614" s="72" t="s">
        <v>12</v>
      </c>
      <c r="V614" s="72" t="s">
        <v>1938</v>
      </c>
      <c r="W614" s="72" t="s">
        <v>1942</v>
      </c>
      <c r="X614" s="72" t="s">
        <v>3043</v>
      </c>
      <c r="Y614" s="72" t="s">
        <v>3139</v>
      </c>
      <c r="Z614" s="72" t="s">
        <v>4</v>
      </c>
    </row>
    <row r="615" spans="1:26" ht="18.600000000000001" customHeight="1">
      <c r="A615" s="142" t="str">
        <f>IF(priority(Main[[#This Row],[Comments]])&lt;&gt;0, priority(Main[[#This Row],[Comments]]),"")</f>
        <v/>
      </c>
      <c r="B615" s="90" t="s">
        <v>2293</v>
      </c>
      <c r="C615" s="72" t="s">
        <v>4</v>
      </c>
      <c r="D615" s="73" t="s">
        <v>2327</v>
      </c>
      <c r="E615" s="74">
        <v>40806.662407407406</v>
      </c>
      <c r="F615" s="74"/>
      <c r="G615" s="75" t="str">
        <f>IF(stdProdLT(Main[[#This Row],[Comments]])=0.1,"N/A",IF(stdProdLT(Main[[#This Row],[Comments]])=0,"",stdProdLT(Main[[#This Row],[Comments]])))</f>
        <v/>
      </c>
      <c r="H615" s="76" t="str">
        <f>IF(AND(Main[[#This Row],[In Stock Date]]&lt;&gt;"",Main[[#This Row],[Revised Due Date]]&lt;&gt;""),Main[[#This Row],[In Stock Date]]-Main[[#This Row],[Revised Due Date]],"")</f>
        <v/>
      </c>
      <c r="I615" s="72" t="s">
        <v>30</v>
      </c>
      <c r="J615" s="72" t="s">
        <v>21</v>
      </c>
      <c r="K615" s="72" t="s">
        <v>1946</v>
      </c>
      <c r="L615" s="74"/>
      <c r="M615" s="77" t="str">
        <f>IF(Main[[#This Row],[Tech Start Date]]&lt;1/1/1990,"",IF(Main[[#This Row],[Class]]="C",WORKDAY(Main[[#This Row],[Tech Start Date]],9),IF(Main[[#This Row],[Class]]="B", WORKDAY(Main[[#This Row],[Tech Start Date]],6),IF(Main[[#This Row],[Class]]="A",WORKDAY(Main[[#This Row],[Tech Start Date]],2),""))))</f>
        <v/>
      </c>
      <c r="N615" s="77" t="str">
        <f>IF(Main[[#This Row],[Tech Start Date]]&lt;1/1/1990,"",IF(Main[[#This Row],[Class]]="C",WORKDAY(Main[[#This Row],[Tech Start Date]],19),IF(Main[[#This Row],[Class]]="B", WORKDAY(Main[[#This Row],[Tech Start Date]],12),IF(Main[[#This Row],[Class]]="A",WORKDAY(Main[[#This Row],[Tech Start Date]],4),""))))</f>
        <v/>
      </c>
      <c r="O615" s="77" t="str">
        <f>IF(Main[[#This Row],[Tech Start Date]]&lt;1/1/1990,"",IF(Main[[#This Row],[Class]]="C",WORKDAY(Main[[#This Row],[Tech Start Date]],23),IF(Main[[#This Row],[Class]]="B", WORKDAY(Main[[#This Row],[Tech Start Date]],15),IF(Main[[#This Row],[Class]]="A",WORKDAY(Main[[#This Row],[Tech Start Date]],5),""))))</f>
        <v/>
      </c>
      <c r="P615" s="77" t="str">
        <f>IF(Main[[#This Row],[Tech Start Date]]&lt;1/1/1990,"",IF(Main[[#This Row],[Class]]="C",WORKDAY(Main[[#This Row],[Tech Start Date]],28),IF(Main[[#This Row],[Class]]="B", WORKDAY(Main[[#This Row],[Tech Start Date]],19),IF(Main[[#This Row],[Class]]="A",WORKDAY(Main[[#This Row],[Tech Start Date]],9),""))))</f>
        <v/>
      </c>
      <c r="Q615" s="74"/>
      <c r="R615" s="74"/>
      <c r="S615" s="72" t="s">
        <v>6</v>
      </c>
      <c r="T615" s="80" t="s">
        <v>4</v>
      </c>
      <c r="U615" s="72" t="s">
        <v>29</v>
      </c>
      <c r="V615" s="72" t="s">
        <v>1940</v>
      </c>
      <c r="W615" s="72" t="s">
        <v>1941</v>
      </c>
      <c r="X615" s="72" t="s">
        <v>311</v>
      </c>
      <c r="Y615" s="72" t="s">
        <v>4</v>
      </c>
      <c r="Z615" s="72" t="s">
        <v>30</v>
      </c>
    </row>
    <row r="616" spans="1:26" ht="18.600000000000001" customHeight="1">
      <c r="A616" s="142" t="str">
        <f>IF(priority(Main[[#This Row],[Comments]])&lt;&gt;0, priority(Main[[#This Row],[Comments]]),"")</f>
        <v/>
      </c>
      <c r="B616" s="90" t="s">
        <v>2594</v>
      </c>
      <c r="C616" s="72" t="s">
        <v>2392</v>
      </c>
      <c r="D616" s="73" t="s">
        <v>2393</v>
      </c>
      <c r="E616" s="74"/>
      <c r="F616" s="74">
        <v>41008</v>
      </c>
      <c r="G616" s="75" t="str">
        <f>IF(stdProdLT(Main[[#This Row],[Comments]])=0.1,"N/A",IF(stdProdLT(Main[[#This Row],[Comments]])=0,"",stdProdLT(Main[[#This Row],[Comments]])))</f>
        <v/>
      </c>
      <c r="H616" s="76" t="str">
        <f>IF(AND(Main[[#This Row],[In Stock Date]]&lt;&gt;"",Main[[#This Row],[Revised Due Date]]&lt;&gt;""),Main[[#This Row],[In Stock Date]]-Main[[#This Row],[Revised Due Date]],"")</f>
        <v/>
      </c>
      <c r="I616" s="72" t="s">
        <v>4</v>
      </c>
      <c r="J616" s="72" t="s">
        <v>4</v>
      </c>
      <c r="K616" s="72" t="s">
        <v>4</v>
      </c>
      <c r="L616" s="74"/>
      <c r="M616" s="77" t="str">
        <f>IF(Main[[#This Row],[Tech Start Date]]&lt;1/1/1990,"",IF(Main[[#This Row],[Class]]="C",WORKDAY(Main[[#This Row],[Tech Start Date]],9),IF(Main[[#This Row],[Class]]="B", WORKDAY(Main[[#This Row],[Tech Start Date]],6),IF(Main[[#This Row],[Class]]="A",WORKDAY(Main[[#This Row],[Tech Start Date]],2),""))))</f>
        <v/>
      </c>
      <c r="N616" s="77" t="str">
        <f>IF(Main[[#This Row],[Tech Start Date]]&lt;1/1/1990,"",IF(Main[[#This Row],[Class]]="C",WORKDAY(Main[[#This Row],[Tech Start Date]],19),IF(Main[[#This Row],[Class]]="B", WORKDAY(Main[[#This Row],[Tech Start Date]],12),IF(Main[[#This Row],[Class]]="A",WORKDAY(Main[[#This Row],[Tech Start Date]],4),""))))</f>
        <v/>
      </c>
      <c r="O616" s="77" t="str">
        <f>IF(Main[[#This Row],[Tech Start Date]]&lt;1/1/1990,"",IF(Main[[#This Row],[Class]]="C",WORKDAY(Main[[#This Row],[Tech Start Date]],23),IF(Main[[#This Row],[Class]]="B", WORKDAY(Main[[#This Row],[Tech Start Date]],15),IF(Main[[#This Row],[Class]]="A",WORKDAY(Main[[#This Row],[Tech Start Date]],5),""))))</f>
        <v/>
      </c>
      <c r="P616" s="77" t="str">
        <f>IF(Main[[#This Row],[Tech Start Date]]&lt;1/1/1990,"",IF(Main[[#This Row],[Class]]="C",WORKDAY(Main[[#This Row],[Tech Start Date]],28),IF(Main[[#This Row],[Class]]="B", WORKDAY(Main[[#This Row],[Tech Start Date]],19),IF(Main[[#This Row],[Class]]="A",WORKDAY(Main[[#This Row],[Tech Start Date]],9),""))))</f>
        <v/>
      </c>
      <c r="Q616" s="74">
        <v>40826</v>
      </c>
      <c r="R616" s="74"/>
      <c r="S616" s="72" t="s">
        <v>11</v>
      </c>
      <c r="T616" s="80" t="s">
        <v>4</v>
      </c>
      <c r="U616" s="72" t="s">
        <v>12</v>
      </c>
      <c r="V616" s="72" t="s">
        <v>1940</v>
      </c>
      <c r="W616" s="72" t="s">
        <v>1943</v>
      </c>
      <c r="X616" s="72" t="s">
        <v>2995</v>
      </c>
      <c r="Y616" s="72" t="s">
        <v>4</v>
      </c>
      <c r="Z616" s="72" t="s">
        <v>4</v>
      </c>
    </row>
    <row r="617" spans="1:26" ht="18.600000000000001" customHeight="1">
      <c r="A617" s="142" t="str">
        <f>IF(priority(Main[[#This Row],[Comments]])&lt;&gt;0, priority(Main[[#This Row],[Comments]]),"")</f>
        <v/>
      </c>
      <c r="B617" s="90" t="s">
        <v>1476</v>
      </c>
      <c r="C617" s="72" t="s">
        <v>4</v>
      </c>
      <c r="D617" s="73" t="s">
        <v>529</v>
      </c>
      <c r="E617" s="74">
        <v>40371.58488425926</v>
      </c>
      <c r="F617" s="74"/>
      <c r="G617" s="75" t="str">
        <f>IF(stdProdLT(Main[[#This Row],[Comments]])=0.1,"N/A",IF(stdProdLT(Main[[#This Row],[Comments]])=0,"",stdProdLT(Main[[#This Row],[Comments]])))</f>
        <v/>
      </c>
      <c r="H617" s="76" t="str">
        <f>IF(AND(Main[[#This Row],[In Stock Date]]&lt;&gt;"",Main[[#This Row],[Revised Due Date]]&lt;&gt;""),Main[[#This Row],[In Stock Date]]-Main[[#This Row],[Revised Due Date]],"")</f>
        <v/>
      </c>
      <c r="I617" s="72" t="s">
        <v>4</v>
      </c>
      <c r="J617" s="72" t="s">
        <v>4</v>
      </c>
      <c r="K617" s="72" t="s">
        <v>4</v>
      </c>
      <c r="L617" s="74"/>
      <c r="M617" s="77" t="str">
        <f>IF(Main[[#This Row],[Tech Start Date]]&lt;1/1/1990,"",IF(Main[[#This Row],[Class]]="C",WORKDAY(Main[[#This Row],[Tech Start Date]],9),IF(Main[[#This Row],[Class]]="B", WORKDAY(Main[[#This Row],[Tech Start Date]],6),IF(Main[[#This Row],[Class]]="A",WORKDAY(Main[[#This Row],[Tech Start Date]],2),""))))</f>
        <v/>
      </c>
      <c r="N617" s="77" t="str">
        <f>IF(Main[[#This Row],[Tech Start Date]]&lt;1/1/1990,"",IF(Main[[#This Row],[Class]]="C",WORKDAY(Main[[#This Row],[Tech Start Date]],19),IF(Main[[#This Row],[Class]]="B", WORKDAY(Main[[#This Row],[Tech Start Date]],12),IF(Main[[#This Row],[Class]]="A",WORKDAY(Main[[#This Row],[Tech Start Date]],4),""))))</f>
        <v/>
      </c>
      <c r="O617" s="77" t="str">
        <f>IF(Main[[#This Row],[Tech Start Date]]&lt;1/1/1990,"",IF(Main[[#This Row],[Class]]="C",WORKDAY(Main[[#This Row],[Tech Start Date]],23),IF(Main[[#This Row],[Class]]="B", WORKDAY(Main[[#This Row],[Tech Start Date]],15),IF(Main[[#This Row],[Class]]="A",WORKDAY(Main[[#This Row],[Tech Start Date]],5),""))))</f>
        <v/>
      </c>
      <c r="P617" s="77" t="str">
        <f>IF(Main[[#This Row],[Tech Start Date]]&lt;1/1/1990,"",IF(Main[[#This Row],[Class]]="C",WORKDAY(Main[[#This Row],[Tech Start Date]],28),IF(Main[[#This Row],[Class]]="B", WORKDAY(Main[[#This Row],[Tech Start Date]],19),IF(Main[[#This Row],[Class]]="A",WORKDAY(Main[[#This Row],[Tech Start Date]],9),""))))</f>
        <v/>
      </c>
      <c r="Q617" s="74">
        <v>40385</v>
      </c>
      <c r="R617" s="74"/>
      <c r="S617" s="72" t="s">
        <v>6</v>
      </c>
      <c r="T617" s="80" t="s">
        <v>4</v>
      </c>
      <c r="U617" s="72" t="s">
        <v>7</v>
      </c>
      <c r="V617" s="72" t="s">
        <v>1937</v>
      </c>
      <c r="W617" s="72" t="s">
        <v>1942</v>
      </c>
      <c r="X617" s="72" t="s">
        <v>102</v>
      </c>
      <c r="Y617" s="72" t="s">
        <v>3206</v>
      </c>
      <c r="Z617" s="72" t="s">
        <v>4</v>
      </c>
    </row>
    <row r="618" spans="1:26" ht="18.600000000000001" customHeight="1">
      <c r="A618" s="142" t="str">
        <f>IF(priority(Main[[#This Row],[Comments]])&lt;&gt;0, priority(Main[[#This Row],[Comments]]),"")</f>
        <v/>
      </c>
      <c r="B618" s="90" t="s">
        <v>1479</v>
      </c>
      <c r="C618" s="72" t="s">
        <v>531</v>
      </c>
      <c r="D618" s="73" t="s">
        <v>532</v>
      </c>
      <c r="E618" s="74"/>
      <c r="F618" s="74">
        <v>40276</v>
      </c>
      <c r="G618" s="75" t="str">
        <f>IF(stdProdLT(Main[[#This Row],[Comments]])=0.1,"N/A",IF(stdProdLT(Main[[#This Row],[Comments]])=0,"",stdProdLT(Main[[#This Row],[Comments]])))</f>
        <v/>
      </c>
      <c r="H618" s="76" t="str">
        <f>IF(AND(Main[[#This Row],[In Stock Date]]&lt;&gt;"",Main[[#This Row],[Revised Due Date]]&lt;&gt;""),Main[[#This Row],[In Stock Date]]-Main[[#This Row],[Revised Due Date]],"")</f>
        <v/>
      </c>
      <c r="I618" s="72" t="s">
        <v>4</v>
      </c>
      <c r="J618" s="72" t="s">
        <v>4</v>
      </c>
      <c r="K618" s="72" t="s">
        <v>4</v>
      </c>
      <c r="L618" s="74"/>
      <c r="M618" s="77" t="str">
        <f>IF(Main[[#This Row],[Tech Start Date]]&lt;1/1/1990,"",IF(Main[[#This Row],[Class]]="C",WORKDAY(Main[[#This Row],[Tech Start Date]],9),IF(Main[[#This Row],[Class]]="B", WORKDAY(Main[[#This Row],[Tech Start Date]],6),IF(Main[[#This Row],[Class]]="A",WORKDAY(Main[[#This Row],[Tech Start Date]],2),""))))</f>
        <v/>
      </c>
      <c r="N618" s="77" t="str">
        <f>IF(Main[[#This Row],[Tech Start Date]]&lt;1/1/1990,"",IF(Main[[#This Row],[Class]]="C",WORKDAY(Main[[#This Row],[Tech Start Date]],19),IF(Main[[#This Row],[Class]]="B", WORKDAY(Main[[#This Row],[Tech Start Date]],12),IF(Main[[#This Row],[Class]]="A",WORKDAY(Main[[#This Row],[Tech Start Date]],4),""))))</f>
        <v/>
      </c>
      <c r="O618" s="77" t="str">
        <f>IF(Main[[#This Row],[Tech Start Date]]&lt;1/1/1990,"",IF(Main[[#This Row],[Class]]="C",WORKDAY(Main[[#This Row],[Tech Start Date]],23),IF(Main[[#This Row],[Class]]="B", WORKDAY(Main[[#This Row],[Tech Start Date]],15),IF(Main[[#This Row],[Class]]="A",WORKDAY(Main[[#This Row],[Tech Start Date]],5),""))))</f>
        <v/>
      </c>
      <c r="P618" s="77" t="str">
        <f>IF(Main[[#This Row],[Tech Start Date]]&lt;1/1/1990,"",IF(Main[[#This Row],[Class]]="C",WORKDAY(Main[[#This Row],[Tech Start Date]],28),IF(Main[[#This Row],[Class]]="B", WORKDAY(Main[[#This Row],[Tech Start Date]],19),IF(Main[[#This Row],[Class]]="A",WORKDAY(Main[[#This Row],[Tech Start Date]],9),""))))</f>
        <v/>
      </c>
      <c r="Q618" s="74">
        <v>40164</v>
      </c>
      <c r="R618" s="74"/>
      <c r="S618" s="72" t="s">
        <v>11</v>
      </c>
      <c r="T618" s="80" t="s">
        <v>4</v>
      </c>
      <c r="U618" s="72" t="s">
        <v>14</v>
      </c>
      <c r="V618" s="72" t="s">
        <v>1940</v>
      </c>
      <c r="W618" s="72" t="s">
        <v>1943</v>
      </c>
      <c r="X618" s="72" t="s">
        <v>3044</v>
      </c>
      <c r="Y618" s="72" t="s">
        <v>4</v>
      </c>
      <c r="Z618" s="72" t="s">
        <v>4</v>
      </c>
    </row>
    <row r="619" spans="1:26" ht="18.600000000000001" customHeight="1">
      <c r="A619" s="142" t="str">
        <f>IF(priority(Main[[#This Row],[Comments]])&lt;&gt;0, priority(Main[[#This Row],[Comments]]),"")</f>
        <v/>
      </c>
      <c r="B619" s="90" t="s">
        <v>1717</v>
      </c>
      <c r="C619" s="72" t="s">
        <v>4</v>
      </c>
      <c r="D619" s="73" t="s">
        <v>764</v>
      </c>
      <c r="E619" s="74">
        <v>40700.558032407411</v>
      </c>
      <c r="F619" s="74"/>
      <c r="G619" s="75" t="str">
        <f>IF(stdProdLT(Main[[#This Row],[Comments]])=0.1,"N/A",IF(stdProdLT(Main[[#This Row],[Comments]])=0,"",stdProdLT(Main[[#This Row],[Comments]])))</f>
        <v/>
      </c>
      <c r="H619" s="76" t="str">
        <f>IF(AND(Main[[#This Row],[In Stock Date]]&lt;&gt;"",Main[[#This Row],[Revised Due Date]]&lt;&gt;""),Main[[#This Row],[In Stock Date]]-Main[[#This Row],[Revised Due Date]],"")</f>
        <v/>
      </c>
      <c r="I619" s="72" t="s">
        <v>4</v>
      </c>
      <c r="J619" s="72" t="s">
        <v>4</v>
      </c>
      <c r="K619" s="72" t="s">
        <v>4</v>
      </c>
      <c r="L619" s="74"/>
      <c r="M619" s="77" t="str">
        <f>IF(Main[[#This Row],[Tech Start Date]]&lt;1/1/1990,"",IF(Main[[#This Row],[Class]]="C",WORKDAY(Main[[#This Row],[Tech Start Date]],9),IF(Main[[#This Row],[Class]]="B", WORKDAY(Main[[#This Row],[Tech Start Date]],6),IF(Main[[#This Row],[Class]]="A",WORKDAY(Main[[#This Row],[Tech Start Date]],2),""))))</f>
        <v/>
      </c>
      <c r="N619" s="77" t="str">
        <f>IF(Main[[#This Row],[Tech Start Date]]&lt;1/1/1990,"",IF(Main[[#This Row],[Class]]="C",WORKDAY(Main[[#This Row],[Tech Start Date]],19),IF(Main[[#This Row],[Class]]="B", WORKDAY(Main[[#This Row],[Tech Start Date]],12),IF(Main[[#This Row],[Class]]="A",WORKDAY(Main[[#This Row],[Tech Start Date]],4),""))))</f>
        <v/>
      </c>
      <c r="O619" s="77" t="str">
        <f>IF(Main[[#This Row],[Tech Start Date]]&lt;1/1/1990,"",IF(Main[[#This Row],[Class]]="C",WORKDAY(Main[[#This Row],[Tech Start Date]],23),IF(Main[[#This Row],[Class]]="B", WORKDAY(Main[[#This Row],[Tech Start Date]],15),IF(Main[[#This Row],[Class]]="A",WORKDAY(Main[[#This Row],[Tech Start Date]],5),""))))</f>
        <v/>
      </c>
      <c r="P619" s="77" t="str">
        <f>IF(Main[[#This Row],[Tech Start Date]]&lt;1/1/1990,"",IF(Main[[#This Row],[Class]]="C",WORKDAY(Main[[#This Row],[Tech Start Date]],28),IF(Main[[#This Row],[Class]]="B", WORKDAY(Main[[#This Row],[Tech Start Date]],19),IF(Main[[#This Row],[Class]]="A",WORKDAY(Main[[#This Row],[Tech Start Date]],9),""))))</f>
        <v/>
      </c>
      <c r="Q619" s="74">
        <v>40714</v>
      </c>
      <c r="R619" s="74"/>
      <c r="S619" s="72" t="s">
        <v>6</v>
      </c>
      <c r="T619" s="80" t="s">
        <v>4</v>
      </c>
      <c r="U619" s="72" t="s">
        <v>704</v>
      </c>
      <c r="V619" s="72" t="s">
        <v>1937</v>
      </c>
      <c r="W619" s="72" t="s">
        <v>4</v>
      </c>
      <c r="X619" s="72" t="s">
        <v>2988</v>
      </c>
      <c r="Y619" s="72" t="s">
        <v>3123</v>
      </c>
      <c r="Z619" s="72" t="s">
        <v>4</v>
      </c>
    </row>
    <row r="620" spans="1:26" ht="18.600000000000001" customHeight="1">
      <c r="A620" s="142" t="str">
        <f>IF(priority(Main[[#This Row],[Comments]])&lt;&gt;0, priority(Main[[#This Row],[Comments]]),"")</f>
        <v/>
      </c>
      <c r="B620" s="90" t="s">
        <v>1481</v>
      </c>
      <c r="C620" s="72" t="s">
        <v>4</v>
      </c>
      <c r="D620" s="73" t="s">
        <v>533</v>
      </c>
      <c r="E620" s="74"/>
      <c r="F620" s="74">
        <v>40431</v>
      </c>
      <c r="G620" s="75" t="str">
        <f>IF(stdProdLT(Main[[#This Row],[Comments]])=0.1,"N/A",IF(stdProdLT(Main[[#This Row],[Comments]])=0,"",stdProdLT(Main[[#This Row],[Comments]])))</f>
        <v/>
      </c>
      <c r="H620" s="76" t="str">
        <f>IF(AND(Main[[#This Row],[In Stock Date]]&lt;&gt;"",Main[[#This Row],[Revised Due Date]]&lt;&gt;""),Main[[#This Row],[In Stock Date]]-Main[[#This Row],[Revised Due Date]],"")</f>
        <v/>
      </c>
      <c r="I620" s="72" t="s">
        <v>4</v>
      </c>
      <c r="J620" s="72" t="s">
        <v>28</v>
      </c>
      <c r="K620" s="72" t="s">
        <v>4</v>
      </c>
      <c r="L620" s="74"/>
      <c r="M620" s="77" t="str">
        <f>IF(Main[[#This Row],[Tech Start Date]]&lt;1/1/1990,"",IF(Main[[#This Row],[Class]]="C",WORKDAY(Main[[#This Row],[Tech Start Date]],9),IF(Main[[#This Row],[Class]]="B", WORKDAY(Main[[#This Row],[Tech Start Date]],6),IF(Main[[#This Row],[Class]]="A",WORKDAY(Main[[#This Row],[Tech Start Date]],2),""))))</f>
        <v/>
      </c>
      <c r="N620" s="77" t="str">
        <f>IF(Main[[#This Row],[Tech Start Date]]&lt;1/1/1990,"",IF(Main[[#This Row],[Class]]="C",WORKDAY(Main[[#This Row],[Tech Start Date]],19),IF(Main[[#This Row],[Class]]="B", WORKDAY(Main[[#This Row],[Tech Start Date]],12),IF(Main[[#This Row],[Class]]="A",WORKDAY(Main[[#This Row],[Tech Start Date]],4),""))))</f>
        <v/>
      </c>
      <c r="O620" s="77" t="str">
        <f>IF(Main[[#This Row],[Tech Start Date]]&lt;1/1/1990,"",IF(Main[[#This Row],[Class]]="C",WORKDAY(Main[[#This Row],[Tech Start Date]],23),IF(Main[[#This Row],[Class]]="B", WORKDAY(Main[[#This Row],[Tech Start Date]],15),IF(Main[[#This Row],[Class]]="A",WORKDAY(Main[[#This Row],[Tech Start Date]],5),""))))</f>
        <v/>
      </c>
      <c r="P620" s="77" t="str">
        <f>IF(Main[[#This Row],[Tech Start Date]]&lt;1/1/1990,"",IF(Main[[#This Row],[Class]]="C",WORKDAY(Main[[#This Row],[Tech Start Date]],28),IF(Main[[#This Row],[Class]]="B", WORKDAY(Main[[#This Row],[Tech Start Date]],19),IF(Main[[#This Row],[Class]]="A",WORKDAY(Main[[#This Row],[Tech Start Date]],9),""))))</f>
        <v/>
      </c>
      <c r="Q620" s="74">
        <v>40410</v>
      </c>
      <c r="R620" s="74"/>
      <c r="S620" s="72" t="s">
        <v>11</v>
      </c>
      <c r="T620" s="80" t="s">
        <v>4</v>
      </c>
      <c r="U620" s="72" t="s">
        <v>14</v>
      </c>
      <c r="V620" s="72" t="s">
        <v>1938</v>
      </c>
      <c r="W620" s="72" t="s">
        <v>1945</v>
      </c>
      <c r="X620" s="72" t="s">
        <v>2976</v>
      </c>
      <c r="Y620" s="72" t="s">
        <v>3101</v>
      </c>
      <c r="Z620" s="72" t="s">
        <v>108</v>
      </c>
    </row>
    <row r="621" spans="1:26" ht="18.600000000000001" customHeight="1">
      <c r="A621" s="142" t="str">
        <f>IF(priority(Main[[#This Row],[Comments]])&lt;&gt;0, priority(Main[[#This Row],[Comments]]),"")</f>
        <v/>
      </c>
      <c r="B621" s="90" t="s">
        <v>1482</v>
      </c>
      <c r="C621" s="72" t="s">
        <v>4</v>
      </c>
      <c r="D621" s="73" t="s">
        <v>534</v>
      </c>
      <c r="E621" s="74"/>
      <c r="F621" s="74">
        <v>40786</v>
      </c>
      <c r="G621" s="75" t="str">
        <f>IF(stdProdLT(Main[[#This Row],[Comments]])=0.1,"N/A",IF(stdProdLT(Main[[#This Row],[Comments]])=0,"",stdProdLT(Main[[#This Row],[Comments]])))</f>
        <v/>
      </c>
      <c r="H621" s="76" t="str">
        <f>IF(AND(Main[[#This Row],[In Stock Date]]&lt;&gt;"",Main[[#This Row],[Revised Due Date]]&lt;&gt;""),Main[[#This Row],[In Stock Date]]-Main[[#This Row],[Revised Due Date]],"")</f>
        <v/>
      </c>
      <c r="I621" s="72" t="s">
        <v>4</v>
      </c>
      <c r="J621" s="72" t="s">
        <v>4</v>
      </c>
      <c r="K621" s="81" t="s">
        <v>4</v>
      </c>
      <c r="L621" s="74"/>
      <c r="M621" s="77" t="str">
        <f>IF(Main[[#This Row],[Tech Start Date]]&lt;1/1/1990,"",IF(Main[[#This Row],[Class]]="C",WORKDAY(Main[[#This Row],[Tech Start Date]],9),IF(Main[[#This Row],[Class]]="B", WORKDAY(Main[[#This Row],[Tech Start Date]],6),IF(Main[[#This Row],[Class]]="A",WORKDAY(Main[[#This Row],[Tech Start Date]],2),""))))</f>
        <v/>
      </c>
      <c r="N621" s="77" t="str">
        <f>IF(Main[[#This Row],[Tech Start Date]]&lt;1/1/1990,"",IF(Main[[#This Row],[Class]]="C",WORKDAY(Main[[#This Row],[Tech Start Date]],19),IF(Main[[#This Row],[Class]]="B", WORKDAY(Main[[#This Row],[Tech Start Date]],12),IF(Main[[#This Row],[Class]]="A",WORKDAY(Main[[#This Row],[Tech Start Date]],4),""))))</f>
        <v/>
      </c>
      <c r="O621" s="77" t="str">
        <f>IF(Main[[#This Row],[Tech Start Date]]&lt;1/1/1990,"",IF(Main[[#This Row],[Class]]="C",WORKDAY(Main[[#This Row],[Tech Start Date]],23),IF(Main[[#This Row],[Class]]="B", WORKDAY(Main[[#This Row],[Tech Start Date]],15),IF(Main[[#This Row],[Class]]="A",WORKDAY(Main[[#This Row],[Tech Start Date]],5),""))))</f>
        <v/>
      </c>
      <c r="P621" s="77" t="str">
        <f>IF(Main[[#This Row],[Tech Start Date]]&lt;1/1/1990,"",IF(Main[[#This Row],[Class]]="C",WORKDAY(Main[[#This Row],[Tech Start Date]],28),IF(Main[[#This Row],[Class]]="B", WORKDAY(Main[[#This Row],[Tech Start Date]],19),IF(Main[[#This Row],[Class]]="A",WORKDAY(Main[[#This Row],[Tech Start Date]],9),""))))</f>
        <v/>
      </c>
      <c r="Q621" s="74">
        <v>40749</v>
      </c>
      <c r="R621" s="74"/>
      <c r="S621" s="72" t="s">
        <v>11</v>
      </c>
      <c r="T621" s="80" t="s">
        <v>4</v>
      </c>
      <c r="U621" s="72" t="s">
        <v>14</v>
      </c>
      <c r="V621" s="72" t="s">
        <v>1940</v>
      </c>
      <c r="W621" s="72" t="s">
        <v>1945</v>
      </c>
      <c r="X621" s="72" t="s">
        <v>560</v>
      </c>
      <c r="Y621" s="72" t="s">
        <v>3208</v>
      </c>
      <c r="Z621" s="72" t="s">
        <v>4</v>
      </c>
    </row>
    <row r="622" spans="1:26" ht="18.600000000000001" customHeight="1">
      <c r="A622" s="142" t="str">
        <f>IF(priority(Main[[#This Row],[Comments]])&lt;&gt;0, priority(Main[[#This Row],[Comments]]),"")</f>
        <v/>
      </c>
      <c r="B622" s="90" t="s">
        <v>1459</v>
      </c>
      <c r="C622" s="72" t="s">
        <v>95</v>
      </c>
      <c r="D622" s="73" t="s">
        <v>535</v>
      </c>
      <c r="E622" s="74"/>
      <c r="F622" s="74"/>
      <c r="G622" s="75" t="str">
        <f>IF(stdProdLT(Main[[#This Row],[Comments]])=0.1,"N/A",IF(stdProdLT(Main[[#This Row],[Comments]])=0,"",stdProdLT(Main[[#This Row],[Comments]])))</f>
        <v/>
      </c>
      <c r="H622" s="76" t="str">
        <f>IF(AND(Main[[#This Row],[In Stock Date]]&lt;&gt;"",Main[[#This Row],[Revised Due Date]]&lt;&gt;""),Main[[#This Row],[In Stock Date]]-Main[[#This Row],[Revised Due Date]],"")</f>
        <v/>
      </c>
      <c r="I622" s="72" t="s">
        <v>536</v>
      </c>
      <c r="J622" s="72" t="s">
        <v>4</v>
      </c>
      <c r="K622" s="72" t="s">
        <v>4</v>
      </c>
      <c r="L622" s="74"/>
      <c r="M622" s="77" t="str">
        <f>IF(Main[[#This Row],[Tech Start Date]]&lt;1/1/1990,"",IF(Main[[#This Row],[Class]]="C",WORKDAY(Main[[#This Row],[Tech Start Date]],9),IF(Main[[#This Row],[Class]]="B", WORKDAY(Main[[#This Row],[Tech Start Date]],6),IF(Main[[#This Row],[Class]]="A",WORKDAY(Main[[#This Row],[Tech Start Date]],2),""))))</f>
        <v/>
      </c>
      <c r="N622" s="77" t="str">
        <f>IF(Main[[#This Row],[Tech Start Date]]&lt;1/1/1990,"",IF(Main[[#This Row],[Class]]="C",WORKDAY(Main[[#This Row],[Tech Start Date]],19),IF(Main[[#This Row],[Class]]="B", WORKDAY(Main[[#This Row],[Tech Start Date]],12),IF(Main[[#This Row],[Class]]="A",WORKDAY(Main[[#This Row],[Tech Start Date]],4),""))))</f>
        <v/>
      </c>
      <c r="O622" s="77" t="str">
        <f>IF(Main[[#This Row],[Tech Start Date]]&lt;1/1/1990,"",IF(Main[[#This Row],[Class]]="C",WORKDAY(Main[[#This Row],[Tech Start Date]],23),IF(Main[[#This Row],[Class]]="B", WORKDAY(Main[[#This Row],[Tech Start Date]],15),IF(Main[[#This Row],[Class]]="A",WORKDAY(Main[[#This Row],[Tech Start Date]],5),""))))</f>
        <v/>
      </c>
      <c r="P622" s="77" t="str">
        <f>IF(Main[[#This Row],[Tech Start Date]]&lt;1/1/1990,"",IF(Main[[#This Row],[Class]]="C",WORKDAY(Main[[#This Row],[Tech Start Date]],28),IF(Main[[#This Row],[Class]]="B", WORKDAY(Main[[#This Row],[Tech Start Date]],19),IF(Main[[#This Row],[Class]]="A",WORKDAY(Main[[#This Row],[Tech Start Date]],9),""))))</f>
        <v/>
      </c>
      <c r="Q622" s="74">
        <v>40352</v>
      </c>
      <c r="R622" s="74"/>
      <c r="S622" s="72" t="s">
        <v>11</v>
      </c>
      <c r="T622" s="80" t="s">
        <v>4</v>
      </c>
      <c r="U622" s="72" t="s">
        <v>14</v>
      </c>
      <c r="V622" s="72" t="s">
        <v>1940</v>
      </c>
      <c r="W622" s="72" t="s">
        <v>1939</v>
      </c>
      <c r="X622" s="72" t="s">
        <v>2989</v>
      </c>
      <c r="Y622" s="72" t="s">
        <v>3209</v>
      </c>
      <c r="Z622" s="72" t="s">
        <v>4</v>
      </c>
    </row>
    <row r="623" spans="1:26" ht="18.600000000000001" customHeight="1">
      <c r="A623" s="142" t="str">
        <f>IF(priority(Main[[#This Row],[Comments]])&lt;&gt;0, priority(Main[[#This Row],[Comments]]),"")</f>
        <v/>
      </c>
      <c r="B623" s="90" t="s">
        <v>1461</v>
      </c>
      <c r="C623" s="72" t="s">
        <v>171</v>
      </c>
      <c r="D623" s="73" t="s">
        <v>538</v>
      </c>
      <c r="E623" s="74"/>
      <c r="F623" s="74">
        <v>40237</v>
      </c>
      <c r="G623" s="75" t="str">
        <f>IF(stdProdLT(Main[[#This Row],[Comments]])=0.1,"N/A",IF(stdProdLT(Main[[#This Row],[Comments]])=0,"",stdProdLT(Main[[#This Row],[Comments]])))</f>
        <v/>
      </c>
      <c r="H623" s="76" t="str">
        <f>IF(AND(Main[[#This Row],[In Stock Date]]&lt;&gt;"",Main[[#This Row],[Revised Due Date]]&lt;&gt;""),Main[[#This Row],[In Stock Date]]-Main[[#This Row],[Revised Due Date]],"")</f>
        <v/>
      </c>
      <c r="I623" s="72" t="s">
        <v>4</v>
      </c>
      <c r="J623" s="72" t="s">
        <v>4</v>
      </c>
      <c r="K623" s="72" t="s">
        <v>4</v>
      </c>
      <c r="L623" s="74"/>
      <c r="M623" s="77" t="str">
        <f>IF(Main[[#This Row],[Tech Start Date]]&lt;1/1/1990,"",IF(Main[[#This Row],[Class]]="C",WORKDAY(Main[[#This Row],[Tech Start Date]],9),IF(Main[[#This Row],[Class]]="B", WORKDAY(Main[[#This Row],[Tech Start Date]],6),IF(Main[[#This Row],[Class]]="A",WORKDAY(Main[[#This Row],[Tech Start Date]],2),""))))</f>
        <v/>
      </c>
      <c r="N623" s="77" t="str">
        <f>IF(Main[[#This Row],[Tech Start Date]]&lt;1/1/1990,"",IF(Main[[#This Row],[Class]]="C",WORKDAY(Main[[#This Row],[Tech Start Date]],19),IF(Main[[#This Row],[Class]]="B", WORKDAY(Main[[#This Row],[Tech Start Date]],12),IF(Main[[#This Row],[Class]]="A",WORKDAY(Main[[#This Row],[Tech Start Date]],4),""))))</f>
        <v/>
      </c>
      <c r="O623" s="77" t="str">
        <f>IF(Main[[#This Row],[Tech Start Date]]&lt;1/1/1990,"",IF(Main[[#This Row],[Class]]="C",WORKDAY(Main[[#This Row],[Tech Start Date]],23),IF(Main[[#This Row],[Class]]="B", WORKDAY(Main[[#This Row],[Tech Start Date]],15),IF(Main[[#This Row],[Class]]="A",WORKDAY(Main[[#This Row],[Tech Start Date]],5),""))))</f>
        <v/>
      </c>
      <c r="P623" s="77" t="str">
        <f>IF(Main[[#This Row],[Tech Start Date]]&lt;1/1/1990,"",IF(Main[[#This Row],[Class]]="C",WORKDAY(Main[[#This Row],[Tech Start Date]],28),IF(Main[[#This Row],[Class]]="B", WORKDAY(Main[[#This Row],[Tech Start Date]],19),IF(Main[[#This Row],[Class]]="A",WORKDAY(Main[[#This Row],[Tech Start Date]],9),""))))</f>
        <v/>
      </c>
      <c r="Q623" s="74">
        <v>40132</v>
      </c>
      <c r="R623" s="74"/>
      <c r="S623" s="72" t="s">
        <v>11</v>
      </c>
      <c r="T623" s="80" t="s">
        <v>4</v>
      </c>
      <c r="U623" s="72" t="s">
        <v>14</v>
      </c>
      <c r="V623" s="72" t="s">
        <v>1937</v>
      </c>
      <c r="W623" s="72" t="s">
        <v>1942</v>
      </c>
      <c r="X623" s="72" t="s">
        <v>3010</v>
      </c>
      <c r="Y623" s="72" t="s">
        <v>4</v>
      </c>
      <c r="Z623" s="72" t="s">
        <v>4</v>
      </c>
    </row>
    <row r="624" spans="1:26" ht="18.600000000000001" customHeight="1">
      <c r="A624" s="142" t="str">
        <f>IF(priority(Main[[#This Row],[Comments]])&lt;&gt;0, priority(Main[[#This Row],[Comments]]),"")</f>
        <v/>
      </c>
      <c r="B624" s="90" t="s">
        <v>2918</v>
      </c>
      <c r="C624" s="72" t="s">
        <v>4</v>
      </c>
      <c r="D624" s="73" t="s">
        <v>2919</v>
      </c>
      <c r="E624" s="74">
        <v>40913.314733796295</v>
      </c>
      <c r="F624" s="74"/>
      <c r="G624" s="75" t="str">
        <f>IF(stdProdLT(Main[[#This Row],[Comments]])=0.1,"N/A",IF(stdProdLT(Main[[#This Row],[Comments]])=0,"",stdProdLT(Main[[#This Row],[Comments]])))</f>
        <v/>
      </c>
      <c r="H624" s="76" t="str">
        <f>IF(AND(Main[[#This Row],[In Stock Date]]&lt;&gt;"",Main[[#This Row],[Revised Due Date]]&lt;&gt;""),Main[[#This Row],[In Stock Date]]-Main[[#This Row],[Revised Due Date]],"")</f>
        <v/>
      </c>
      <c r="I624" s="72" t="s">
        <v>69</v>
      </c>
      <c r="J624" s="72" t="s">
        <v>70</v>
      </c>
      <c r="K624" s="72" t="s">
        <v>1946</v>
      </c>
      <c r="L624" s="74"/>
      <c r="M624" s="77" t="str">
        <f>IF(Main[[#This Row],[Tech Start Date]]&lt;1/1/1990,"",IF(Main[[#This Row],[Class]]="C",WORKDAY(Main[[#This Row],[Tech Start Date]],9),IF(Main[[#This Row],[Class]]="B", WORKDAY(Main[[#This Row],[Tech Start Date]],6),IF(Main[[#This Row],[Class]]="A",WORKDAY(Main[[#This Row],[Tech Start Date]],2),""))))</f>
        <v/>
      </c>
      <c r="N624" s="77" t="str">
        <f>IF(Main[[#This Row],[Tech Start Date]]&lt;1/1/1990,"",IF(Main[[#This Row],[Class]]="C",WORKDAY(Main[[#This Row],[Tech Start Date]],19),IF(Main[[#This Row],[Class]]="B", WORKDAY(Main[[#This Row],[Tech Start Date]],12),IF(Main[[#This Row],[Class]]="A",WORKDAY(Main[[#This Row],[Tech Start Date]],4),""))))</f>
        <v/>
      </c>
      <c r="O624" s="77" t="str">
        <f>IF(Main[[#This Row],[Tech Start Date]]&lt;1/1/1990,"",IF(Main[[#This Row],[Class]]="C",WORKDAY(Main[[#This Row],[Tech Start Date]],23),IF(Main[[#This Row],[Class]]="B", WORKDAY(Main[[#This Row],[Tech Start Date]],15),IF(Main[[#This Row],[Class]]="A",WORKDAY(Main[[#This Row],[Tech Start Date]],5),""))))</f>
        <v/>
      </c>
      <c r="P624" s="77" t="str">
        <f>IF(Main[[#This Row],[Tech Start Date]]&lt;1/1/1990,"",IF(Main[[#This Row],[Class]]="C",WORKDAY(Main[[#This Row],[Tech Start Date]],28),IF(Main[[#This Row],[Class]]="B", WORKDAY(Main[[#This Row],[Tech Start Date]],19),IF(Main[[#This Row],[Class]]="A",WORKDAY(Main[[#This Row],[Tech Start Date]],9),""))))</f>
        <v/>
      </c>
      <c r="Q624" s="74">
        <v>40945</v>
      </c>
      <c r="R624" s="74"/>
      <c r="S624" s="72" t="s">
        <v>6</v>
      </c>
      <c r="T624" s="80" t="s">
        <v>4</v>
      </c>
      <c r="U624" s="72" t="s">
        <v>29</v>
      </c>
      <c r="V624" s="72" t="s">
        <v>1940</v>
      </c>
      <c r="W624" s="72" t="s">
        <v>1941</v>
      </c>
      <c r="X624" s="72" t="s">
        <v>2974</v>
      </c>
      <c r="Y624" s="72" t="s">
        <v>3096</v>
      </c>
      <c r="Z624" s="72" t="s">
        <v>30</v>
      </c>
    </row>
    <row r="625" spans="1:26" ht="18.600000000000001" customHeight="1">
      <c r="A625" s="142" t="str">
        <f>IF(priority(Main[[#This Row],[Comments]])&lt;&gt;0, priority(Main[[#This Row],[Comments]]),"")</f>
        <v/>
      </c>
      <c r="B625" s="90" t="s">
        <v>1462</v>
      </c>
      <c r="C625" s="72" t="s">
        <v>4</v>
      </c>
      <c r="D625" s="73" t="s">
        <v>539</v>
      </c>
      <c r="E625" s="74">
        <v>40108.684525462966</v>
      </c>
      <c r="F625" s="74"/>
      <c r="G625" s="75" t="str">
        <f>IF(stdProdLT(Main[[#This Row],[Comments]])=0.1,"N/A",IF(stdProdLT(Main[[#This Row],[Comments]])=0,"",stdProdLT(Main[[#This Row],[Comments]])))</f>
        <v/>
      </c>
      <c r="H625" s="76" t="str">
        <f>IF(AND(Main[[#This Row],[In Stock Date]]&lt;&gt;"",Main[[#This Row],[Revised Due Date]]&lt;&gt;""),Main[[#This Row],[In Stock Date]]-Main[[#This Row],[Revised Due Date]],"")</f>
        <v/>
      </c>
      <c r="I625" s="72" t="s">
        <v>4</v>
      </c>
      <c r="J625" s="72" t="s">
        <v>4</v>
      </c>
      <c r="K625" s="72" t="s">
        <v>4</v>
      </c>
      <c r="L625" s="74"/>
      <c r="M625" s="77" t="str">
        <f>IF(Main[[#This Row],[Tech Start Date]]&lt;1/1/1990,"",IF(Main[[#This Row],[Class]]="C",WORKDAY(Main[[#This Row],[Tech Start Date]],9),IF(Main[[#This Row],[Class]]="B", WORKDAY(Main[[#This Row],[Tech Start Date]],6),IF(Main[[#This Row],[Class]]="A",WORKDAY(Main[[#This Row],[Tech Start Date]],2),""))))</f>
        <v/>
      </c>
      <c r="N625" s="77" t="str">
        <f>IF(Main[[#This Row],[Tech Start Date]]&lt;1/1/1990,"",IF(Main[[#This Row],[Class]]="C",WORKDAY(Main[[#This Row],[Tech Start Date]],19),IF(Main[[#This Row],[Class]]="B", WORKDAY(Main[[#This Row],[Tech Start Date]],12),IF(Main[[#This Row],[Class]]="A",WORKDAY(Main[[#This Row],[Tech Start Date]],4),""))))</f>
        <v/>
      </c>
      <c r="O625" s="77" t="str">
        <f>IF(Main[[#This Row],[Tech Start Date]]&lt;1/1/1990,"",IF(Main[[#This Row],[Class]]="C",WORKDAY(Main[[#This Row],[Tech Start Date]],23),IF(Main[[#This Row],[Class]]="B", WORKDAY(Main[[#This Row],[Tech Start Date]],15),IF(Main[[#This Row],[Class]]="A",WORKDAY(Main[[#This Row],[Tech Start Date]],5),""))))</f>
        <v/>
      </c>
      <c r="P625" s="77" t="str">
        <f>IF(Main[[#This Row],[Tech Start Date]]&lt;1/1/1990,"",IF(Main[[#This Row],[Class]]="C",WORKDAY(Main[[#This Row],[Tech Start Date]],28),IF(Main[[#This Row],[Class]]="B", WORKDAY(Main[[#This Row],[Tech Start Date]],19),IF(Main[[#This Row],[Class]]="A",WORKDAY(Main[[#This Row],[Tech Start Date]],9),""))))</f>
        <v/>
      </c>
      <c r="Q625" s="74">
        <v>40208</v>
      </c>
      <c r="R625" s="74"/>
      <c r="S625" s="72" t="s">
        <v>17</v>
      </c>
      <c r="T625" s="80" t="s">
        <v>4</v>
      </c>
      <c r="U625" s="72" t="s">
        <v>540</v>
      </c>
      <c r="V625" s="72" t="s">
        <v>1938</v>
      </c>
      <c r="W625" s="72" t="s">
        <v>4</v>
      </c>
      <c r="X625" s="72" t="s">
        <v>3014</v>
      </c>
      <c r="Y625" s="72" t="s">
        <v>3164</v>
      </c>
      <c r="Z625" s="72" t="s">
        <v>4</v>
      </c>
    </row>
    <row r="626" spans="1:26" ht="18.600000000000001" customHeight="1">
      <c r="A626" s="142" t="str">
        <f>IF(priority(Main[[#This Row],[Comments]])&lt;&gt;0, priority(Main[[#This Row],[Comments]]),"")</f>
        <v/>
      </c>
      <c r="B626" s="90" t="s">
        <v>1463</v>
      </c>
      <c r="C626" s="72" t="s">
        <v>79</v>
      </c>
      <c r="D626" s="73" t="s">
        <v>541</v>
      </c>
      <c r="E626" s="74"/>
      <c r="F626" s="74"/>
      <c r="G626" s="75" t="str">
        <f>IF(stdProdLT(Main[[#This Row],[Comments]])=0.1,"N/A",IF(stdProdLT(Main[[#This Row],[Comments]])=0,"",stdProdLT(Main[[#This Row],[Comments]])))</f>
        <v/>
      </c>
      <c r="H626" s="76" t="str">
        <f>IF(AND(Main[[#This Row],[In Stock Date]]&lt;&gt;"",Main[[#This Row],[Revised Due Date]]&lt;&gt;""),Main[[#This Row],[In Stock Date]]-Main[[#This Row],[Revised Due Date]],"")</f>
        <v/>
      </c>
      <c r="I626" s="72" t="s">
        <v>4</v>
      </c>
      <c r="J626" s="72" t="s">
        <v>4</v>
      </c>
      <c r="K626" s="72" t="s">
        <v>4</v>
      </c>
      <c r="L626" s="74"/>
      <c r="M626" s="77" t="str">
        <f>IF(Main[[#This Row],[Tech Start Date]]&lt;1/1/1990,"",IF(Main[[#This Row],[Class]]="C",WORKDAY(Main[[#This Row],[Tech Start Date]],9),IF(Main[[#This Row],[Class]]="B", WORKDAY(Main[[#This Row],[Tech Start Date]],6),IF(Main[[#This Row],[Class]]="A",WORKDAY(Main[[#This Row],[Tech Start Date]],2),""))))</f>
        <v/>
      </c>
      <c r="N626" s="77" t="str">
        <f>IF(Main[[#This Row],[Tech Start Date]]&lt;1/1/1990,"",IF(Main[[#This Row],[Class]]="C",WORKDAY(Main[[#This Row],[Tech Start Date]],19),IF(Main[[#This Row],[Class]]="B", WORKDAY(Main[[#This Row],[Tech Start Date]],12),IF(Main[[#This Row],[Class]]="A",WORKDAY(Main[[#This Row],[Tech Start Date]],4),""))))</f>
        <v/>
      </c>
      <c r="O626" s="77" t="str">
        <f>IF(Main[[#This Row],[Tech Start Date]]&lt;1/1/1990,"",IF(Main[[#This Row],[Class]]="C",WORKDAY(Main[[#This Row],[Tech Start Date]],23),IF(Main[[#This Row],[Class]]="B", WORKDAY(Main[[#This Row],[Tech Start Date]],15),IF(Main[[#This Row],[Class]]="A",WORKDAY(Main[[#This Row],[Tech Start Date]],5),""))))</f>
        <v/>
      </c>
      <c r="P626" s="77" t="str">
        <f>IF(Main[[#This Row],[Tech Start Date]]&lt;1/1/1990,"",IF(Main[[#This Row],[Class]]="C",WORKDAY(Main[[#This Row],[Tech Start Date]],28),IF(Main[[#This Row],[Class]]="B", WORKDAY(Main[[#This Row],[Tech Start Date]],19),IF(Main[[#This Row],[Class]]="A",WORKDAY(Main[[#This Row],[Tech Start Date]],9),""))))</f>
        <v/>
      </c>
      <c r="Q626" s="74">
        <v>40044</v>
      </c>
      <c r="R626" s="74"/>
      <c r="S626" s="72" t="s">
        <v>11</v>
      </c>
      <c r="T626" s="80" t="s">
        <v>4</v>
      </c>
      <c r="U626" s="72" t="s">
        <v>12</v>
      </c>
      <c r="V626" s="72" t="s">
        <v>1947</v>
      </c>
      <c r="W626" s="72" t="s">
        <v>1948</v>
      </c>
      <c r="X626" s="72" t="s">
        <v>2972</v>
      </c>
      <c r="Y626" s="72" t="s">
        <v>3114</v>
      </c>
      <c r="Z626" s="72" t="s">
        <v>81</v>
      </c>
    </row>
    <row r="627" spans="1:26" ht="18.600000000000001" customHeight="1">
      <c r="A627" s="142" t="str">
        <f>IF(priority(Main[[#This Row],[Comments]])&lt;&gt;0, priority(Main[[#This Row],[Comments]]),"")</f>
        <v/>
      </c>
      <c r="B627" s="90" t="s">
        <v>1464</v>
      </c>
      <c r="C627" s="72" t="s">
        <v>4</v>
      </c>
      <c r="D627" s="73" t="s">
        <v>542</v>
      </c>
      <c r="E627" s="74"/>
      <c r="F627" s="74"/>
      <c r="G627" s="75" t="str">
        <f>IF(stdProdLT(Main[[#This Row],[Comments]])=0.1,"N/A",IF(stdProdLT(Main[[#This Row],[Comments]])=0,"",stdProdLT(Main[[#This Row],[Comments]])))</f>
        <v/>
      </c>
      <c r="H627" s="76" t="str">
        <f>IF(AND(Main[[#This Row],[In Stock Date]]&lt;&gt;"",Main[[#This Row],[Revised Due Date]]&lt;&gt;""),Main[[#This Row],[In Stock Date]]-Main[[#This Row],[Revised Due Date]],"")</f>
        <v/>
      </c>
      <c r="I627" s="72" t="s">
        <v>4</v>
      </c>
      <c r="J627" s="72" t="s">
        <v>4</v>
      </c>
      <c r="K627" s="81" t="s">
        <v>4</v>
      </c>
      <c r="L627" s="74"/>
      <c r="M627" s="77" t="str">
        <f>IF(Main[[#This Row],[Tech Start Date]]&lt;1/1/1990,"",IF(Main[[#This Row],[Class]]="C",WORKDAY(Main[[#This Row],[Tech Start Date]],9),IF(Main[[#This Row],[Class]]="B", WORKDAY(Main[[#This Row],[Tech Start Date]],6),IF(Main[[#This Row],[Class]]="A",WORKDAY(Main[[#This Row],[Tech Start Date]],2),""))))</f>
        <v/>
      </c>
      <c r="N627" s="77" t="str">
        <f>IF(Main[[#This Row],[Tech Start Date]]&lt;1/1/1990,"",IF(Main[[#This Row],[Class]]="C",WORKDAY(Main[[#This Row],[Tech Start Date]],19),IF(Main[[#This Row],[Class]]="B", WORKDAY(Main[[#This Row],[Tech Start Date]],12),IF(Main[[#This Row],[Class]]="A",WORKDAY(Main[[#This Row],[Tech Start Date]],4),""))))</f>
        <v/>
      </c>
      <c r="O627" s="77" t="str">
        <f>IF(Main[[#This Row],[Tech Start Date]]&lt;1/1/1990,"",IF(Main[[#This Row],[Class]]="C",WORKDAY(Main[[#This Row],[Tech Start Date]],23),IF(Main[[#This Row],[Class]]="B", WORKDAY(Main[[#This Row],[Tech Start Date]],15),IF(Main[[#This Row],[Class]]="A",WORKDAY(Main[[#This Row],[Tech Start Date]],5),""))))</f>
        <v/>
      </c>
      <c r="P627" s="77" t="str">
        <f>IF(Main[[#This Row],[Tech Start Date]]&lt;1/1/1990,"",IF(Main[[#This Row],[Class]]="C",WORKDAY(Main[[#This Row],[Tech Start Date]],28),IF(Main[[#This Row],[Class]]="B", WORKDAY(Main[[#This Row],[Tech Start Date]],19),IF(Main[[#This Row],[Class]]="A",WORKDAY(Main[[#This Row],[Tech Start Date]],9),""))))</f>
        <v/>
      </c>
      <c r="Q627" s="74"/>
      <c r="R627" s="74"/>
      <c r="S627" s="72" t="s">
        <v>6</v>
      </c>
      <c r="T627" s="80" t="s">
        <v>4</v>
      </c>
      <c r="U627" s="72" t="s">
        <v>14</v>
      </c>
      <c r="V627" s="72" t="s">
        <v>1940</v>
      </c>
      <c r="W627" s="72" t="s">
        <v>4</v>
      </c>
      <c r="X627" s="72" t="s">
        <v>3039</v>
      </c>
      <c r="Y627" s="72" t="s">
        <v>3201</v>
      </c>
      <c r="Z627" s="72" t="s">
        <v>4</v>
      </c>
    </row>
    <row r="628" spans="1:26" ht="18.600000000000001" customHeight="1">
      <c r="A628" s="142" t="str">
        <f>IF(priority(Main[[#This Row],[Comments]])&lt;&gt;0, priority(Main[[#This Row],[Comments]]),"")</f>
        <v/>
      </c>
      <c r="B628" s="90" t="s">
        <v>2127</v>
      </c>
      <c r="C628" s="72" t="s">
        <v>4</v>
      </c>
      <c r="D628" s="73" t="s">
        <v>2416</v>
      </c>
      <c r="E628" s="74">
        <v>40763.171296296299</v>
      </c>
      <c r="F628" s="74"/>
      <c r="G628" s="75" t="str">
        <f>IF(stdProdLT(Main[[#This Row],[Comments]])=0.1,"N/A",IF(stdProdLT(Main[[#This Row],[Comments]])=0,"",stdProdLT(Main[[#This Row],[Comments]])))</f>
        <v/>
      </c>
      <c r="H628" s="76" t="str">
        <f>IF(AND(Main[[#This Row],[In Stock Date]]&lt;&gt;"",Main[[#This Row],[Revised Due Date]]&lt;&gt;""),Main[[#This Row],[In Stock Date]]-Main[[#This Row],[Revised Due Date]],"")</f>
        <v/>
      </c>
      <c r="I628" s="72" t="s">
        <v>69</v>
      </c>
      <c r="J628" s="72" t="s">
        <v>28</v>
      </c>
      <c r="K628" s="72" t="s">
        <v>1946</v>
      </c>
      <c r="L628" s="74"/>
      <c r="M628" s="77" t="str">
        <f>IF(Main[[#This Row],[Tech Start Date]]&lt;1/1/1990,"",IF(Main[[#This Row],[Class]]="C",WORKDAY(Main[[#This Row],[Tech Start Date]],9),IF(Main[[#This Row],[Class]]="B", WORKDAY(Main[[#This Row],[Tech Start Date]],6),IF(Main[[#This Row],[Class]]="A",WORKDAY(Main[[#This Row],[Tech Start Date]],2),""))))</f>
        <v/>
      </c>
      <c r="N628" s="77" t="str">
        <f>IF(Main[[#This Row],[Tech Start Date]]&lt;1/1/1990,"",IF(Main[[#This Row],[Class]]="C",WORKDAY(Main[[#This Row],[Tech Start Date]],19),IF(Main[[#This Row],[Class]]="B", WORKDAY(Main[[#This Row],[Tech Start Date]],12),IF(Main[[#This Row],[Class]]="A",WORKDAY(Main[[#This Row],[Tech Start Date]],4),""))))</f>
        <v/>
      </c>
      <c r="O628" s="77" t="str">
        <f>IF(Main[[#This Row],[Tech Start Date]]&lt;1/1/1990,"",IF(Main[[#This Row],[Class]]="C",WORKDAY(Main[[#This Row],[Tech Start Date]],23),IF(Main[[#This Row],[Class]]="B", WORKDAY(Main[[#This Row],[Tech Start Date]],15),IF(Main[[#This Row],[Class]]="A",WORKDAY(Main[[#This Row],[Tech Start Date]],5),""))))</f>
        <v/>
      </c>
      <c r="P628" s="77" t="str">
        <f>IF(Main[[#This Row],[Tech Start Date]]&lt;1/1/1990,"",IF(Main[[#This Row],[Class]]="C",WORKDAY(Main[[#This Row],[Tech Start Date]],28),IF(Main[[#This Row],[Class]]="B", WORKDAY(Main[[#This Row],[Tech Start Date]],19),IF(Main[[#This Row],[Class]]="A",WORKDAY(Main[[#This Row],[Tech Start Date]],9),""))))</f>
        <v/>
      </c>
      <c r="Q628" s="74">
        <v>40784</v>
      </c>
      <c r="R628" s="74"/>
      <c r="S628" s="72" t="s">
        <v>6</v>
      </c>
      <c r="T628" s="80" t="s">
        <v>4</v>
      </c>
      <c r="U628" s="72" t="s">
        <v>29</v>
      </c>
      <c r="V628" s="72" t="s">
        <v>1940</v>
      </c>
      <c r="W628" s="72" t="s">
        <v>1941</v>
      </c>
      <c r="X628" s="72" t="s">
        <v>3003</v>
      </c>
      <c r="Y628" s="72" t="s">
        <v>3144</v>
      </c>
      <c r="Z628" s="72" t="s">
        <v>30</v>
      </c>
    </row>
    <row r="629" spans="1:26" ht="18.600000000000001" customHeight="1">
      <c r="A629" s="142" t="str">
        <f>IF(priority(Main[[#This Row],[Comments]])&lt;&gt;0, priority(Main[[#This Row],[Comments]]),"")</f>
        <v/>
      </c>
      <c r="B629" s="90" t="s">
        <v>1466</v>
      </c>
      <c r="C629" s="72" t="s">
        <v>4</v>
      </c>
      <c r="D629" s="73" t="s">
        <v>544</v>
      </c>
      <c r="E629" s="74">
        <v>40626.477812500001</v>
      </c>
      <c r="F629" s="74"/>
      <c r="G629" s="75" t="str">
        <f>IF(stdProdLT(Main[[#This Row],[Comments]])=0.1,"N/A",IF(stdProdLT(Main[[#This Row],[Comments]])=0,"",stdProdLT(Main[[#This Row],[Comments]])))</f>
        <v/>
      </c>
      <c r="H629" s="76" t="str">
        <f>IF(AND(Main[[#This Row],[In Stock Date]]&lt;&gt;"",Main[[#This Row],[Revised Due Date]]&lt;&gt;""),Main[[#This Row],[In Stock Date]]-Main[[#This Row],[Revised Due Date]],"")</f>
        <v/>
      </c>
      <c r="I629" s="72" t="s">
        <v>375</v>
      </c>
      <c r="J629" s="72" t="s">
        <v>28</v>
      </c>
      <c r="K629" s="72" t="s">
        <v>1946</v>
      </c>
      <c r="L629" s="74"/>
      <c r="M629" s="77" t="str">
        <f>IF(Main[[#This Row],[Tech Start Date]]&lt;1/1/1990,"",IF(Main[[#This Row],[Class]]="C",WORKDAY(Main[[#This Row],[Tech Start Date]],9),IF(Main[[#This Row],[Class]]="B", WORKDAY(Main[[#This Row],[Tech Start Date]],6),IF(Main[[#This Row],[Class]]="A",WORKDAY(Main[[#This Row],[Tech Start Date]],2),""))))</f>
        <v/>
      </c>
      <c r="N629" s="77" t="str">
        <f>IF(Main[[#This Row],[Tech Start Date]]&lt;1/1/1990,"",IF(Main[[#This Row],[Class]]="C",WORKDAY(Main[[#This Row],[Tech Start Date]],19),IF(Main[[#This Row],[Class]]="B", WORKDAY(Main[[#This Row],[Tech Start Date]],12),IF(Main[[#This Row],[Class]]="A",WORKDAY(Main[[#This Row],[Tech Start Date]],4),""))))</f>
        <v/>
      </c>
      <c r="O629" s="77" t="str">
        <f>IF(Main[[#This Row],[Tech Start Date]]&lt;1/1/1990,"",IF(Main[[#This Row],[Class]]="C",WORKDAY(Main[[#This Row],[Tech Start Date]],23),IF(Main[[#This Row],[Class]]="B", WORKDAY(Main[[#This Row],[Tech Start Date]],15),IF(Main[[#This Row],[Class]]="A",WORKDAY(Main[[#This Row],[Tech Start Date]],5),""))))</f>
        <v/>
      </c>
      <c r="P629" s="77" t="str">
        <f>IF(Main[[#This Row],[Tech Start Date]]&lt;1/1/1990,"",IF(Main[[#This Row],[Class]]="C",WORKDAY(Main[[#This Row],[Tech Start Date]],28),IF(Main[[#This Row],[Class]]="B", WORKDAY(Main[[#This Row],[Tech Start Date]],19),IF(Main[[#This Row],[Class]]="A",WORKDAY(Main[[#This Row],[Tech Start Date]],9),""))))</f>
        <v/>
      </c>
      <c r="Q629" s="74"/>
      <c r="R629" s="74"/>
      <c r="S629" s="72" t="s">
        <v>6</v>
      </c>
      <c r="T629" s="80" t="s">
        <v>4</v>
      </c>
      <c r="U629" s="72" t="s">
        <v>29</v>
      </c>
      <c r="V629" s="72" t="s">
        <v>1940</v>
      </c>
      <c r="W629" s="72" t="s">
        <v>1941</v>
      </c>
      <c r="X629" s="72" t="s">
        <v>74</v>
      </c>
      <c r="Y629" s="72" t="s">
        <v>3189</v>
      </c>
      <c r="Z629" s="72" t="s">
        <v>421</v>
      </c>
    </row>
    <row r="630" spans="1:26" ht="18.600000000000001" customHeight="1">
      <c r="A630" s="142" t="str">
        <f>IF(priority(Main[[#This Row],[Comments]])&lt;&gt;0, priority(Main[[#This Row],[Comments]]),"")</f>
        <v/>
      </c>
      <c r="B630" s="90" t="s">
        <v>1467</v>
      </c>
      <c r="C630" s="72" t="s">
        <v>4</v>
      </c>
      <c r="D630" s="73" t="s">
        <v>545</v>
      </c>
      <c r="E630" s="74"/>
      <c r="F630" s="74">
        <v>40390</v>
      </c>
      <c r="G630" s="75" t="str">
        <f>IF(stdProdLT(Main[[#This Row],[Comments]])=0.1,"N/A",IF(stdProdLT(Main[[#This Row],[Comments]])=0,"",stdProdLT(Main[[#This Row],[Comments]])))</f>
        <v/>
      </c>
      <c r="H630" s="76" t="str">
        <f>IF(AND(Main[[#This Row],[In Stock Date]]&lt;&gt;"",Main[[#This Row],[Revised Due Date]]&lt;&gt;""),Main[[#This Row],[In Stock Date]]-Main[[#This Row],[Revised Due Date]],"")</f>
        <v/>
      </c>
      <c r="I630" s="72" t="s">
        <v>4</v>
      </c>
      <c r="J630" s="72" t="s">
        <v>4</v>
      </c>
      <c r="K630" s="72" t="s">
        <v>4</v>
      </c>
      <c r="L630" s="74"/>
      <c r="M630" s="77" t="str">
        <f>IF(Main[[#This Row],[Tech Start Date]]&lt;1/1/1990,"",IF(Main[[#This Row],[Class]]="C",WORKDAY(Main[[#This Row],[Tech Start Date]],9),IF(Main[[#This Row],[Class]]="B", WORKDAY(Main[[#This Row],[Tech Start Date]],6),IF(Main[[#This Row],[Class]]="A",WORKDAY(Main[[#This Row],[Tech Start Date]],2),""))))</f>
        <v/>
      </c>
      <c r="N630" s="77" t="str">
        <f>IF(Main[[#This Row],[Tech Start Date]]&lt;1/1/1990,"",IF(Main[[#This Row],[Class]]="C",WORKDAY(Main[[#This Row],[Tech Start Date]],19),IF(Main[[#This Row],[Class]]="B", WORKDAY(Main[[#This Row],[Tech Start Date]],12),IF(Main[[#This Row],[Class]]="A",WORKDAY(Main[[#This Row],[Tech Start Date]],4),""))))</f>
        <v/>
      </c>
      <c r="O630" s="77" t="str">
        <f>IF(Main[[#This Row],[Tech Start Date]]&lt;1/1/1990,"",IF(Main[[#This Row],[Class]]="C",WORKDAY(Main[[#This Row],[Tech Start Date]],23),IF(Main[[#This Row],[Class]]="B", WORKDAY(Main[[#This Row],[Tech Start Date]],15),IF(Main[[#This Row],[Class]]="A",WORKDAY(Main[[#This Row],[Tech Start Date]],5),""))))</f>
        <v/>
      </c>
      <c r="P630" s="77" t="str">
        <f>IF(Main[[#This Row],[Tech Start Date]]&lt;1/1/1990,"",IF(Main[[#This Row],[Class]]="C",WORKDAY(Main[[#This Row],[Tech Start Date]],28),IF(Main[[#This Row],[Class]]="B", WORKDAY(Main[[#This Row],[Tech Start Date]],19),IF(Main[[#This Row],[Class]]="A",WORKDAY(Main[[#This Row],[Tech Start Date]],9),""))))</f>
        <v/>
      </c>
      <c r="Q630" s="74">
        <v>40329</v>
      </c>
      <c r="R630" s="74"/>
      <c r="S630" s="72" t="s">
        <v>11</v>
      </c>
      <c r="T630" s="80" t="s">
        <v>4</v>
      </c>
      <c r="U630" s="72" t="s">
        <v>12</v>
      </c>
      <c r="V630" s="72" t="s">
        <v>1947</v>
      </c>
      <c r="W630" s="72" t="s">
        <v>1943</v>
      </c>
      <c r="X630" s="72" t="s">
        <v>3024</v>
      </c>
      <c r="Y630" s="72" t="s">
        <v>3154</v>
      </c>
      <c r="Z630" s="72" t="s">
        <v>4</v>
      </c>
    </row>
    <row r="631" spans="1:26" ht="18.600000000000001" customHeight="1">
      <c r="A631" s="142" t="str">
        <f>IF(priority(Main[[#This Row],[Comments]])&lt;&gt;0, priority(Main[[#This Row],[Comments]]),"")</f>
        <v/>
      </c>
      <c r="B631" s="90" t="s">
        <v>2803</v>
      </c>
      <c r="C631" s="72" t="s">
        <v>4</v>
      </c>
      <c r="D631" s="73" t="s">
        <v>2804</v>
      </c>
      <c r="E631" s="74">
        <v>40884.602025462962</v>
      </c>
      <c r="F631" s="74"/>
      <c r="G631" s="75" t="str">
        <f>IF(stdProdLT(Main[[#This Row],[Comments]])=0.1,"N/A",IF(stdProdLT(Main[[#This Row],[Comments]])=0,"",stdProdLT(Main[[#This Row],[Comments]])))</f>
        <v/>
      </c>
      <c r="H631" s="76" t="str">
        <f>IF(AND(Main[[#This Row],[In Stock Date]]&lt;&gt;"",Main[[#This Row],[Revised Due Date]]&lt;&gt;""),Main[[#This Row],[In Stock Date]]-Main[[#This Row],[Revised Due Date]],"")</f>
        <v/>
      </c>
      <c r="I631" s="72" t="s">
        <v>4</v>
      </c>
      <c r="J631" s="72" t="s">
        <v>4</v>
      </c>
      <c r="K631" s="72" t="s">
        <v>4</v>
      </c>
      <c r="L631" s="74"/>
      <c r="M631" s="77" t="str">
        <f>IF(Main[[#This Row],[Tech Start Date]]&lt;1/1/1990,"",IF(Main[[#This Row],[Class]]="C",WORKDAY(Main[[#This Row],[Tech Start Date]],9),IF(Main[[#This Row],[Class]]="B", WORKDAY(Main[[#This Row],[Tech Start Date]],6),IF(Main[[#This Row],[Class]]="A",WORKDAY(Main[[#This Row],[Tech Start Date]],2),""))))</f>
        <v/>
      </c>
      <c r="N631" s="77" t="str">
        <f>IF(Main[[#This Row],[Tech Start Date]]&lt;1/1/1990,"",IF(Main[[#This Row],[Class]]="C",WORKDAY(Main[[#This Row],[Tech Start Date]],19),IF(Main[[#This Row],[Class]]="B", WORKDAY(Main[[#This Row],[Tech Start Date]],12),IF(Main[[#This Row],[Class]]="A",WORKDAY(Main[[#This Row],[Tech Start Date]],4),""))))</f>
        <v/>
      </c>
      <c r="O631" s="77" t="str">
        <f>IF(Main[[#This Row],[Tech Start Date]]&lt;1/1/1990,"",IF(Main[[#This Row],[Class]]="C",WORKDAY(Main[[#This Row],[Tech Start Date]],23),IF(Main[[#This Row],[Class]]="B", WORKDAY(Main[[#This Row],[Tech Start Date]],15),IF(Main[[#This Row],[Class]]="A",WORKDAY(Main[[#This Row],[Tech Start Date]],5),""))))</f>
        <v/>
      </c>
      <c r="P631" s="77" t="str">
        <f>IF(Main[[#This Row],[Tech Start Date]]&lt;1/1/1990,"",IF(Main[[#This Row],[Class]]="C",WORKDAY(Main[[#This Row],[Tech Start Date]],28),IF(Main[[#This Row],[Class]]="B", WORKDAY(Main[[#This Row],[Tech Start Date]],19),IF(Main[[#This Row],[Class]]="A",WORKDAY(Main[[#This Row],[Tech Start Date]],9),""))))</f>
        <v/>
      </c>
      <c r="Q631" s="74"/>
      <c r="R631" s="74"/>
      <c r="S631" s="72" t="s">
        <v>17</v>
      </c>
      <c r="T631" s="80" t="s">
        <v>4</v>
      </c>
      <c r="U631" s="72" t="s">
        <v>7</v>
      </c>
      <c r="V631" s="72" t="s">
        <v>1952</v>
      </c>
      <c r="W631" s="72" t="s">
        <v>1942</v>
      </c>
      <c r="X631" s="72" t="s">
        <v>937</v>
      </c>
      <c r="Y631" s="72" t="s">
        <v>3175</v>
      </c>
      <c r="Z631" s="72" t="s">
        <v>4</v>
      </c>
    </row>
    <row r="632" spans="1:26" ht="18.600000000000001" customHeight="1">
      <c r="A632" s="142" t="str">
        <f>IF(priority(Main[[#This Row],[Comments]])&lt;&gt;0, priority(Main[[#This Row],[Comments]]),"")</f>
        <v/>
      </c>
      <c r="B632" s="90" t="s">
        <v>1469</v>
      </c>
      <c r="C632" s="72" t="s">
        <v>4</v>
      </c>
      <c r="D632" s="73" t="s">
        <v>546</v>
      </c>
      <c r="E632" s="74"/>
      <c r="F632" s="74"/>
      <c r="G632" s="75" t="str">
        <f>IF(stdProdLT(Main[[#This Row],[Comments]])=0.1,"N/A",IF(stdProdLT(Main[[#This Row],[Comments]])=0,"",stdProdLT(Main[[#This Row],[Comments]])))</f>
        <v/>
      </c>
      <c r="H632" s="76" t="str">
        <f>IF(AND(Main[[#This Row],[In Stock Date]]&lt;&gt;"",Main[[#This Row],[Revised Due Date]]&lt;&gt;""),Main[[#This Row],[In Stock Date]]-Main[[#This Row],[Revised Due Date]],"")</f>
        <v/>
      </c>
      <c r="I632" s="72" t="s">
        <v>4</v>
      </c>
      <c r="J632" s="72" t="s">
        <v>4</v>
      </c>
      <c r="K632" s="72" t="s">
        <v>4</v>
      </c>
      <c r="L632" s="74"/>
      <c r="M632" s="77" t="str">
        <f>IF(Main[[#This Row],[Tech Start Date]]&lt;1/1/1990,"",IF(Main[[#This Row],[Class]]="C",WORKDAY(Main[[#This Row],[Tech Start Date]],9),IF(Main[[#This Row],[Class]]="B", WORKDAY(Main[[#This Row],[Tech Start Date]],6),IF(Main[[#This Row],[Class]]="A",WORKDAY(Main[[#This Row],[Tech Start Date]],2),""))))</f>
        <v/>
      </c>
      <c r="N632" s="77" t="str">
        <f>IF(Main[[#This Row],[Tech Start Date]]&lt;1/1/1990,"",IF(Main[[#This Row],[Class]]="C",WORKDAY(Main[[#This Row],[Tech Start Date]],19),IF(Main[[#This Row],[Class]]="B", WORKDAY(Main[[#This Row],[Tech Start Date]],12),IF(Main[[#This Row],[Class]]="A",WORKDAY(Main[[#This Row],[Tech Start Date]],4),""))))</f>
        <v/>
      </c>
      <c r="O632" s="77" t="str">
        <f>IF(Main[[#This Row],[Tech Start Date]]&lt;1/1/1990,"",IF(Main[[#This Row],[Class]]="C",WORKDAY(Main[[#This Row],[Tech Start Date]],23),IF(Main[[#This Row],[Class]]="B", WORKDAY(Main[[#This Row],[Tech Start Date]],15),IF(Main[[#This Row],[Class]]="A",WORKDAY(Main[[#This Row],[Tech Start Date]],5),""))))</f>
        <v/>
      </c>
      <c r="P632" s="77" t="str">
        <f>IF(Main[[#This Row],[Tech Start Date]]&lt;1/1/1990,"",IF(Main[[#This Row],[Class]]="C",WORKDAY(Main[[#This Row],[Tech Start Date]],28),IF(Main[[#This Row],[Class]]="B", WORKDAY(Main[[#This Row],[Tech Start Date]],19),IF(Main[[#This Row],[Class]]="A",WORKDAY(Main[[#This Row],[Tech Start Date]],9),""))))</f>
        <v/>
      </c>
      <c r="Q632" s="74"/>
      <c r="R632" s="74"/>
      <c r="S632" s="72" t="s">
        <v>11</v>
      </c>
      <c r="T632" s="80" t="s">
        <v>4</v>
      </c>
      <c r="U632" s="72" t="s">
        <v>12</v>
      </c>
      <c r="V632" s="72" t="s">
        <v>1937</v>
      </c>
      <c r="W632" s="72" t="s">
        <v>1945</v>
      </c>
      <c r="X632" s="72" t="s">
        <v>922</v>
      </c>
      <c r="Y632" s="72" t="s">
        <v>4</v>
      </c>
      <c r="Z632" s="72" t="s">
        <v>4</v>
      </c>
    </row>
    <row r="633" spans="1:26" ht="18.600000000000001" customHeight="1">
      <c r="A633" s="142" t="str">
        <f>IF(priority(Main[[#This Row],[Comments]])&lt;&gt;0, priority(Main[[#This Row],[Comments]]),"")</f>
        <v/>
      </c>
      <c r="B633" s="90" t="s">
        <v>1470</v>
      </c>
      <c r="C633" s="72" t="s">
        <v>289</v>
      </c>
      <c r="D633" s="73" t="s">
        <v>547</v>
      </c>
      <c r="E633" s="74"/>
      <c r="F633" s="74"/>
      <c r="G633" s="75" t="str">
        <f>IF(stdProdLT(Main[[#This Row],[Comments]])=0.1,"N/A",IF(stdProdLT(Main[[#This Row],[Comments]])=0,"",stdProdLT(Main[[#This Row],[Comments]])))</f>
        <v/>
      </c>
      <c r="H633" s="76" t="str">
        <f>IF(AND(Main[[#This Row],[In Stock Date]]&lt;&gt;"",Main[[#This Row],[Revised Due Date]]&lt;&gt;""),Main[[#This Row],[In Stock Date]]-Main[[#This Row],[Revised Due Date]],"")</f>
        <v/>
      </c>
      <c r="I633" s="72" t="s">
        <v>4</v>
      </c>
      <c r="J633" s="72" t="s">
        <v>4</v>
      </c>
      <c r="K633" s="72" t="s">
        <v>4</v>
      </c>
      <c r="L633" s="74"/>
      <c r="M633" s="77" t="str">
        <f>IF(Main[[#This Row],[Tech Start Date]]&lt;1/1/1990,"",IF(Main[[#This Row],[Class]]="C",WORKDAY(Main[[#This Row],[Tech Start Date]],9),IF(Main[[#This Row],[Class]]="B", WORKDAY(Main[[#This Row],[Tech Start Date]],6),IF(Main[[#This Row],[Class]]="A",WORKDAY(Main[[#This Row],[Tech Start Date]],2),""))))</f>
        <v/>
      </c>
      <c r="N633" s="77" t="str">
        <f>IF(Main[[#This Row],[Tech Start Date]]&lt;1/1/1990,"",IF(Main[[#This Row],[Class]]="C",WORKDAY(Main[[#This Row],[Tech Start Date]],19),IF(Main[[#This Row],[Class]]="B", WORKDAY(Main[[#This Row],[Tech Start Date]],12),IF(Main[[#This Row],[Class]]="A",WORKDAY(Main[[#This Row],[Tech Start Date]],4),""))))</f>
        <v/>
      </c>
      <c r="O633" s="77" t="str">
        <f>IF(Main[[#This Row],[Tech Start Date]]&lt;1/1/1990,"",IF(Main[[#This Row],[Class]]="C",WORKDAY(Main[[#This Row],[Tech Start Date]],23),IF(Main[[#This Row],[Class]]="B", WORKDAY(Main[[#This Row],[Tech Start Date]],15),IF(Main[[#This Row],[Class]]="A",WORKDAY(Main[[#This Row],[Tech Start Date]],5),""))))</f>
        <v/>
      </c>
      <c r="P633" s="77" t="str">
        <f>IF(Main[[#This Row],[Tech Start Date]]&lt;1/1/1990,"",IF(Main[[#This Row],[Class]]="C",WORKDAY(Main[[#This Row],[Tech Start Date]],28),IF(Main[[#This Row],[Class]]="B", WORKDAY(Main[[#This Row],[Tech Start Date]],19),IF(Main[[#This Row],[Class]]="A",WORKDAY(Main[[#This Row],[Tech Start Date]],9),""))))</f>
        <v/>
      </c>
      <c r="Q633" s="74">
        <v>40147</v>
      </c>
      <c r="R633" s="74"/>
      <c r="S633" s="72" t="s">
        <v>11</v>
      </c>
      <c r="T633" s="80" t="s">
        <v>4</v>
      </c>
      <c r="U633" s="72" t="s">
        <v>14</v>
      </c>
      <c r="V633" s="72" t="s">
        <v>1947</v>
      </c>
      <c r="W633" s="72" t="s">
        <v>1945</v>
      </c>
      <c r="X633" s="72" t="s">
        <v>2969</v>
      </c>
      <c r="Y633" s="72" t="s">
        <v>4</v>
      </c>
      <c r="Z633" s="72" t="s">
        <v>4</v>
      </c>
    </row>
    <row r="634" spans="1:26" ht="18.600000000000001" customHeight="1">
      <c r="A634" s="142" t="str">
        <f>IF(priority(Main[[#This Row],[Comments]])&lt;&gt;0, priority(Main[[#This Row],[Comments]]),"")</f>
        <v/>
      </c>
      <c r="B634" s="90" t="s">
        <v>1471</v>
      </c>
      <c r="C634" s="72" t="s">
        <v>31</v>
      </c>
      <c r="D634" s="73" t="s">
        <v>548</v>
      </c>
      <c r="E634" s="74"/>
      <c r="F634" s="74">
        <v>40512</v>
      </c>
      <c r="G634" s="75" t="str">
        <f>IF(stdProdLT(Main[[#This Row],[Comments]])=0.1,"N/A",IF(stdProdLT(Main[[#This Row],[Comments]])=0,"",stdProdLT(Main[[#This Row],[Comments]])))</f>
        <v/>
      </c>
      <c r="H634" s="76" t="str">
        <f>IF(AND(Main[[#This Row],[In Stock Date]]&lt;&gt;"",Main[[#This Row],[Revised Due Date]]&lt;&gt;""),Main[[#This Row],[In Stock Date]]-Main[[#This Row],[Revised Due Date]],"")</f>
        <v/>
      </c>
      <c r="I634" s="72" t="s">
        <v>4</v>
      </c>
      <c r="J634" s="72" t="s">
        <v>4</v>
      </c>
      <c r="K634" s="72" t="s">
        <v>4</v>
      </c>
      <c r="L634" s="74"/>
      <c r="M634" s="77" t="str">
        <f>IF(Main[[#This Row],[Tech Start Date]]&lt;1/1/1990,"",IF(Main[[#This Row],[Class]]="C",WORKDAY(Main[[#This Row],[Tech Start Date]],9),IF(Main[[#This Row],[Class]]="B", WORKDAY(Main[[#This Row],[Tech Start Date]],6),IF(Main[[#This Row],[Class]]="A",WORKDAY(Main[[#This Row],[Tech Start Date]],2),""))))</f>
        <v/>
      </c>
      <c r="N634" s="77" t="str">
        <f>IF(Main[[#This Row],[Tech Start Date]]&lt;1/1/1990,"",IF(Main[[#This Row],[Class]]="C",WORKDAY(Main[[#This Row],[Tech Start Date]],19),IF(Main[[#This Row],[Class]]="B", WORKDAY(Main[[#This Row],[Tech Start Date]],12),IF(Main[[#This Row],[Class]]="A",WORKDAY(Main[[#This Row],[Tech Start Date]],4),""))))</f>
        <v/>
      </c>
      <c r="O634" s="77" t="str">
        <f>IF(Main[[#This Row],[Tech Start Date]]&lt;1/1/1990,"",IF(Main[[#This Row],[Class]]="C",WORKDAY(Main[[#This Row],[Tech Start Date]],23),IF(Main[[#This Row],[Class]]="B", WORKDAY(Main[[#This Row],[Tech Start Date]],15),IF(Main[[#This Row],[Class]]="A",WORKDAY(Main[[#This Row],[Tech Start Date]],5),""))))</f>
        <v/>
      </c>
      <c r="P634" s="77" t="str">
        <f>IF(Main[[#This Row],[Tech Start Date]]&lt;1/1/1990,"",IF(Main[[#This Row],[Class]]="C",WORKDAY(Main[[#This Row],[Tech Start Date]],28),IF(Main[[#This Row],[Class]]="B", WORKDAY(Main[[#This Row],[Tech Start Date]],19),IF(Main[[#This Row],[Class]]="A",WORKDAY(Main[[#This Row],[Tech Start Date]],9),""))))</f>
        <v/>
      </c>
      <c r="Q634" s="74">
        <v>40415</v>
      </c>
      <c r="R634" s="74"/>
      <c r="S634" s="72" t="s">
        <v>11</v>
      </c>
      <c r="T634" s="80" t="s">
        <v>4</v>
      </c>
      <c r="U634" s="72" t="s">
        <v>14</v>
      </c>
      <c r="V634" s="72" t="s">
        <v>1940</v>
      </c>
      <c r="W634" s="72" t="s">
        <v>1943</v>
      </c>
      <c r="X634" s="72" t="s">
        <v>2982</v>
      </c>
      <c r="Y634" s="72" t="s">
        <v>3111</v>
      </c>
      <c r="Z634" s="72" t="s">
        <v>4</v>
      </c>
    </row>
    <row r="635" spans="1:26" ht="18.600000000000001" customHeight="1">
      <c r="A635" s="142" t="str">
        <f>IF(priority(Main[[#This Row],[Comments]])&lt;&gt;0, priority(Main[[#This Row],[Comments]]),"")</f>
        <v/>
      </c>
      <c r="B635" s="90" t="s">
        <v>1472</v>
      </c>
      <c r="C635" s="72" t="s">
        <v>549</v>
      </c>
      <c r="D635" s="73" t="s">
        <v>550</v>
      </c>
      <c r="E635" s="74"/>
      <c r="F635" s="74">
        <v>40179</v>
      </c>
      <c r="G635" s="75" t="str">
        <f>IF(stdProdLT(Main[[#This Row],[Comments]])=0.1,"N/A",IF(stdProdLT(Main[[#This Row],[Comments]])=0,"",stdProdLT(Main[[#This Row],[Comments]])))</f>
        <v/>
      </c>
      <c r="H635" s="76" t="str">
        <f>IF(AND(Main[[#This Row],[In Stock Date]]&lt;&gt;"",Main[[#This Row],[Revised Due Date]]&lt;&gt;""),Main[[#This Row],[In Stock Date]]-Main[[#This Row],[Revised Due Date]],"")</f>
        <v/>
      </c>
      <c r="I635" s="72" t="s">
        <v>4</v>
      </c>
      <c r="J635" s="72" t="s">
        <v>4</v>
      </c>
      <c r="K635" s="72" t="s">
        <v>4</v>
      </c>
      <c r="L635" s="74"/>
      <c r="M635" s="77" t="str">
        <f>IF(Main[[#This Row],[Tech Start Date]]&lt;1/1/1990,"",IF(Main[[#This Row],[Class]]="C",WORKDAY(Main[[#This Row],[Tech Start Date]],9),IF(Main[[#This Row],[Class]]="B", WORKDAY(Main[[#This Row],[Tech Start Date]],6),IF(Main[[#This Row],[Class]]="A",WORKDAY(Main[[#This Row],[Tech Start Date]],2),""))))</f>
        <v/>
      </c>
      <c r="N635" s="77" t="str">
        <f>IF(Main[[#This Row],[Tech Start Date]]&lt;1/1/1990,"",IF(Main[[#This Row],[Class]]="C",WORKDAY(Main[[#This Row],[Tech Start Date]],19),IF(Main[[#This Row],[Class]]="B", WORKDAY(Main[[#This Row],[Tech Start Date]],12),IF(Main[[#This Row],[Class]]="A",WORKDAY(Main[[#This Row],[Tech Start Date]],4),""))))</f>
        <v/>
      </c>
      <c r="O635" s="77" t="str">
        <f>IF(Main[[#This Row],[Tech Start Date]]&lt;1/1/1990,"",IF(Main[[#This Row],[Class]]="C",WORKDAY(Main[[#This Row],[Tech Start Date]],23),IF(Main[[#This Row],[Class]]="B", WORKDAY(Main[[#This Row],[Tech Start Date]],15),IF(Main[[#This Row],[Class]]="A",WORKDAY(Main[[#This Row],[Tech Start Date]],5),""))))</f>
        <v/>
      </c>
      <c r="P635" s="77" t="str">
        <f>IF(Main[[#This Row],[Tech Start Date]]&lt;1/1/1990,"",IF(Main[[#This Row],[Class]]="C",WORKDAY(Main[[#This Row],[Tech Start Date]],28),IF(Main[[#This Row],[Class]]="B", WORKDAY(Main[[#This Row],[Tech Start Date]],19),IF(Main[[#This Row],[Class]]="A",WORKDAY(Main[[#This Row],[Tech Start Date]],9),""))))</f>
        <v/>
      </c>
      <c r="Q635" s="74">
        <v>40179</v>
      </c>
      <c r="R635" s="74"/>
      <c r="S635" s="72" t="s">
        <v>11</v>
      </c>
      <c r="T635" s="80" t="s">
        <v>4</v>
      </c>
      <c r="U635" s="72" t="s">
        <v>14</v>
      </c>
      <c r="V635" s="72" t="s">
        <v>1937</v>
      </c>
      <c r="W635" s="72" t="s">
        <v>1945</v>
      </c>
      <c r="X635" s="72" t="s">
        <v>3002</v>
      </c>
      <c r="Y635" s="72" t="s">
        <v>4</v>
      </c>
      <c r="Z635" s="72" t="s">
        <v>4</v>
      </c>
    </row>
    <row r="636" spans="1:26" ht="18.600000000000001" customHeight="1">
      <c r="A636" s="142" t="str">
        <f>IF(priority(Main[[#This Row],[Comments]])&lt;&gt;0, priority(Main[[#This Row],[Comments]]),"")</f>
        <v/>
      </c>
      <c r="B636" s="90" t="s">
        <v>1473</v>
      </c>
      <c r="C636" s="72" t="s">
        <v>4</v>
      </c>
      <c r="D636" s="73" t="s">
        <v>551</v>
      </c>
      <c r="E636" s="74">
        <v>40675.613807870373</v>
      </c>
      <c r="F636" s="74"/>
      <c r="G636" s="75" t="str">
        <f>IF(stdProdLT(Main[[#This Row],[Comments]])=0.1,"N/A",IF(stdProdLT(Main[[#This Row],[Comments]])=0,"",stdProdLT(Main[[#This Row],[Comments]])))</f>
        <v/>
      </c>
      <c r="H636" s="76" t="str">
        <f>IF(AND(Main[[#This Row],[In Stock Date]]&lt;&gt;"",Main[[#This Row],[Revised Due Date]]&lt;&gt;""),Main[[#This Row],[In Stock Date]]-Main[[#This Row],[Revised Due Date]],"")</f>
        <v/>
      </c>
      <c r="I636" s="72" t="s">
        <v>4</v>
      </c>
      <c r="J636" s="72" t="s">
        <v>4</v>
      </c>
      <c r="K636" s="81" t="s">
        <v>4</v>
      </c>
      <c r="L636" s="74"/>
      <c r="M636" s="77" t="str">
        <f>IF(Main[[#This Row],[Tech Start Date]]&lt;1/1/1990,"",IF(Main[[#This Row],[Class]]="C",WORKDAY(Main[[#This Row],[Tech Start Date]],9),IF(Main[[#This Row],[Class]]="B", WORKDAY(Main[[#This Row],[Tech Start Date]],6),IF(Main[[#This Row],[Class]]="A",WORKDAY(Main[[#This Row],[Tech Start Date]],2),""))))</f>
        <v/>
      </c>
      <c r="N636" s="77" t="str">
        <f>IF(Main[[#This Row],[Tech Start Date]]&lt;1/1/1990,"",IF(Main[[#This Row],[Class]]="C",WORKDAY(Main[[#This Row],[Tech Start Date]],19),IF(Main[[#This Row],[Class]]="B", WORKDAY(Main[[#This Row],[Tech Start Date]],12),IF(Main[[#This Row],[Class]]="A",WORKDAY(Main[[#This Row],[Tech Start Date]],4),""))))</f>
        <v/>
      </c>
      <c r="O636" s="77" t="str">
        <f>IF(Main[[#This Row],[Tech Start Date]]&lt;1/1/1990,"",IF(Main[[#This Row],[Class]]="C",WORKDAY(Main[[#This Row],[Tech Start Date]],23),IF(Main[[#This Row],[Class]]="B", WORKDAY(Main[[#This Row],[Tech Start Date]],15),IF(Main[[#This Row],[Class]]="A",WORKDAY(Main[[#This Row],[Tech Start Date]],5),""))))</f>
        <v/>
      </c>
      <c r="P636" s="77" t="str">
        <f>IF(Main[[#This Row],[Tech Start Date]]&lt;1/1/1990,"",IF(Main[[#This Row],[Class]]="C",WORKDAY(Main[[#This Row],[Tech Start Date]],28),IF(Main[[#This Row],[Class]]="B", WORKDAY(Main[[#This Row],[Tech Start Date]],19),IF(Main[[#This Row],[Class]]="A",WORKDAY(Main[[#This Row],[Tech Start Date]],9),""))))</f>
        <v/>
      </c>
      <c r="Q636" s="74">
        <v>40676</v>
      </c>
      <c r="R636" s="74"/>
      <c r="S636" s="72" t="s">
        <v>6</v>
      </c>
      <c r="T636" s="80" t="s">
        <v>4</v>
      </c>
      <c r="U636" s="72" t="s">
        <v>7</v>
      </c>
      <c r="V636" s="72" t="s">
        <v>1937</v>
      </c>
      <c r="W636" s="72" t="s">
        <v>1941</v>
      </c>
      <c r="X636" s="72" t="s">
        <v>126</v>
      </c>
      <c r="Y636" s="72" t="s">
        <v>3191</v>
      </c>
      <c r="Z636" s="72" t="s">
        <v>4</v>
      </c>
    </row>
    <row r="637" spans="1:26" ht="18.600000000000001" customHeight="1">
      <c r="A637" s="142" t="str">
        <f>IF(priority(Main[[#This Row],[Comments]])&lt;&gt;0, priority(Main[[#This Row],[Comments]]),"")</f>
        <v/>
      </c>
      <c r="B637" s="90" t="s">
        <v>1474</v>
      </c>
      <c r="C637" s="72" t="s">
        <v>4</v>
      </c>
      <c r="D637" s="73" t="s">
        <v>552</v>
      </c>
      <c r="E637" s="74">
        <v>40519.5781712963</v>
      </c>
      <c r="F637" s="74"/>
      <c r="G637" s="75" t="str">
        <f>IF(stdProdLT(Main[[#This Row],[Comments]])=0.1,"N/A",IF(stdProdLT(Main[[#This Row],[Comments]])=0,"",stdProdLT(Main[[#This Row],[Comments]])))</f>
        <v/>
      </c>
      <c r="H637" s="76" t="str">
        <f>IF(AND(Main[[#This Row],[In Stock Date]]&lt;&gt;"",Main[[#This Row],[Revised Due Date]]&lt;&gt;""),Main[[#This Row],[In Stock Date]]-Main[[#This Row],[Revised Due Date]],"")</f>
        <v/>
      </c>
      <c r="I637" s="72" t="s">
        <v>4</v>
      </c>
      <c r="J637" s="72" t="s">
        <v>28</v>
      </c>
      <c r="K637" s="72" t="s">
        <v>4</v>
      </c>
      <c r="L637" s="74"/>
      <c r="M637" s="77" t="str">
        <f>IF(Main[[#This Row],[Tech Start Date]]&lt;1/1/1990,"",IF(Main[[#This Row],[Class]]="C",WORKDAY(Main[[#This Row],[Tech Start Date]],9),IF(Main[[#This Row],[Class]]="B", WORKDAY(Main[[#This Row],[Tech Start Date]],6),IF(Main[[#This Row],[Class]]="A",WORKDAY(Main[[#This Row],[Tech Start Date]],2),""))))</f>
        <v/>
      </c>
      <c r="N637" s="77" t="str">
        <f>IF(Main[[#This Row],[Tech Start Date]]&lt;1/1/1990,"",IF(Main[[#This Row],[Class]]="C",WORKDAY(Main[[#This Row],[Tech Start Date]],19),IF(Main[[#This Row],[Class]]="B", WORKDAY(Main[[#This Row],[Tech Start Date]],12),IF(Main[[#This Row],[Class]]="A",WORKDAY(Main[[#This Row],[Tech Start Date]],4),""))))</f>
        <v/>
      </c>
      <c r="O637" s="77" t="str">
        <f>IF(Main[[#This Row],[Tech Start Date]]&lt;1/1/1990,"",IF(Main[[#This Row],[Class]]="C",WORKDAY(Main[[#This Row],[Tech Start Date]],23),IF(Main[[#This Row],[Class]]="B", WORKDAY(Main[[#This Row],[Tech Start Date]],15),IF(Main[[#This Row],[Class]]="A",WORKDAY(Main[[#This Row],[Tech Start Date]],5),""))))</f>
        <v/>
      </c>
      <c r="P637" s="77" t="str">
        <f>IF(Main[[#This Row],[Tech Start Date]]&lt;1/1/1990,"",IF(Main[[#This Row],[Class]]="C",WORKDAY(Main[[#This Row],[Tech Start Date]],28),IF(Main[[#This Row],[Class]]="B", WORKDAY(Main[[#This Row],[Tech Start Date]],19),IF(Main[[#This Row],[Class]]="A",WORKDAY(Main[[#This Row],[Tech Start Date]],9),""))))</f>
        <v/>
      </c>
      <c r="Q637" s="74"/>
      <c r="R637" s="74"/>
      <c r="S637" s="72" t="s">
        <v>6</v>
      </c>
      <c r="T637" s="80" t="s">
        <v>4</v>
      </c>
      <c r="U637" s="72" t="s">
        <v>7</v>
      </c>
      <c r="V637" s="72" t="s">
        <v>1937</v>
      </c>
      <c r="W637" s="72" t="s">
        <v>1939</v>
      </c>
      <c r="X637" s="72" t="s">
        <v>2971</v>
      </c>
      <c r="Y637" s="72" t="s">
        <v>3090</v>
      </c>
      <c r="Z637" s="72" t="s">
        <v>129</v>
      </c>
    </row>
    <row r="638" spans="1:26" ht="18.600000000000001" customHeight="1">
      <c r="A638" s="142" t="str">
        <f>IF(priority(Main[[#This Row],[Comments]])&lt;&gt;0, priority(Main[[#This Row],[Comments]]),"")</f>
        <v/>
      </c>
      <c r="B638" s="90" t="s">
        <v>1475</v>
      </c>
      <c r="C638" s="72" t="s">
        <v>553</v>
      </c>
      <c r="D638" s="73" t="s">
        <v>554</v>
      </c>
      <c r="E638" s="74"/>
      <c r="F638" s="74">
        <v>40549</v>
      </c>
      <c r="G638" s="75" t="str">
        <f>IF(stdProdLT(Main[[#This Row],[Comments]])=0.1,"N/A",IF(stdProdLT(Main[[#This Row],[Comments]])=0,"",stdProdLT(Main[[#This Row],[Comments]])))</f>
        <v/>
      </c>
      <c r="H638" s="76" t="str">
        <f>IF(AND(Main[[#This Row],[In Stock Date]]&lt;&gt;"",Main[[#This Row],[Revised Due Date]]&lt;&gt;""),Main[[#This Row],[In Stock Date]]-Main[[#This Row],[Revised Due Date]],"")</f>
        <v/>
      </c>
      <c r="I638" s="72" t="s">
        <v>4</v>
      </c>
      <c r="J638" s="72" t="s">
        <v>4</v>
      </c>
      <c r="K638" s="72" t="s">
        <v>4</v>
      </c>
      <c r="L638" s="74"/>
      <c r="M638" s="77" t="str">
        <f>IF(Main[[#This Row],[Tech Start Date]]&lt;1/1/1990,"",IF(Main[[#This Row],[Class]]="C",WORKDAY(Main[[#This Row],[Tech Start Date]],9),IF(Main[[#This Row],[Class]]="B", WORKDAY(Main[[#This Row],[Tech Start Date]],6),IF(Main[[#This Row],[Class]]="A",WORKDAY(Main[[#This Row],[Tech Start Date]],2),""))))</f>
        <v/>
      </c>
      <c r="N638" s="77" t="str">
        <f>IF(Main[[#This Row],[Tech Start Date]]&lt;1/1/1990,"",IF(Main[[#This Row],[Class]]="C",WORKDAY(Main[[#This Row],[Tech Start Date]],19),IF(Main[[#This Row],[Class]]="B", WORKDAY(Main[[#This Row],[Tech Start Date]],12),IF(Main[[#This Row],[Class]]="A",WORKDAY(Main[[#This Row],[Tech Start Date]],4),""))))</f>
        <v/>
      </c>
      <c r="O638" s="77" t="str">
        <f>IF(Main[[#This Row],[Tech Start Date]]&lt;1/1/1990,"",IF(Main[[#This Row],[Class]]="C",WORKDAY(Main[[#This Row],[Tech Start Date]],23),IF(Main[[#This Row],[Class]]="B", WORKDAY(Main[[#This Row],[Tech Start Date]],15),IF(Main[[#This Row],[Class]]="A",WORKDAY(Main[[#This Row],[Tech Start Date]],5),""))))</f>
        <v/>
      </c>
      <c r="P638" s="77" t="str">
        <f>IF(Main[[#This Row],[Tech Start Date]]&lt;1/1/1990,"",IF(Main[[#This Row],[Class]]="C",WORKDAY(Main[[#This Row],[Tech Start Date]],28),IF(Main[[#This Row],[Class]]="B", WORKDAY(Main[[#This Row],[Tech Start Date]],19),IF(Main[[#This Row],[Class]]="A",WORKDAY(Main[[#This Row],[Tech Start Date]],9),""))))</f>
        <v/>
      </c>
      <c r="Q638" s="74">
        <v>40464</v>
      </c>
      <c r="R638" s="74"/>
      <c r="S638" s="72" t="s">
        <v>11</v>
      </c>
      <c r="T638" s="80" t="s">
        <v>4</v>
      </c>
      <c r="U638" s="72" t="s">
        <v>14</v>
      </c>
      <c r="V638" s="72" t="s">
        <v>1940</v>
      </c>
      <c r="W638" s="72" t="s">
        <v>1943</v>
      </c>
      <c r="X638" s="72" t="s">
        <v>2982</v>
      </c>
      <c r="Y638" s="72" t="s">
        <v>3111</v>
      </c>
      <c r="Z638" s="72" t="s">
        <v>4</v>
      </c>
    </row>
    <row r="639" spans="1:26" ht="18.600000000000001" customHeight="1">
      <c r="A639" s="142" t="str">
        <f>IF(priority(Main[[#This Row],[Comments]])&lt;&gt;0, priority(Main[[#This Row],[Comments]]),"")</f>
        <v/>
      </c>
      <c r="B639" s="90" t="s">
        <v>1483</v>
      </c>
      <c r="C639" s="72" t="s">
        <v>93</v>
      </c>
      <c r="D639" s="73" t="s">
        <v>564</v>
      </c>
      <c r="E639" s="74"/>
      <c r="F639" s="74">
        <v>40299</v>
      </c>
      <c r="G639" s="75" t="str">
        <f>IF(stdProdLT(Main[[#This Row],[Comments]])=0.1,"N/A",IF(stdProdLT(Main[[#This Row],[Comments]])=0,"",stdProdLT(Main[[#This Row],[Comments]])))</f>
        <v/>
      </c>
      <c r="H639" s="76" t="str">
        <f>IF(AND(Main[[#This Row],[In Stock Date]]&lt;&gt;"",Main[[#This Row],[Revised Due Date]]&lt;&gt;""),Main[[#This Row],[In Stock Date]]-Main[[#This Row],[Revised Due Date]],"")</f>
        <v/>
      </c>
      <c r="I639" s="72" t="s">
        <v>4</v>
      </c>
      <c r="J639" s="72" t="s">
        <v>4</v>
      </c>
      <c r="K639" s="72" t="s">
        <v>4</v>
      </c>
      <c r="L639" s="74"/>
      <c r="M639" s="77" t="str">
        <f>IF(Main[[#This Row],[Tech Start Date]]&lt;1/1/1990,"",IF(Main[[#This Row],[Class]]="C",WORKDAY(Main[[#This Row],[Tech Start Date]],9),IF(Main[[#This Row],[Class]]="B", WORKDAY(Main[[#This Row],[Tech Start Date]],6),IF(Main[[#This Row],[Class]]="A",WORKDAY(Main[[#This Row],[Tech Start Date]],2),""))))</f>
        <v/>
      </c>
      <c r="N639" s="77" t="str">
        <f>IF(Main[[#This Row],[Tech Start Date]]&lt;1/1/1990,"",IF(Main[[#This Row],[Class]]="C",WORKDAY(Main[[#This Row],[Tech Start Date]],19),IF(Main[[#This Row],[Class]]="B", WORKDAY(Main[[#This Row],[Tech Start Date]],12),IF(Main[[#This Row],[Class]]="A",WORKDAY(Main[[#This Row],[Tech Start Date]],4),""))))</f>
        <v/>
      </c>
      <c r="O639" s="77" t="str">
        <f>IF(Main[[#This Row],[Tech Start Date]]&lt;1/1/1990,"",IF(Main[[#This Row],[Class]]="C",WORKDAY(Main[[#This Row],[Tech Start Date]],23),IF(Main[[#This Row],[Class]]="B", WORKDAY(Main[[#This Row],[Tech Start Date]],15),IF(Main[[#This Row],[Class]]="A",WORKDAY(Main[[#This Row],[Tech Start Date]],5),""))))</f>
        <v/>
      </c>
      <c r="P639" s="77" t="str">
        <f>IF(Main[[#This Row],[Tech Start Date]]&lt;1/1/1990,"",IF(Main[[#This Row],[Class]]="C",WORKDAY(Main[[#This Row],[Tech Start Date]],28),IF(Main[[#This Row],[Class]]="B", WORKDAY(Main[[#This Row],[Tech Start Date]],19),IF(Main[[#This Row],[Class]]="A",WORKDAY(Main[[#This Row],[Tech Start Date]],9),""))))</f>
        <v/>
      </c>
      <c r="Q639" s="74">
        <v>40171</v>
      </c>
      <c r="R639" s="74"/>
      <c r="S639" s="72" t="s">
        <v>11</v>
      </c>
      <c r="T639" s="80" t="s">
        <v>4</v>
      </c>
      <c r="U639" s="72" t="s">
        <v>14</v>
      </c>
      <c r="V639" s="72" t="s">
        <v>1940</v>
      </c>
      <c r="W639" s="72" t="s">
        <v>1943</v>
      </c>
      <c r="X639" s="72" t="s">
        <v>536</v>
      </c>
      <c r="Y639" s="72" t="s">
        <v>3211</v>
      </c>
      <c r="Z639" s="72" t="s">
        <v>4</v>
      </c>
    </row>
    <row r="640" spans="1:26" ht="18.600000000000001" customHeight="1">
      <c r="A640" s="142" t="str">
        <f>IF(priority(Main[[#This Row],[Comments]])&lt;&gt;0, priority(Main[[#This Row],[Comments]]),"")</f>
        <v/>
      </c>
      <c r="B640" s="90" t="s">
        <v>1484</v>
      </c>
      <c r="C640" s="72" t="s">
        <v>47</v>
      </c>
      <c r="D640" s="73" t="s">
        <v>565</v>
      </c>
      <c r="E640" s="74">
        <v>39937.590590277781</v>
      </c>
      <c r="F640" s="74"/>
      <c r="G640" s="75" t="str">
        <f>IF(stdProdLT(Main[[#This Row],[Comments]])=0.1,"N/A",IF(stdProdLT(Main[[#This Row],[Comments]])=0,"",stdProdLT(Main[[#This Row],[Comments]])))</f>
        <v/>
      </c>
      <c r="H640" s="76" t="str">
        <f>IF(AND(Main[[#This Row],[In Stock Date]]&lt;&gt;"",Main[[#This Row],[Revised Due Date]]&lt;&gt;""),Main[[#This Row],[In Stock Date]]-Main[[#This Row],[Revised Due Date]],"")</f>
        <v/>
      </c>
      <c r="I640" s="72" t="s">
        <v>4</v>
      </c>
      <c r="J640" s="72" t="s">
        <v>4</v>
      </c>
      <c r="K640" s="72" t="s">
        <v>4</v>
      </c>
      <c r="L640" s="74"/>
      <c r="M640" s="77" t="str">
        <f>IF(Main[[#This Row],[Tech Start Date]]&lt;1/1/1990,"",IF(Main[[#This Row],[Class]]="C",WORKDAY(Main[[#This Row],[Tech Start Date]],9),IF(Main[[#This Row],[Class]]="B", WORKDAY(Main[[#This Row],[Tech Start Date]],6),IF(Main[[#This Row],[Class]]="A",WORKDAY(Main[[#This Row],[Tech Start Date]],2),""))))</f>
        <v/>
      </c>
      <c r="N640" s="77" t="str">
        <f>IF(Main[[#This Row],[Tech Start Date]]&lt;1/1/1990,"",IF(Main[[#This Row],[Class]]="C",WORKDAY(Main[[#This Row],[Tech Start Date]],19),IF(Main[[#This Row],[Class]]="B", WORKDAY(Main[[#This Row],[Tech Start Date]],12),IF(Main[[#This Row],[Class]]="A",WORKDAY(Main[[#This Row],[Tech Start Date]],4),""))))</f>
        <v/>
      </c>
      <c r="O640" s="77" t="str">
        <f>IF(Main[[#This Row],[Tech Start Date]]&lt;1/1/1990,"",IF(Main[[#This Row],[Class]]="C",WORKDAY(Main[[#This Row],[Tech Start Date]],23),IF(Main[[#This Row],[Class]]="B", WORKDAY(Main[[#This Row],[Tech Start Date]],15),IF(Main[[#This Row],[Class]]="A",WORKDAY(Main[[#This Row],[Tech Start Date]],5),""))))</f>
        <v/>
      </c>
      <c r="P640" s="77" t="str">
        <f>IF(Main[[#This Row],[Tech Start Date]]&lt;1/1/1990,"",IF(Main[[#This Row],[Class]]="C",WORKDAY(Main[[#This Row],[Tech Start Date]],28),IF(Main[[#This Row],[Class]]="B", WORKDAY(Main[[#This Row],[Tech Start Date]],19),IF(Main[[#This Row],[Class]]="A",WORKDAY(Main[[#This Row],[Tech Start Date]],9),""))))</f>
        <v/>
      </c>
      <c r="Q640" s="74"/>
      <c r="R640" s="74"/>
      <c r="S640" s="72" t="s">
        <v>17</v>
      </c>
      <c r="T640" s="80" t="s">
        <v>4</v>
      </c>
      <c r="U640" s="72" t="s">
        <v>7</v>
      </c>
      <c r="V640" s="72" t="s">
        <v>1940</v>
      </c>
      <c r="W640" s="72" t="s">
        <v>4</v>
      </c>
      <c r="X640" s="72" t="s">
        <v>2979</v>
      </c>
      <c r="Y640" s="72" t="s">
        <v>3106</v>
      </c>
      <c r="Z640" s="72" t="s">
        <v>4</v>
      </c>
    </row>
    <row r="641" spans="1:26" ht="18.600000000000001" customHeight="1">
      <c r="A641" s="142" t="str">
        <f>IF(priority(Main[[#This Row],[Comments]])&lt;&gt;0, priority(Main[[#This Row],[Comments]]),"")</f>
        <v/>
      </c>
      <c r="B641" s="90" t="s">
        <v>1485</v>
      </c>
      <c r="C641" s="72" t="s">
        <v>282</v>
      </c>
      <c r="D641" s="73" t="s">
        <v>566</v>
      </c>
      <c r="E641" s="74"/>
      <c r="F641" s="74">
        <v>40567</v>
      </c>
      <c r="G641" s="75" t="str">
        <f>IF(stdProdLT(Main[[#This Row],[Comments]])=0.1,"N/A",IF(stdProdLT(Main[[#This Row],[Comments]])=0,"",stdProdLT(Main[[#This Row],[Comments]])))</f>
        <v/>
      </c>
      <c r="H641" s="76" t="str">
        <f>IF(AND(Main[[#This Row],[In Stock Date]]&lt;&gt;"",Main[[#This Row],[Revised Due Date]]&lt;&gt;""),Main[[#This Row],[In Stock Date]]-Main[[#This Row],[Revised Due Date]],"")</f>
        <v/>
      </c>
      <c r="I641" s="72" t="s">
        <v>4</v>
      </c>
      <c r="J641" s="72" t="s">
        <v>4</v>
      </c>
      <c r="K641" s="72" t="s">
        <v>4</v>
      </c>
      <c r="L641" s="74"/>
      <c r="M641" s="77" t="str">
        <f>IF(Main[[#This Row],[Tech Start Date]]&lt;1/1/1990,"",IF(Main[[#This Row],[Class]]="C",WORKDAY(Main[[#This Row],[Tech Start Date]],9),IF(Main[[#This Row],[Class]]="B", WORKDAY(Main[[#This Row],[Tech Start Date]],6),IF(Main[[#This Row],[Class]]="A",WORKDAY(Main[[#This Row],[Tech Start Date]],2),""))))</f>
        <v/>
      </c>
      <c r="N641" s="77" t="str">
        <f>IF(Main[[#This Row],[Tech Start Date]]&lt;1/1/1990,"",IF(Main[[#This Row],[Class]]="C",WORKDAY(Main[[#This Row],[Tech Start Date]],19),IF(Main[[#This Row],[Class]]="B", WORKDAY(Main[[#This Row],[Tech Start Date]],12),IF(Main[[#This Row],[Class]]="A",WORKDAY(Main[[#This Row],[Tech Start Date]],4),""))))</f>
        <v/>
      </c>
      <c r="O641" s="77" t="str">
        <f>IF(Main[[#This Row],[Tech Start Date]]&lt;1/1/1990,"",IF(Main[[#This Row],[Class]]="C",WORKDAY(Main[[#This Row],[Tech Start Date]],23),IF(Main[[#This Row],[Class]]="B", WORKDAY(Main[[#This Row],[Tech Start Date]],15),IF(Main[[#This Row],[Class]]="A",WORKDAY(Main[[#This Row],[Tech Start Date]],5),""))))</f>
        <v/>
      </c>
      <c r="P641" s="77" t="str">
        <f>IF(Main[[#This Row],[Tech Start Date]]&lt;1/1/1990,"",IF(Main[[#This Row],[Class]]="C",WORKDAY(Main[[#This Row],[Tech Start Date]],28),IF(Main[[#This Row],[Class]]="B", WORKDAY(Main[[#This Row],[Tech Start Date]],19),IF(Main[[#This Row],[Class]]="A",WORKDAY(Main[[#This Row],[Tech Start Date]],9),""))))</f>
        <v/>
      </c>
      <c r="Q641" s="74">
        <v>40427</v>
      </c>
      <c r="R641" s="74"/>
      <c r="S641" s="72" t="s">
        <v>11</v>
      </c>
      <c r="T641" s="80" t="s">
        <v>4</v>
      </c>
      <c r="U641" s="72" t="s">
        <v>14</v>
      </c>
      <c r="V641" s="72" t="s">
        <v>1937</v>
      </c>
      <c r="W641" s="72" t="s">
        <v>1945</v>
      </c>
      <c r="X641" s="72" t="s">
        <v>2995</v>
      </c>
      <c r="Y641" s="72" t="s">
        <v>4</v>
      </c>
      <c r="Z641" s="72" t="s">
        <v>4</v>
      </c>
    </row>
    <row r="642" spans="1:26" ht="18.600000000000001" customHeight="1">
      <c r="A642" s="142" t="str">
        <f>IF(priority(Main[[#This Row],[Comments]])&lt;&gt;0, priority(Main[[#This Row],[Comments]]),"")</f>
        <v/>
      </c>
      <c r="B642" s="90" t="s">
        <v>1486</v>
      </c>
      <c r="C642" s="72" t="s">
        <v>4</v>
      </c>
      <c r="D642" s="73" t="s">
        <v>567</v>
      </c>
      <c r="E642" s="74">
        <v>40414.808692129627</v>
      </c>
      <c r="F642" s="74"/>
      <c r="G642" s="75" t="str">
        <f>IF(stdProdLT(Main[[#This Row],[Comments]])=0.1,"N/A",IF(stdProdLT(Main[[#This Row],[Comments]])=0,"",stdProdLT(Main[[#This Row],[Comments]])))</f>
        <v/>
      </c>
      <c r="H642" s="76" t="str">
        <f>IF(AND(Main[[#This Row],[In Stock Date]]&lt;&gt;"",Main[[#This Row],[Revised Due Date]]&lt;&gt;""),Main[[#This Row],[In Stock Date]]-Main[[#This Row],[Revised Due Date]],"")</f>
        <v/>
      </c>
      <c r="I642" s="72" t="s">
        <v>4</v>
      </c>
      <c r="J642" s="72" t="s">
        <v>28</v>
      </c>
      <c r="K642" s="72" t="s">
        <v>4</v>
      </c>
      <c r="L642" s="74"/>
      <c r="M642" s="77" t="str">
        <f>IF(Main[[#This Row],[Tech Start Date]]&lt;1/1/1990,"",IF(Main[[#This Row],[Class]]="C",WORKDAY(Main[[#This Row],[Tech Start Date]],9),IF(Main[[#This Row],[Class]]="B", WORKDAY(Main[[#This Row],[Tech Start Date]],6),IF(Main[[#This Row],[Class]]="A",WORKDAY(Main[[#This Row],[Tech Start Date]],2),""))))</f>
        <v/>
      </c>
      <c r="N642" s="77" t="str">
        <f>IF(Main[[#This Row],[Tech Start Date]]&lt;1/1/1990,"",IF(Main[[#This Row],[Class]]="C",WORKDAY(Main[[#This Row],[Tech Start Date]],19),IF(Main[[#This Row],[Class]]="B", WORKDAY(Main[[#This Row],[Tech Start Date]],12),IF(Main[[#This Row],[Class]]="A",WORKDAY(Main[[#This Row],[Tech Start Date]],4),""))))</f>
        <v/>
      </c>
      <c r="O642" s="77" t="str">
        <f>IF(Main[[#This Row],[Tech Start Date]]&lt;1/1/1990,"",IF(Main[[#This Row],[Class]]="C",WORKDAY(Main[[#This Row],[Tech Start Date]],23),IF(Main[[#This Row],[Class]]="B", WORKDAY(Main[[#This Row],[Tech Start Date]],15),IF(Main[[#This Row],[Class]]="A",WORKDAY(Main[[#This Row],[Tech Start Date]],5),""))))</f>
        <v/>
      </c>
      <c r="P642" s="77" t="str">
        <f>IF(Main[[#This Row],[Tech Start Date]]&lt;1/1/1990,"",IF(Main[[#This Row],[Class]]="C",WORKDAY(Main[[#This Row],[Tech Start Date]],28),IF(Main[[#This Row],[Class]]="B", WORKDAY(Main[[#This Row],[Tech Start Date]],19),IF(Main[[#This Row],[Class]]="A",WORKDAY(Main[[#This Row],[Tech Start Date]],9),""))))</f>
        <v/>
      </c>
      <c r="Q642" s="74">
        <v>40429</v>
      </c>
      <c r="R642" s="74"/>
      <c r="S642" s="72" t="s">
        <v>323</v>
      </c>
      <c r="T642" s="80" t="s">
        <v>4</v>
      </c>
      <c r="U642" s="72" t="s">
        <v>7</v>
      </c>
      <c r="V642" s="72" t="s">
        <v>1937</v>
      </c>
      <c r="W642" s="72" t="s">
        <v>1941</v>
      </c>
      <c r="X642" s="72" t="s">
        <v>2973</v>
      </c>
      <c r="Y642" s="72" t="s">
        <v>3094</v>
      </c>
      <c r="Z642" s="72" t="s">
        <v>129</v>
      </c>
    </row>
    <row r="643" spans="1:26" ht="18.600000000000001" customHeight="1">
      <c r="A643" s="142" t="str">
        <f>IF(priority(Main[[#This Row],[Comments]])&lt;&gt;0, priority(Main[[#This Row],[Comments]]),"")</f>
        <v/>
      </c>
      <c r="B643" s="90" t="s">
        <v>1487</v>
      </c>
      <c r="C643" s="72" t="s">
        <v>72</v>
      </c>
      <c r="D643" s="73" t="s">
        <v>555</v>
      </c>
      <c r="E643" s="74"/>
      <c r="F643" s="74">
        <v>40030</v>
      </c>
      <c r="G643" s="75" t="str">
        <f>IF(stdProdLT(Main[[#This Row],[Comments]])=0.1,"N/A",IF(stdProdLT(Main[[#This Row],[Comments]])=0,"",stdProdLT(Main[[#This Row],[Comments]])))</f>
        <v/>
      </c>
      <c r="H643" s="76" t="str">
        <f>IF(AND(Main[[#This Row],[In Stock Date]]&lt;&gt;"",Main[[#This Row],[Revised Due Date]]&lt;&gt;""),Main[[#This Row],[In Stock Date]]-Main[[#This Row],[Revised Due Date]],"")</f>
        <v/>
      </c>
      <c r="I643" s="72" t="s">
        <v>4</v>
      </c>
      <c r="J643" s="72" t="s">
        <v>4</v>
      </c>
      <c r="K643" s="81" t="s">
        <v>4</v>
      </c>
      <c r="L643" s="74"/>
      <c r="M643" s="77" t="str">
        <f>IF(Main[[#This Row],[Tech Start Date]]&lt;1/1/1990,"",IF(Main[[#This Row],[Class]]="C",WORKDAY(Main[[#This Row],[Tech Start Date]],9),IF(Main[[#This Row],[Class]]="B", WORKDAY(Main[[#This Row],[Tech Start Date]],6),IF(Main[[#This Row],[Class]]="A",WORKDAY(Main[[#This Row],[Tech Start Date]],2),""))))</f>
        <v/>
      </c>
      <c r="N643" s="77" t="str">
        <f>IF(Main[[#This Row],[Tech Start Date]]&lt;1/1/1990,"",IF(Main[[#This Row],[Class]]="C",WORKDAY(Main[[#This Row],[Tech Start Date]],19),IF(Main[[#This Row],[Class]]="B", WORKDAY(Main[[#This Row],[Tech Start Date]],12),IF(Main[[#This Row],[Class]]="A",WORKDAY(Main[[#This Row],[Tech Start Date]],4),""))))</f>
        <v/>
      </c>
      <c r="O643" s="77" t="str">
        <f>IF(Main[[#This Row],[Tech Start Date]]&lt;1/1/1990,"",IF(Main[[#This Row],[Class]]="C",WORKDAY(Main[[#This Row],[Tech Start Date]],23),IF(Main[[#This Row],[Class]]="B", WORKDAY(Main[[#This Row],[Tech Start Date]],15),IF(Main[[#This Row],[Class]]="A",WORKDAY(Main[[#This Row],[Tech Start Date]],5),""))))</f>
        <v/>
      </c>
      <c r="P643" s="77" t="str">
        <f>IF(Main[[#This Row],[Tech Start Date]]&lt;1/1/1990,"",IF(Main[[#This Row],[Class]]="C",WORKDAY(Main[[#This Row],[Tech Start Date]],28),IF(Main[[#This Row],[Class]]="B", WORKDAY(Main[[#This Row],[Tech Start Date]],19),IF(Main[[#This Row],[Class]]="A",WORKDAY(Main[[#This Row],[Tech Start Date]],9),""))))</f>
        <v/>
      </c>
      <c r="Q643" s="74">
        <v>39959</v>
      </c>
      <c r="R643" s="74"/>
      <c r="S643" s="72" t="s">
        <v>11</v>
      </c>
      <c r="T643" s="80" t="s">
        <v>4</v>
      </c>
      <c r="U643" s="72" t="s">
        <v>14</v>
      </c>
      <c r="V643" s="72" t="s">
        <v>1947</v>
      </c>
      <c r="W643" s="72" t="s">
        <v>4</v>
      </c>
      <c r="X643" s="72" t="s">
        <v>2976</v>
      </c>
      <c r="Y643" s="72" t="s">
        <v>3101</v>
      </c>
      <c r="Z643" s="72" t="s">
        <v>4</v>
      </c>
    </row>
    <row r="644" spans="1:26" ht="18.600000000000001" customHeight="1">
      <c r="A644" s="142" t="str">
        <f>IF(priority(Main[[#This Row],[Comments]])&lt;&gt;0, priority(Main[[#This Row],[Comments]]),"")</f>
        <v/>
      </c>
      <c r="B644" s="90" t="s">
        <v>1489</v>
      </c>
      <c r="C644" s="72" t="s">
        <v>4</v>
      </c>
      <c r="D644" s="73" t="s">
        <v>556</v>
      </c>
      <c r="E644" s="74"/>
      <c r="F644" s="74"/>
      <c r="G644" s="75" t="str">
        <f>IF(stdProdLT(Main[[#This Row],[Comments]])=0.1,"N/A",IF(stdProdLT(Main[[#This Row],[Comments]])=0,"",stdProdLT(Main[[#This Row],[Comments]])))</f>
        <v/>
      </c>
      <c r="H644" s="76" t="str">
        <f>IF(AND(Main[[#This Row],[In Stock Date]]&lt;&gt;"",Main[[#This Row],[Revised Due Date]]&lt;&gt;""),Main[[#This Row],[In Stock Date]]-Main[[#This Row],[Revised Due Date]],"")</f>
        <v/>
      </c>
      <c r="I644" s="72" t="s">
        <v>4</v>
      </c>
      <c r="J644" s="72" t="s">
        <v>4</v>
      </c>
      <c r="K644" s="81" t="s">
        <v>4</v>
      </c>
      <c r="L644" s="74"/>
      <c r="M644" s="77" t="str">
        <f>IF(Main[[#This Row],[Tech Start Date]]&lt;1/1/1990,"",IF(Main[[#This Row],[Class]]="C",WORKDAY(Main[[#This Row],[Tech Start Date]],9),IF(Main[[#This Row],[Class]]="B", WORKDAY(Main[[#This Row],[Tech Start Date]],6),IF(Main[[#This Row],[Class]]="A",WORKDAY(Main[[#This Row],[Tech Start Date]],2),""))))</f>
        <v/>
      </c>
      <c r="N644" s="77" t="str">
        <f>IF(Main[[#This Row],[Tech Start Date]]&lt;1/1/1990,"",IF(Main[[#This Row],[Class]]="C",WORKDAY(Main[[#This Row],[Tech Start Date]],19),IF(Main[[#This Row],[Class]]="B", WORKDAY(Main[[#This Row],[Tech Start Date]],12),IF(Main[[#This Row],[Class]]="A",WORKDAY(Main[[#This Row],[Tech Start Date]],4),""))))</f>
        <v/>
      </c>
      <c r="O644" s="77" t="str">
        <f>IF(Main[[#This Row],[Tech Start Date]]&lt;1/1/1990,"",IF(Main[[#This Row],[Class]]="C",WORKDAY(Main[[#This Row],[Tech Start Date]],23),IF(Main[[#This Row],[Class]]="B", WORKDAY(Main[[#This Row],[Tech Start Date]],15),IF(Main[[#This Row],[Class]]="A",WORKDAY(Main[[#This Row],[Tech Start Date]],5),""))))</f>
        <v/>
      </c>
      <c r="P644" s="77" t="str">
        <f>IF(Main[[#This Row],[Tech Start Date]]&lt;1/1/1990,"",IF(Main[[#This Row],[Class]]="C",WORKDAY(Main[[#This Row],[Tech Start Date]],28),IF(Main[[#This Row],[Class]]="B", WORKDAY(Main[[#This Row],[Tech Start Date]],19),IF(Main[[#This Row],[Class]]="A",WORKDAY(Main[[#This Row],[Tech Start Date]],9),""))))</f>
        <v/>
      </c>
      <c r="Q644" s="74"/>
      <c r="R644" s="74"/>
      <c r="S644" s="72" t="s">
        <v>6</v>
      </c>
      <c r="T644" s="80" t="s">
        <v>4</v>
      </c>
      <c r="U644" s="72" t="s">
        <v>14</v>
      </c>
      <c r="V644" s="72" t="s">
        <v>1940</v>
      </c>
      <c r="W644" s="72" t="s">
        <v>4</v>
      </c>
      <c r="X644" s="72" t="s">
        <v>3039</v>
      </c>
      <c r="Y644" s="72" t="s">
        <v>3201</v>
      </c>
      <c r="Z644" s="72" t="s">
        <v>4</v>
      </c>
    </row>
    <row r="645" spans="1:26" ht="18.600000000000001" customHeight="1">
      <c r="A645" s="142" t="str">
        <f>IF(priority(Main[[#This Row],[Comments]])&lt;&gt;0, priority(Main[[#This Row],[Comments]]),"")</f>
        <v/>
      </c>
      <c r="B645" s="90" t="s">
        <v>1490</v>
      </c>
      <c r="C645" s="72" t="s">
        <v>33</v>
      </c>
      <c r="D645" s="73" t="s">
        <v>557</v>
      </c>
      <c r="E645" s="74"/>
      <c r="F645" s="74"/>
      <c r="G645" s="75" t="str">
        <f>IF(stdProdLT(Main[[#This Row],[Comments]])=0.1,"N/A",IF(stdProdLT(Main[[#This Row],[Comments]])=0,"",stdProdLT(Main[[#This Row],[Comments]])))</f>
        <v/>
      </c>
      <c r="H645" s="76" t="str">
        <f>IF(AND(Main[[#This Row],[In Stock Date]]&lt;&gt;"",Main[[#This Row],[Revised Due Date]]&lt;&gt;""),Main[[#This Row],[In Stock Date]]-Main[[#This Row],[Revised Due Date]],"")</f>
        <v/>
      </c>
      <c r="I645" s="72" t="s">
        <v>4</v>
      </c>
      <c r="J645" s="72" t="s">
        <v>4</v>
      </c>
      <c r="K645" s="72" t="s">
        <v>4</v>
      </c>
      <c r="L645" s="74"/>
      <c r="M645" s="77" t="str">
        <f>IF(Main[[#This Row],[Tech Start Date]]&lt;1/1/1990,"",IF(Main[[#This Row],[Class]]="C",WORKDAY(Main[[#This Row],[Tech Start Date]],9),IF(Main[[#This Row],[Class]]="B", WORKDAY(Main[[#This Row],[Tech Start Date]],6),IF(Main[[#This Row],[Class]]="A",WORKDAY(Main[[#This Row],[Tech Start Date]],2),""))))</f>
        <v/>
      </c>
      <c r="N645" s="77" t="str">
        <f>IF(Main[[#This Row],[Tech Start Date]]&lt;1/1/1990,"",IF(Main[[#This Row],[Class]]="C",WORKDAY(Main[[#This Row],[Tech Start Date]],19),IF(Main[[#This Row],[Class]]="B", WORKDAY(Main[[#This Row],[Tech Start Date]],12),IF(Main[[#This Row],[Class]]="A",WORKDAY(Main[[#This Row],[Tech Start Date]],4),""))))</f>
        <v/>
      </c>
      <c r="O645" s="77" t="str">
        <f>IF(Main[[#This Row],[Tech Start Date]]&lt;1/1/1990,"",IF(Main[[#This Row],[Class]]="C",WORKDAY(Main[[#This Row],[Tech Start Date]],23),IF(Main[[#This Row],[Class]]="B", WORKDAY(Main[[#This Row],[Tech Start Date]],15),IF(Main[[#This Row],[Class]]="A",WORKDAY(Main[[#This Row],[Tech Start Date]],5),""))))</f>
        <v/>
      </c>
      <c r="P645" s="77" t="str">
        <f>IF(Main[[#This Row],[Tech Start Date]]&lt;1/1/1990,"",IF(Main[[#This Row],[Class]]="C",WORKDAY(Main[[#This Row],[Tech Start Date]],28),IF(Main[[#This Row],[Class]]="B", WORKDAY(Main[[#This Row],[Tech Start Date]],19),IF(Main[[#This Row],[Class]]="A",WORKDAY(Main[[#This Row],[Tech Start Date]],9),""))))</f>
        <v/>
      </c>
      <c r="Q645" s="74">
        <v>40004</v>
      </c>
      <c r="R645" s="74"/>
      <c r="S645" s="72" t="s">
        <v>11</v>
      </c>
      <c r="T645" s="80" t="s">
        <v>4</v>
      </c>
      <c r="U645" s="72" t="s">
        <v>14</v>
      </c>
      <c r="V645" s="72" t="s">
        <v>1937</v>
      </c>
      <c r="W645" s="72" t="s">
        <v>1945</v>
      </c>
      <c r="X645" s="72" t="s">
        <v>3005</v>
      </c>
      <c r="Y645" s="72" t="s">
        <v>3149</v>
      </c>
      <c r="Z645" s="72" t="s">
        <v>4</v>
      </c>
    </row>
    <row r="646" spans="1:26" ht="18.600000000000001" customHeight="1">
      <c r="A646" s="143" t="str">
        <f>IF(priority(Main[[#This Row],[Comments]])&lt;&gt;0, priority(Main[[#This Row],[Comments]]),"")</f>
        <v/>
      </c>
      <c r="B646" s="92" t="s">
        <v>1491</v>
      </c>
      <c r="C646" s="93" t="s">
        <v>558</v>
      </c>
      <c r="D646" s="84" t="s">
        <v>559</v>
      </c>
      <c r="E646" s="94"/>
      <c r="F646" s="94"/>
      <c r="G646" s="93" t="str">
        <f>IF(stdProdLT(Main[[#This Row],[Comments]])=0.1,"N/A",IF(stdProdLT(Main[[#This Row],[Comments]])=0,"",stdProdLT(Main[[#This Row],[Comments]])))</f>
        <v/>
      </c>
      <c r="H646" s="95" t="str">
        <f>IF(AND(Main[[#This Row],[In Stock Date]]&lt;&gt;"",Main[[#This Row],[Revised Due Date]]&lt;&gt;""),Main[[#This Row],[In Stock Date]]-Main[[#This Row],[Revised Due Date]],"")</f>
        <v/>
      </c>
      <c r="I646" s="93" t="s">
        <v>560</v>
      </c>
      <c r="J646" s="93" t="s">
        <v>28</v>
      </c>
      <c r="K646" s="93" t="s">
        <v>4</v>
      </c>
      <c r="L646" s="94"/>
      <c r="M646" s="96" t="str">
        <f>IF(Main[[#This Row],[Tech Start Date]]&lt;1/1/1990,"",IF(Main[[#This Row],[Class]]="C",WORKDAY(Main[[#This Row],[Tech Start Date]],9),IF(Main[[#This Row],[Class]]="B", WORKDAY(Main[[#This Row],[Tech Start Date]],6),IF(Main[[#This Row],[Class]]="A",WORKDAY(Main[[#This Row],[Tech Start Date]],2),""))))</f>
        <v/>
      </c>
      <c r="N646" s="96" t="str">
        <f>IF(Main[[#This Row],[Tech Start Date]]&lt;1/1/1990,"",IF(Main[[#This Row],[Class]]="C",WORKDAY(Main[[#This Row],[Tech Start Date]],19),IF(Main[[#This Row],[Class]]="B", WORKDAY(Main[[#This Row],[Tech Start Date]],12),IF(Main[[#This Row],[Class]]="A",WORKDAY(Main[[#This Row],[Tech Start Date]],4),""))))</f>
        <v/>
      </c>
      <c r="O646" s="96" t="str">
        <f>IF(Main[[#This Row],[Tech Start Date]]&lt;1/1/1990,"",IF(Main[[#This Row],[Class]]="C",WORKDAY(Main[[#This Row],[Tech Start Date]],23),IF(Main[[#This Row],[Class]]="B", WORKDAY(Main[[#This Row],[Tech Start Date]],15),IF(Main[[#This Row],[Class]]="A",WORKDAY(Main[[#This Row],[Tech Start Date]],5),""))))</f>
        <v/>
      </c>
      <c r="P646" s="96" t="str">
        <f>IF(Main[[#This Row],[Tech Start Date]]&lt;1/1/1990,"",IF(Main[[#This Row],[Class]]="C",WORKDAY(Main[[#This Row],[Tech Start Date]],28),IF(Main[[#This Row],[Class]]="B", WORKDAY(Main[[#This Row],[Tech Start Date]],19),IF(Main[[#This Row],[Class]]="A",WORKDAY(Main[[#This Row],[Tech Start Date]],9),""))))</f>
        <v/>
      </c>
      <c r="Q646" s="94">
        <v>40401</v>
      </c>
      <c r="R646" s="94"/>
      <c r="S646" s="93" t="s">
        <v>11</v>
      </c>
      <c r="T646" s="97" t="s">
        <v>4</v>
      </c>
      <c r="U646" s="93" t="s">
        <v>14</v>
      </c>
      <c r="V646" s="93" t="s">
        <v>1947</v>
      </c>
      <c r="W646" s="93" t="s">
        <v>1939</v>
      </c>
      <c r="X646" s="83" t="s">
        <v>3006</v>
      </c>
      <c r="Y646" s="83" t="s">
        <v>3212</v>
      </c>
      <c r="Z646" s="83" t="s">
        <v>536</v>
      </c>
    </row>
    <row r="647" spans="1:26" ht="18.600000000000001" customHeight="1">
      <c r="A647" s="142" t="str">
        <f>IF(priority(Main[[#This Row],[Comments]])&lt;&gt;0, priority(Main[[#This Row],[Comments]]),"")</f>
        <v/>
      </c>
      <c r="B647" s="90" t="s">
        <v>1492</v>
      </c>
      <c r="C647" s="72" t="s">
        <v>4</v>
      </c>
      <c r="D647" s="73" t="s">
        <v>561</v>
      </c>
      <c r="E647" s="74"/>
      <c r="F647" s="74"/>
      <c r="G647" s="75" t="str">
        <f>IF(stdProdLT(Main[[#This Row],[Comments]])=0.1,"N/A",IF(stdProdLT(Main[[#This Row],[Comments]])=0,"",stdProdLT(Main[[#This Row],[Comments]])))</f>
        <v/>
      </c>
      <c r="H647" s="76" t="str">
        <f>IF(AND(Main[[#This Row],[In Stock Date]]&lt;&gt;"",Main[[#This Row],[Revised Due Date]]&lt;&gt;""),Main[[#This Row],[In Stock Date]]-Main[[#This Row],[Revised Due Date]],"")</f>
        <v/>
      </c>
      <c r="I647" s="72" t="s">
        <v>4</v>
      </c>
      <c r="J647" s="72" t="s">
        <v>4</v>
      </c>
      <c r="K647" s="72" t="s">
        <v>4</v>
      </c>
      <c r="L647" s="74"/>
      <c r="M647" s="77" t="str">
        <f>IF(Main[[#This Row],[Tech Start Date]]&lt;1/1/1990,"",IF(Main[[#This Row],[Class]]="C",WORKDAY(Main[[#This Row],[Tech Start Date]],9),IF(Main[[#This Row],[Class]]="B", WORKDAY(Main[[#This Row],[Tech Start Date]],6),IF(Main[[#This Row],[Class]]="A",WORKDAY(Main[[#This Row],[Tech Start Date]],2),""))))</f>
        <v/>
      </c>
      <c r="N647" s="77" t="str">
        <f>IF(Main[[#This Row],[Tech Start Date]]&lt;1/1/1990,"",IF(Main[[#This Row],[Class]]="C",WORKDAY(Main[[#This Row],[Tech Start Date]],19),IF(Main[[#This Row],[Class]]="B", WORKDAY(Main[[#This Row],[Tech Start Date]],12),IF(Main[[#This Row],[Class]]="A",WORKDAY(Main[[#This Row],[Tech Start Date]],4),""))))</f>
        <v/>
      </c>
      <c r="O647" s="77" t="str">
        <f>IF(Main[[#This Row],[Tech Start Date]]&lt;1/1/1990,"",IF(Main[[#This Row],[Class]]="C",WORKDAY(Main[[#This Row],[Tech Start Date]],23),IF(Main[[#This Row],[Class]]="B", WORKDAY(Main[[#This Row],[Tech Start Date]],15),IF(Main[[#This Row],[Class]]="A",WORKDAY(Main[[#This Row],[Tech Start Date]],5),""))))</f>
        <v/>
      </c>
      <c r="P647" s="77" t="str">
        <f>IF(Main[[#This Row],[Tech Start Date]]&lt;1/1/1990,"",IF(Main[[#This Row],[Class]]="C",WORKDAY(Main[[#This Row],[Tech Start Date]],28),IF(Main[[#This Row],[Class]]="B", WORKDAY(Main[[#This Row],[Tech Start Date]],19),IF(Main[[#This Row],[Class]]="A",WORKDAY(Main[[#This Row],[Tech Start Date]],9),""))))</f>
        <v/>
      </c>
      <c r="Q647" s="74">
        <v>40385</v>
      </c>
      <c r="R647" s="74"/>
      <c r="S647" s="72" t="s">
        <v>6</v>
      </c>
      <c r="T647" s="80" t="s">
        <v>4</v>
      </c>
      <c r="U647" s="72" t="s">
        <v>14</v>
      </c>
      <c r="V647" s="72" t="s">
        <v>1937</v>
      </c>
      <c r="W647" s="72" t="s">
        <v>1939</v>
      </c>
      <c r="X647" s="72" t="s">
        <v>102</v>
      </c>
      <c r="Y647" s="72" t="s">
        <v>3190</v>
      </c>
      <c r="Z647" s="72" t="s">
        <v>4</v>
      </c>
    </row>
    <row r="648" spans="1:26" ht="18.600000000000001" customHeight="1">
      <c r="A648" s="142" t="str">
        <f>IF(priority(Main[[#This Row],[Comments]])&lt;&gt;0, priority(Main[[#This Row],[Comments]]),"")</f>
        <v/>
      </c>
      <c r="B648" s="90" t="s">
        <v>1494</v>
      </c>
      <c r="C648" s="72" t="s">
        <v>4</v>
      </c>
      <c r="D648" s="73" t="s">
        <v>97</v>
      </c>
      <c r="E648" s="74"/>
      <c r="F648" s="74"/>
      <c r="G648" s="75" t="str">
        <f>IF(stdProdLT(Main[[#This Row],[Comments]])=0.1,"N/A",IF(stdProdLT(Main[[#This Row],[Comments]])=0,"",stdProdLT(Main[[#This Row],[Comments]])))</f>
        <v/>
      </c>
      <c r="H648" s="76" t="str">
        <f>IF(AND(Main[[#This Row],[In Stock Date]]&lt;&gt;"",Main[[#This Row],[Revised Due Date]]&lt;&gt;""),Main[[#This Row],[In Stock Date]]-Main[[#This Row],[Revised Due Date]],"")</f>
        <v/>
      </c>
      <c r="I648" s="72" t="s">
        <v>4</v>
      </c>
      <c r="J648" s="72" t="s">
        <v>4</v>
      </c>
      <c r="K648" s="72" t="s">
        <v>4</v>
      </c>
      <c r="L648" s="74"/>
      <c r="M648" s="77" t="str">
        <f>IF(Main[[#This Row],[Tech Start Date]]&lt;1/1/1990,"",IF(Main[[#This Row],[Class]]="C",WORKDAY(Main[[#This Row],[Tech Start Date]],9),IF(Main[[#This Row],[Class]]="B", WORKDAY(Main[[#This Row],[Tech Start Date]],6),IF(Main[[#This Row],[Class]]="A",WORKDAY(Main[[#This Row],[Tech Start Date]],2),""))))</f>
        <v/>
      </c>
      <c r="N648" s="77" t="str">
        <f>IF(Main[[#This Row],[Tech Start Date]]&lt;1/1/1990,"",IF(Main[[#This Row],[Class]]="C",WORKDAY(Main[[#This Row],[Tech Start Date]],19),IF(Main[[#This Row],[Class]]="B", WORKDAY(Main[[#This Row],[Tech Start Date]],12),IF(Main[[#This Row],[Class]]="A",WORKDAY(Main[[#This Row],[Tech Start Date]],4),""))))</f>
        <v/>
      </c>
      <c r="O648" s="77" t="str">
        <f>IF(Main[[#This Row],[Tech Start Date]]&lt;1/1/1990,"",IF(Main[[#This Row],[Class]]="C",WORKDAY(Main[[#This Row],[Tech Start Date]],23),IF(Main[[#This Row],[Class]]="B", WORKDAY(Main[[#This Row],[Tech Start Date]],15),IF(Main[[#This Row],[Class]]="A",WORKDAY(Main[[#This Row],[Tech Start Date]],5),""))))</f>
        <v/>
      </c>
      <c r="P648" s="77" t="str">
        <f>IF(Main[[#This Row],[Tech Start Date]]&lt;1/1/1990,"",IF(Main[[#This Row],[Class]]="C",WORKDAY(Main[[#This Row],[Tech Start Date]],28),IF(Main[[#This Row],[Class]]="B", WORKDAY(Main[[#This Row],[Tech Start Date]],19),IF(Main[[#This Row],[Class]]="A",WORKDAY(Main[[#This Row],[Tech Start Date]],9),""))))</f>
        <v/>
      </c>
      <c r="Q648" s="74">
        <v>40858</v>
      </c>
      <c r="R648" s="74"/>
      <c r="S648" s="72" t="s">
        <v>17</v>
      </c>
      <c r="T648" s="80" t="s">
        <v>4</v>
      </c>
      <c r="U648" s="72" t="s">
        <v>14</v>
      </c>
      <c r="V648" s="72" t="s">
        <v>1937</v>
      </c>
      <c r="W648" s="72" t="s">
        <v>1942</v>
      </c>
      <c r="X648" s="72" t="s">
        <v>50</v>
      </c>
      <c r="Y648" s="72" t="s">
        <v>3117</v>
      </c>
      <c r="Z648" s="72" t="s">
        <v>4</v>
      </c>
    </row>
    <row r="649" spans="1:26" ht="18.600000000000001" customHeight="1">
      <c r="A649" s="142" t="str">
        <f>IF(priority(Main[[#This Row],[Comments]])&lt;&gt;0, priority(Main[[#This Row],[Comments]]),"")</f>
        <v/>
      </c>
      <c r="B649" s="90" t="s">
        <v>1495</v>
      </c>
      <c r="C649" s="72" t="s">
        <v>4</v>
      </c>
      <c r="D649" s="73" t="s">
        <v>562</v>
      </c>
      <c r="E649" s="74">
        <v>40382.376319444447</v>
      </c>
      <c r="F649" s="74"/>
      <c r="G649" s="75" t="str">
        <f>IF(stdProdLT(Main[[#This Row],[Comments]])=0.1,"N/A",IF(stdProdLT(Main[[#This Row],[Comments]])=0,"",stdProdLT(Main[[#This Row],[Comments]])))</f>
        <v/>
      </c>
      <c r="H649" s="76" t="str">
        <f>IF(AND(Main[[#This Row],[In Stock Date]]&lt;&gt;"",Main[[#This Row],[Revised Due Date]]&lt;&gt;""),Main[[#This Row],[In Stock Date]]-Main[[#This Row],[Revised Due Date]],"")</f>
        <v/>
      </c>
      <c r="I649" s="72" t="s">
        <v>4</v>
      </c>
      <c r="J649" s="72" t="s">
        <v>4</v>
      </c>
      <c r="K649" s="72" t="s">
        <v>4</v>
      </c>
      <c r="L649" s="74"/>
      <c r="M649" s="77" t="str">
        <f>IF(Main[[#This Row],[Tech Start Date]]&lt;1/1/1990,"",IF(Main[[#This Row],[Class]]="C",WORKDAY(Main[[#This Row],[Tech Start Date]],9),IF(Main[[#This Row],[Class]]="B", WORKDAY(Main[[#This Row],[Tech Start Date]],6),IF(Main[[#This Row],[Class]]="A",WORKDAY(Main[[#This Row],[Tech Start Date]],2),""))))</f>
        <v/>
      </c>
      <c r="N649" s="77" t="str">
        <f>IF(Main[[#This Row],[Tech Start Date]]&lt;1/1/1990,"",IF(Main[[#This Row],[Class]]="C",WORKDAY(Main[[#This Row],[Tech Start Date]],19),IF(Main[[#This Row],[Class]]="B", WORKDAY(Main[[#This Row],[Tech Start Date]],12),IF(Main[[#This Row],[Class]]="A",WORKDAY(Main[[#This Row],[Tech Start Date]],4),""))))</f>
        <v/>
      </c>
      <c r="O649" s="77" t="str">
        <f>IF(Main[[#This Row],[Tech Start Date]]&lt;1/1/1990,"",IF(Main[[#This Row],[Class]]="C",WORKDAY(Main[[#This Row],[Tech Start Date]],23),IF(Main[[#This Row],[Class]]="B", WORKDAY(Main[[#This Row],[Tech Start Date]],15),IF(Main[[#This Row],[Class]]="A",WORKDAY(Main[[#This Row],[Tech Start Date]],5),""))))</f>
        <v/>
      </c>
      <c r="P649" s="77" t="str">
        <f>IF(Main[[#This Row],[Tech Start Date]]&lt;1/1/1990,"",IF(Main[[#This Row],[Class]]="C",WORKDAY(Main[[#This Row],[Tech Start Date]],28),IF(Main[[#This Row],[Class]]="B", WORKDAY(Main[[#This Row],[Tech Start Date]],19),IF(Main[[#This Row],[Class]]="A",WORKDAY(Main[[#This Row],[Tech Start Date]],9),""))))</f>
        <v/>
      </c>
      <c r="Q649" s="74">
        <v>40451</v>
      </c>
      <c r="R649" s="74"/>
      <c r="S649" s="72" t="s">
        <v>6</v>
      </c>
      <c r="T649" s="80" t="s">
        <v>4</v>
      </c>
      <c r="U649" s="72" t="s">
        <v>7</v>
      </c>
      <c r="V649" s="72" t="s">
        <v>1937</v>
      </c>
      <c r="W649" s="72" t="s">
        <v>4</v>
      </c>
      <c r="X649" s="72" t="s">
        <v>3039</v>
      </c>
      <c r="Y649" s="72" t="s">
        <v>3201</v>
      </c>
      <c r="Z649" s="72" t="s">
        <v>4</v>
      </c>
    </row>
    <row r="650" spans="1:26" ht="18.600000000000001" customHeight="1">
      <c r="A650" s="142" t="str">
        <f>IF(priority(Main[[#This Row],[Comments]])&lt;&gt;0, priority(Main[[#This Row],[Comments]]),"")</f>
        <v/>
      </c>
      <c r="B650" s="90" t="s">
        <v>1496</v>
      </c>
      <c r="C650" s="72" t="s">
        <v>183</v>
      </c>
      <c r="D650" s="73" t="s">
        <v>563</v>
      </c>
      <c r="E650" s="74"/>
      <c r="F650" s="74">
        <v>40389</v>
      </c>
      <c r="G650" s="75" t="str">
        <f>IF(stdProdLT(Main[[#This Row],[Comments]])=0.1,"N/A",IF(stdProdLT(Main[[#This Row],[Comments]])=0,"",stdProdLT(Main[[#This Row],[Comments]])))</f>
        <v/>
      </c>
      <c r="H650" s="76" t="str">
        <f>IF(AND(Main[[#This Row],[In Stock Date]]&lt;&gt;"",Main[[#This Row],[Revised Due Date]]&lt;&gt;""),Main[[#This Row],[In Stock Date]]-Main[[#This Row],[Revised Due Date]],"")</f>
        <v/>
      </c>
      <c r="I650" s="72" t="s">
        <v>4</v>
      </c>
      <c r="J650" s="72" t="s">
        <v>4</v>
      </c>
      <c r="K650" s="72" t="s">
        <v>4</v>
      </c>
      <c r="L650" s="74"/>
      <c r="M650" s="77" t="str">
        <f>IF(Main[[#This Row],[Tech Start Date]]&lt;1/1/1990,"",IF(Main[[#This Row],[Class]]="C",WORKDAY(Main[[#This Row],[Tech Start Date]],9),IF(Main[[#This Row],[Class]]="B", WORKDAY(Main[[#This Row],[Tech Start Date]],6),IF(Main[[#This Row],[Class]]="A",WORKDAY(Main[[#This Row],[Tech Start Date]],2),""))))</f>
        <v/>
      </c>
      <c r="N650" s="77" t="str">
        <f>IF(Main[[#This Row],[Tech Start Date]]&lt;1/1/1990,"",IF(Main[[#This Row],[Class]]="C",WORKDAY(Main[[#This Row],[Tech Start Date]],19),IF(Main[[#This Row],[Class]]="B", WORKDAY(Main[[#This Row],[Tech Start Date]],12),IF(Main[[#This Row],[Class]]="A",WORKDAY(Main[[#This Row],[Tech Start Date]],4),""))))</f>
        <v/>
      </c>
      <c r="O650" s="77" t="str">
        <f>IF(Main[[#This Row],[Tech Start Date]]&lt;1/1/1990,"",IF(Main[[#This Row],[Class]]="C",WORKDAY(Main[[#This Row],[Tech Start Date]],23),IF(Main[[#This Row],[Class]]="B", WORKDAY(Main[[#This Row],[Tech Start Date]],15),IF(Main[[#This Row],[Class]]="A",WORKDAY(Main[[#This Row],[Tech Start Date]],5),""))))</f>
        <v/>
      </c>
      <c r="P650" s="77" t="str">
        <f>IF(Main[[#This Row],[Tech Start Date]]&lt;1/1/1990,"",IF(Main[[#This Row],[Class]]="C",WORKDAY(Main[[#This Row],[Tech Start Date]],28),IF(Main[[#This Row],[Class]]="B", WORKDAY(Main[[#This Row],[Tech Start Date]],19),IF(Main[[#This Row],[Class]]="A",WORKDAY(Main[[#This Row],[Tech Start Date]],9),""))))</f>
        <v/>
      </c>
      <c r="Q650" s="74">
        <v>40298</v>
      </c>
      <c r="R650" s="74"/>
      <c r="S650" s="72" t="s">
        <v>11</v>
      </c>
      <c r="T650" s="80" t="s">
        <v>4</v>
      </c>
      <c r="U650" s="72" t="s">
        <v>14</v>
      </c>
      <c r="V650" s="72" t="s">
        <v>1937</v>
      </c>
      <c r="W650" s="72" t="s">
        <v>1943</v>
      </c>
      <c r="X650" s="72" t="s">
        <v>2976</v>
      </c>
      <c r="Y650" s="72" t="s">
        <v>3101</v>
      </c>
      <c r="Z650" s="72" t="s">
        <v>4</v>
      </c>
    </row>
    <row r="651" spans="1:26" ht="18.600000000000001" customHeight="1">
      <c r="A651" s="142" t="str">
        <f>IF(priority(Main[[#This Row],[Comments]])&lt;&gt;0, priority(Main[[#This Row],[Comments]]),"")</f>
        <v/>
      </c>
      <c r="B651" s="90" t="s">
        <v>2807</v>
      </c>
      <c r="C651" s="72" t="s">
        <v>2808</v>
      </c>
      <c r="D651" s="73" t="s">
        <v>2809</v>
      </c>
      <c r="E651" s="74"/>
      <c r="F651" s="74"/>
      <c r="G651" s="75" t="str">
        <f>IF(stdProdLT(Main[[#This Row],[Comments]])=0.1,"N/A",IF(stdProdLT(Main[[#This Row],[Comments]])=0,"",stdProdLT(Main[[#This Row],[Comments]])))</f>
        <v/>
      </c>
      <c r="H651" s="76" t="str">
        <f>IF(AND(Main[[#This Row],[In Stock Date]]&lt;&gt;"",Main[[#This Row],[Revised Due Date]]&lt;&gt;""),Main[[#This Row],[In Stock Date]]-Main[[#This Row],[Revised Due Date]],"")</f>
        <v/>
      </c>
      <c r="I651" s="72" t="s">
        <v>4</v>
      </c>
      <c r="J651" s="72" t="s">
        <v>4</v>
      </c>
      <c r="K651" s="72" t="s">
        <v>4</v>
      </c>
      <c r="L651" s="74"/>
      <c r="M651" s="77" t="str">
        <f>IF(Main[[#This Row],[Tech Start Date]]&lt;1/1/1990,"",IF(Main[[#This Row],[Class]]="C",WORKDAY(Main[[#This Row],[Tech Start Date]],9),IF(Main[[#This Row],[Class]]="B", WORKDAY(Main[[#This Row],[Tech Start Date]],6),IF(Main[[#This Row],[Class]]="A",WORKDAY(Main[[#This Row],[Tech Start Date]],2),""))))</f>
        <v/>
      </c>
      <c r="N651" s="77" t="str">
        <f>IF(Main[[#This Row],[Tech Start Date]]&lt;1/1/1990,"",IF(Main[[#This Row],[Class]]="C",WORKDAY(Main[[#This Row],[Tech Start Date]],19),IF(Main[[#This Row],[Class]]="B", WORKDAY(Main[[#This Row],[Tech Start Date]],12),IF(Main[[#This Row],[Class]]="A",WORKDAY(Main[[#This Row],[Tech Start Date]],4),""))))</f>
        <v/>
      </c>
      <c r="O651" s="77" t="str">
        <f>IF(Main[[#This Row],[Tech Start Date]]&lt;1/1/1990,"",IF(Main[[#This Row],[Class]]="C",WORKDAY(Main[[#This Row],[Tech Start Date]],23),IF(Main[[#This Row],[Class]]="B", WORKDAY(Main[[#This Row],[Tech Start Date]],15),IF(Main[[#This Row],[Class]]="A",WORKDAY(Main[[#This Row],[Tech Start Date]],5),""))))</f>
        <v/>
      </c>
      <c r="P651" s="77" t="str">
        <f>IF(Main[[#This Row],[Tech Start Date]]&lt;1/1/1990,"",IF(Main[[#This Row],[Class]]="C",WORKDAY(Main[[#This Row],[Tech Start Date]],28),IF(Main[[#This Row],[Class]]="B", WORKDAY(Main[[#This Row],[Tech Start Date]],19),IF(Main[[#This Row],[Class]]="A",WORKDAY(Main[[#This Row],[Tech Start Date]],9),""))))</f>
        <v/>
      </c>
      <c r="Q651" s="74"/>
      <c r="R651" s="74"/>
      <c r="S651" s="72" t="s">
        <v>17</v>
      </c>
      <c r="T651" s="80" t="s">
        <v>4</v>
      </c>
      <c r="U651" s="72" t="s">
        <v>12</v>
      </c>
      <c r="V651" s="72" t="s">
        <v>1940</v>
      </c>
      <c r="W651" s="72" t="s">
        <v>1942</v>
      </c>
      <c r="X651" s="72" t="s">
        <v>3045</v>
      </c>
      <c r="Y651" s="72" t="s">
        <v>3213</v>
      </c>
      <c r="Z651" s="72" t="s">
        <v>4</v>
      </c>
    </row>
    <row r="652" spans="1:26" ht="18.600000000000001" customHeight="1">
      <c r="A652" s="142" t="str">
        <f>IF(priority(Main[[#This Row],[Comments]])&lt;&gt;0, priority(Main[[#This Row],[Comments]]),"")</f>
        <v/>
      </c>
      <c r="B652" s="90" t="s">
        <v>1498</v>
      </c>
      <c r="C652" s="72" t="s">
        <v>579</v>
      </c>
      <c r="D652" s="73" t="s">
        <v>580</v>
      </c>
      <c r="E652" s="74"/>
      <c r="F652" s="74"/>
      <c r="G652" s="75" t="str">
        <f>IF(stdProdLT(Main[[#This Row],[Comments]])=0.1,"N/A",IF(stdProdLT(Main[[#This Row],[Comments]])=0,"",stdProdLT(Main[[#This Row],[Comments]])))</f>
        <v/>
      </c>
      <c r="H652" s="76" t="str">
        <f>IF(AND(Main[[#This Row],[In Stock Date]]&lt;&gt;"",Main[[#This Row],[Revised Due Date]]&lt;&gt;""),Main[[#This Row],[In Stock Date]]-Main[[#This Row],[Revised Due Date]],"")</f>
        <v/>
      </c>
      <c r="I652" s="72" t="s">
        <v>4</v>
      </c>
      <c r="J652" s="72" t="s">
        <v>4</v>
      </c>
      <c r="K652" s="72" t="s">
        <v>4</v>
      </c>
      <c r="L652" s="74"/>
      <c r="M652" s="77" t="str">
        <f>IF(Main[[#This Row],[Tech Start Date]]&lt;1/1/1990,"",IF(Main[[#This Row],[Class]]="C",WORKDAY(Main[[#This Row],[Tech Start Date]],9),IF(Main[[#This Row],[Class]]="B", WORKDAY(Main[[#This Row],[Tech Start Date]],6),IF(Main[[#This Row],[Class]]="A",WORKDAY(Main[[#This Row],[Tech Start Date]],2),""))))</f>
        <v/>
      </c>
      <c r="N652" s="77" t="str">
        <f>IF(Main[[#This Row],[Tech Start Date]]&lt;1/1/1990,"",IF(Main[[#This Row],[Class]]="C",WORKDAY(Main[[#This Row],[Tech Start Date]],19),IF(Main[[#This Row],[Class]]="B", WORKDAY(Main[[#This Row],[Tech Start Date]],12),IF(Main[[#This Row],[Class]]="A",WORKDAY(Main[[#This Row],[Tech Start Date]],4),""))))</f>
        <v/>
      </c>
      <c r="O652" s="77" t="str">
        <f>IF(Main[[#This Row],[Tech Start Date]]&lt;1/1/1990,"",IF(Main[[#This Row],[Class]]="C",WORKDAY(Main[[#This Row],[Tech Start Date]],23),IF(Main[[#This Row],[Class]]="B", WORKDAY(Main[[#This Row],[Tech Start Date]],15),IF(Main[[#This Row],[Class]]="A",WORKDAY(Main[[#This Row],[Tech Start Date]],5),""))))</f>
        <v/>
      </c>
      <c r="P652" s="77" t="str">
        <f>IF(Main[[#This Row],[Tech Start Date]]&lt;1/1/1990,"",IF(Main[[#This Row],[Class]]="C",WORKDAY(Main[[#This Row],[Tech Start Date]],28),IF(Main[[#This Row],[Class]]="B", WORKDAY(Main[[#This Row],[Tech Start Date]],19),IF(Main[[#This Row],[Class]]="A",WORKDAY(Main[[#This Row],[Tech Start Date]],9),""))))</f>
        <v/>
      </c>
      <c r="Q652" s="74">
        <v>40473</v>
      </c>
      <c r="R652" s="74"/>
      <c r="S652" s="72" t="s">
        <v>11</v>
      </c>
      <c r="T652" s="80" t="s">
        <v>4</v>
      </c>
      <c r="U652" s="72" t="s">
        <v>14</v>
      </c>
      <c r="V652" s="72" t="s">
        <v>1940</v>
      </c>
      <c r="W652" s="72" t="s">
        <v>1939</v>
      </c>
      <c r="X652" s="72" t="s">
        <v>560</v>
      </c>
      <c r="Y652" s="72" t="s">
        <v>4</v>
      </c>
      <c r="Z652" s="72" t="s">
        <v>4</v>
      </c>
    </row>
    <row r="653" spans="1:26" ht="18.600000000000001" customHeight="1">
      <c r="A653" s="142" t="str">
        <f>IF(priority(Main[[#This Row],[Comments]])&lt;&gt;0, priority(Main[[#This Row],[Comments]]),"")</f>
        <v/>
      </c>
      <c r="B653" s="90" t="s">
        <v>1499</v>
      </c>
      <c r="C653" s="72" t="s">
        <v>4</v>
      </c>
      <c r="D653" s="73" t="s">
        <v>581</v>
      </c>
      <c r="E653" s="74">
        <v>40463.687627314815</v>
      </c>
      <c r="F653" s="74"/>
      <c r="G653" s="75" t="str">
        <f>IF(stdProdLT(Main[[#This Row],[Comments]])=0.1,"N/A",IF(stdProdLT(Main[[#This Row],[Comments]])=0,"",stdProdLT(Main[[#This Row],[Comments]])))</f>
        <v/>
      </c>
      <c r="H653" s="76" t="str">
        <f>IF(AND(Main[[#This Row],[In Stock Date]]&lt;&gt;"",Main[[#This Row],[Revised Due Date]]&lt;&gt;""),Main[[#This Row],[In Stock Date]]-Main[[#This Row],[Revised Due Date]],"")</f>
        <v/>
      </c>
      <c r="I653" s="72" t="s">
        <v>4</v>
      </c>
      <c r="J653" s="72" t="s">
        <v>28</v>
      </c>
      <c r="K653" s="72" t="s">
        <v>4</v>
      </c>
      <c r="L653" s="74"/>
      <c r="M653" s="77" t="str">
        <f>IF(Main[[#This Row],[Tech Start Date]]&lt;1/1/1990,"",IF(Main[[#This Row],[Class]]="C",WORKDAY(Main[[#This Row],[Tech Start Date]],9),IF(Main[[#This Row],[Class]]="B", WORKDAY(Main[[#This Row],[Tech Start Date]],6),IF(Main[[#This Row],[Class]]="A",WORKDAY(Main[[#This Row],[Tech Start Date]],2),""))))</f>
        <v/>
      </c>
      <c r="N653" s="77" t="str">
        <f>IF(Main[[#This Row],[Tech Start Date]]&lt;1/1/1990,"",IF(Main[[#This Row],[Class]]="C",WORKDAY(Main[[#This Row],[Tech Start Date]],19),IF(Main[[#This Row],[Class]]="B", WORKDAY(Main[[#This Row],[Tech Start Date]],12),IF(Main[[#This Row],[Class]]="A",WORKDAY(Main[[#This Row],[Tech Start Date]],4),""))))</f>
        <v/>
      </c>
      <c r="O653" s="77" t="str">
        <f>IF(Main[[#This Row],[Tech Start Date]]&lt;1/1/1990,"",IF(Main[[#This Row],[Class]]="C",WORKDAY(Main[[#This Row],[Tech Start Date]],23),IF(Main[[#This Row],[Class]]="B", WORKDAY(Main[[#This Row],[Tech Start Date]],15),IF(Main[[#This Row],[Class]]="A",WORKDAY(Main[[#This Row],[Tech Start Date]],5),""))))</f>
        <v/>
      </c>
      <c r="P653" s="77" t="str">
        <f>IF(Main[[#This Row],[Tech Start Date]]&lt;1/1/1990,"",IF(Main[[#This Row],[Class]]="C",WORKDAY(Main[[#This Row],[Tech Start Date]],28),IF(Main[[#This Row],[Class]]="B", WORKDAY(Main[[#This Row],[Tech Start Date]],19),IF(Main[[#This Row],[Class]]="A",WORKDAY(Main[[#This Row],[Tech Start Date]],9),""))))</f>
        <v/>
      </c>
      <c r="Q653" s="74"/>
      <c r="R653" s="74"/>
      <c r="S653" s="72" t="s">
        <v>6</v>
      </c>
      <c r="T653" s="80" t="s">
        <v>4</v>
      </c>
      <c r="U653" s="72" t="s">
        <v>7</v>
      </c>
      <c r="V653" s="72" t="s">
        <v>1937</v>
      </c>
      <c r="W653" s="72" t="s">
        <v>1945</v>
      </c>
      <c r="X653" s="72" t="s">
        <v>897</v>
      </c>
      <c r="Y653" s="72" t="s">
        <v>3121</v>
      </c>
      <c r="Z653" s="72" t="s">
        <v>129</v>
      </c>
    </row>
    <row r="654" spans="1:26" ht="18.600000000000001" customHeight="1">
      <c r="A654" s="142" t="str">
        <f>IF(priority(Main[[#This Row],[Comments]])&lt;&gt;0, priority(Main[[#This Row],[Comments]]),"")</f>
        <v/>
      </c>
      <c r="B654" s="90" t="s">
        <v>2810</v>
      </c>
      <c r="C654" s="72" t="s">
        <v>122</v>
      </c>
      <c r="D654" s="73" t="s">
        <v>2811</v>
      </c>
      <c r="E654" s="74">
        <v>40889.572662037041</v>
      </c>
      <c r="F654" s="74"/>
      <c r="G654" s="75" t="str">
        <f>IF(stdProdLT(Main[[#This Row],[Comments]])=0.1,"N/A",IF(stdProdLT(Main[[#This Row],[Comments]])=0,"",stdProdLT(Main[[#This Row],[Comments]])))</f>
        <v/>
      </c>
      <c r="H654" s="76" t="str">
        <f>IF(AND(Main[[#This Row],[In Stock Date]]&lt;&gt;"",Main[[#This Row],[Revised Due Date]]&lt;&gt;""),Main[[#This Row],[In Stock Date]]-Main[[#This Row],[Revised Due Date]],"")</f>
        <v/>
      </c>
      <c r="I654" s="72" t="s">
        <v>4</v>
      </c>
      <c r="J654" s="72" t="s">
        <v>4</v>
      </c>
      <c r="K654" s="72" t="s">
        <v>4</v>
      </c>
      <c r="L654" s="74"/>
      <c r="M654" s="77" t="str">
        <f>IF(Main[[#This Row],[Tech Start Date]]&lt;1/1/1990,"",IF(Main[[#This Row],[Class]]="C",WORKDAY(Main[[#This Row],[Tech Start Date]],9),IF(Main[[#This Row],[Class]]="B", WORKDAY(Main[[#This Row],[Tech Start Date]],6),IF(Main[[#This Row],[Class]]="A",WORKDAY(Main[[#This Row],[Tech Start Date]],2),""))))</f>
        <v/>
      </c>
      <c r="N654" s="77" t="str">
        <f>IF(Main[[#This Row],[Tech Start Date]]&lt;1/1/1990,"",IF(Main[[#This Row],[Class]]="C",WORKDAY(Main[[#This Row],[Tech Start Date]],19),IF(Main[[#This Row],[Class]]="B", WORKDAY(Main[[#This Row],[Tech Start Date]],12),IF(Main[[#This Row],[Class]]="A",WORKDAY(Main[[#This Row],[Tech Start Date]],4),""))))</f>
        <v/>
      </c>
      <c r="O654" s="77" t="str">
        <f>IF(Main[[#This Row],[Tech Start Date]]&lt;1/1/1990,"",IF(Main[[#This Row],[Class]]="C",WORKDAY(Main[[#This Row],[Tech Start Date]],23),IF(Main[[#This Row],[Class]]="B", WORKDAY(Main[[#This Row],[Tech Start Date]],15),IF(Main[[#This Row],[Class]]="A",WORKDAY(Main[[#This Row],[Tech Start Date]],5),""))))</f>
        <v/>
      </c>
      <c r="P654" s="77" t="str">
        <f>IF(Main[[#This Row],[Tech Start Date]]&lt;1/1/1990,"",IF(Main[[#This Row],[Class]]="C",WORKDAY(Main[[#This Row],[Tech Start Date]],28),IF(Main[[#This Row],[Class]]="B", WORKDAY(Main[[#This Row],[Tech Start Date]],19),IF(Main[[#This Row],[Class]]="A",WORKDAY(Main[[#This Row],[Tech Start Date]],9),""))))</f>
        <v/>
      </c>
      <c r="Q654" s="74">
        <v>40910</v>
      </c>
      <c r="R654" s="74"/>
      <c r="S654" s="72" t="s">
        <v>6</v>
      </c>
      <c r="T654" s="80" t="s">
        <v>4</v>
      </c>
      <c r="U654" s="72" t="s">
        <v>7</v>
      </c>
      <c r="V654" s="72" t="s">
        <v>1937</v>
      </c>
      <c r="W654" s="72" t="s">
        <v>1943</v>
      </c>
      <c r="X654" s="72" t="s">
        <v>897</v>
      </c>
      <c r="Y654" s="72" t="s">
        <v>3121</v>
      </c>
      <c r="Z654" s="72" t="s">
        <v>4</v>
      </c>
    </row>
    <row r="655" spans="1:26" ht="18.600000000000001" customHeight="1">
      <c r="A655" s="142" t="str">
        <f>IF(priority(Main[[#This Row],[Comments]])&lt;&gt;0, priority(Main[[#This Row],[Comments]]),"")</f>
        <v/>
      </c>
      <c r="B655" s="90" t="s">
        <v>1140</v>
      </c>
      <c r="C655" s="72" t="s">
        <v>4</v>
      </c>
      <c r="D655" s="73" t="s">
        <v>177</v>
      </c>
      <c r="E655" s="74">
        <v>40421.149710648147</v>
      </c>
      <c r="F655" s="74"/>
      <c r="G655" s="75" t="str">
        <f>IF(stdProdLT(Main[[#This Row],[Comments]])=0.1,"N/A",IF(stdProdLT(Main[[#This Row],[Comments]])=0,"",stdProdLT(Main[[#This Row],[Comments]])))</f>
        <v/>
      </c>
      <c r="H655" s="76" t="str">
        <f>IF(AND(Main[[#This Row],[In Stock Date]]&lt;&gt;"",Main[[#This Row],[Revised Due Date]]&lt;&gt;""),Main[[#This Row],[In Stock Date]]-Main[[#This Row],[Revised Due Date]],"")</f>
        <v/>
      </c>
      <c r="I655" s="72" t="s">
        <v>81</v>
      </c>
      <c r="J655" s="72" t="s">
        <v>52</v>
      </c>
      <c r="K655" s="72" t="s">
        <v>4</v>
      </c>
      <c r="L655" s="74"/>
      <c r="M655" s="77" t="str">
        <f>IF(Main[[#This Row],[Tech Start Date]]&lt;1/1/1990,"",IF(Main[[#This Row],[Class]]="C",WORKDAY(Main[[#This Row],[Tech Start Date]],9),IF(Main[[#This Row],[Class]]="B", WORKDAY(Main[[#This Row],[Tech Start Date]],6),IF(Main[[#This Row],[Class]]="A",WORKDAY(Main[[#This Row],[Tech Start Date]],2),""))))</f>
        <v/>
      </c>
      <c r="N655" s="77" t="str">
        <f>IF(Main[[#This Row],[Tech Start Date]]&lt;1/1/1990,"",IF(Main[[#This Row],[Class]]="C",WORKDAY(Main[[#This Row],[Tech Start Date]],19),IF(Main[[#This Row],[Class]]="B", WORKDAY(Main[[#This Row],[Tech Start Date]],12),IF(Main[[#This Row],[Class]]="A",WORKDAY(Main[[#This Row],[Tech Start Date]],4),""))))</f>
        <v/>
      </c>
      <c r="O655" s="77" t="str">
        <f>IF(Main[[#This Row],[Tech Start Date]]&lt;1/1/1990,"",IF(Main[[#This Row],[Class]]="C",WORKDAY(Main[[#This Row],[Tech Start Date]],23),IF(Main[[#This Row],[Class]]="B", WORKDAY(Main[[#This Row],[Tech Start Date]],15),IF(Main[[#This Row],[Class]]="A",WORKDAY(Main[[#This Row],[Tech Start Date]],5),""))))</f>
        <v/>
      </c>
      <c r="P655" s="77" t="str">
        <f>IF(Main[[#This Row],[Tech Start Date]]&lt;1/1/1990,"",IF(Main[[#This Row],[Class]]="C",WORKDAY(Main[[#This Row],[Tech Start Date]],28),IF(Main[[#This Row],[Class]]="B", WORKDAY(Main[[#This Row],[Tech Start Date]],19),IF(Main[[#This Row],[Class]]="A",WORKDAY(Main[[#This Row],[Tech Start Date]],9),""))))</f>
        <v/>
      </c>
      <c r="Q655" s="74">
        <v>40451</v>
      </c>
      <c r="R655" s="74"/>
      <c r="S655" s="72" t="s">
        <v>6</v>
      </c>
      <c r="T655" s="80" t="s">
        <v>4</v>
      </c>
      <c r="U655" s="72" t="s">
        <v>29</v>
      </c>
      <c r="V655" s="72" t="s">
        <v>1947</v>
      </c>
      <c r="W655" s="72" t="s">
        <v>1939</v>
      </c>
      <c r="X655" s="72" t="s">
        <v>2974</v>
      </c>
      <c r="Y655" s="72" t="s">
        <v>3096</v>
      </c>
      <c r="Z655" s="72" t="s">
        <v>421</v>
      </c>
    </row>
    <row r="656" spans="1:26" ht="18.600000000000001" customHeight="1">
      <c r="A656" s="142" t="str">
        <f>IF(priority(Main[[#This Row],[Comments]])&lt;&gt;0, priority(Main[[#This Row],[Comments]]),"")</f>
        <v/>
      </c>
      <c r="B656" s="90" t="s">
        <v>1500</v>
      </c>
      <c r="C656" s="72" t="s">
        <v>233</v>
      </c>
      <c r="D656" s="73" t="s">
        <v>570</v>
      </c>
      <c r="E656" s="74"/>
      <c r="F656" s="74">
        <v>40662</v>
      </c>
      <c r="G656" s="75" t="str">
        <f>IF(stdProdLT(Main[[#This Row],[Comments]])=0.1,"N/A",IF(stdProdLT(Main[[#This Row],[Comments]])=0,"",stdProdLT(Main[[#This Row],[Comments]])))</f>
        <v/>
      </c>
      <c r="H656" s="76" t="str">
        <f>IF(AND(Main[[#This Row],[In Stock Date]]&lt;&gt;"",Main[[#This Row],[Revised Due Date]]&lt;&gt;""),Main[[#This Row],[In Stock Date]]-Main[[#This Row],[Revised Due Date]],"")</f>
        <v/>
      </c>
      <c r="I656" s="72" t="s">
        <v>4</v>
      </c>
      <c r="J656" s="72" t="s">
        <v>4</v>
      </c>
      <c r="K656" s="72" t="s">
        <v>4</v>
      </c>
      <c r="L656" s="74"/>
      <c r="M656" s="77" t="str">
        <f>IF(Main[[#This Row],[Tech Start Date]]&lt;1/1/1990,"",IF(Main[[#This Row],[Class]]="C",WORKDAY(Main[[#This Row],[Tech Start Date]],9),IF(Main[[#This Row],[Class]]="B", WORKDAY(Main[[#This Row],[Tech Start Date]],6),IF(Main[[#This Row],[Class]]="A",WORKDAY(Main[[#This Row],[Tech Start Date]],2),""))))</f>
        <v/>
      </c>
      <c r="N656" s="77" t="str">
        <f>IF(Main[[#This Row],[Tech Start Date]]&lt;1/1/1990,"",IF(Main[[#This Row],[Class]]="C",WORKDAY(Main[[#This Row],[Tech Start Date]],19),IF(Main[[#This Row],[Class]]="B", WORKDAY(Main[[#This Row],[Tech Start Date]],12),IF(Main[[#This Row],[Class]]="A",WORKDAY(Main[[#This Row],[Tech Start Date]],4),""))))</f>
        <v/>
      </c>
      <c r="O656" s="77" t="str">
        <f>IF(Main[[#This Row],[Tech Start Date]]&lt;1/1/1990,"",IF(Main[[#This Row],[Class]]="C",WORKDAY(Main[[#This Row],[Tech Start Date]],23),IF(Main[[#This Row],[Class]]="B", WORKDAY(Main[[#This Row],[Tech Start Date]],15),IF(Main[[#This Row],[Class]]="A",WORKDAY(Main[[#This Row],[Tech Start Date]],5),""))))</f>
        <v/>
      </c>
      <c r="P656" s="77" t="str">
        <f>IF(Main[[#This Row],[Tech Start Date]]&lt;1/1/1990,"",IF(Main[[#This Row],[Class]]="C",WORKDAY(Main[[#This Row],[Tech Start Date]],28),IF(Main[[#This Row],[Class]]="B", WORKDAY(Main[[#This Row],[Tech Start Date]],19),IF(Main[[#This Row],[Class]]="A",WORKDAY(Main[[#This Row],[Tech Start Date]],9),""))))</f>
        <v/>
      </c>
      <c r="Q656" s="74">
        <v>40480</v>
      </c>
      <c r="R656" s="74"/>
      <c r="S656" s="72" t="s">
        <v>11</v>
      </c>
      <c r="T656" s="80" t="s">
        <v>4</v>
      </c>
      <c r="U656" s="72" t="s">
        <v>14</v>
      </c>
      <c r="V656" s="72" t="s">
        <v>1940</v>
      </c>
      <c r="W656" s="72" t="s">
        <v>1945</v>
      </c>
      <c r="X656" s="72" t="s">
        <v>3012</v>
      </c>
      <c r="Y656" s="72" t="s">
        <v>4</v>
      </c>
      <c r="Z656" s="72" t="s">
        <v>4</v>
      </c>
    </row>
    <row r="657" spans="1:26" ht="18.600000000000001" customHeight="1">
      <c r="A657" s="142" t="str">
        <f>IF(priority(Main[[#This Row],[Comments]])&lt;&gt;0, priority(Main[[#This Row],[Comments]]),"")</f>
        <v/>
      </c>
      <c r="B657" s="90" t="s">
        <v>1501</v>
      </c>
      <c r="C657" s="72" t="s">
        <v>4</v>
      </c>
      <c r="D657" s="73" t="s">
        <v>39</v>
      </c>
      <c r="E657" s="74"/>
      <c r="F657" s="74"/>
      <c r="G657" s="75" t="str">
        <f>IF(stdProdLT(Main[[#This Row],[Comments]])=0.1,"N/A",IF(stdProdLT(Main[[#This Row],[Comments]])=0,"",stdProdLT(Main[[#This Row],[Comments]])))</f>
        <v/>
      </c>
      <c r="H657" s="76" t="str">
        <f>IF(AND(Main[[#This Row],[In Stock Date]]&lt;&gt;"",Main[[#This Row],[Revised Due Date]]&lt;&gt;""),Main[[#This Row],[In Stock Date]]-Main[[#This Row],[Revised Due Date]],"")</f>
        <v/>
      </c>
      <c r="I657" s="72" t="s">
        <v>4</v>
      </c>
      <c r="J657" s="72" t="s">
        <v>4</v>
      </c>
      <c r="K657" s="72" t="s">
        <v>4</v>
      </c>
      <c r="L657" s="74"/>
      <c r="M657" s="77" t="str">
        <f>IF(Main[[#This Row],[Tech Start Date]]&lt;1/1/1990,"",IF(Main[[#This Row],[Class]]="C",WORKDAY(Main[[#This Row],[Tech Start Date]],9),IF(Main[[#This Row],[Class]]="B", WORKDAY(Main[[#This Row],[Tech Start Date]],6),IF(Main[[#This Row],[Class]]="A",WORKDAY(Main[[#This Row],[Tech Start Date]],2),""))))</f>
        <v/>
      </c>
      <c r="N657" s="77" t="str">
        <f>IF(Main[[#This Row],[Tech Start Date]]&lt;1/1/1990,"",IF(Main[[#This Row],[Class]]="C",WORKDAY(Main[[#This Row],[Tech Start Date]],19),IF(Main[[#This Row],[Class]]="B", WORKDAY(Main[[#This Row],[Tech Start Date]],12),IF(Main[[#This Row],[Class]]="A",WORKDAY(Main[[#This Row],[Tech Start Date]],4),""))))</f>
        <v/>
      </c>
      <c r="O657" s="77" t="str">
        <f>IF(Main[[#This Row],[Tech Start Date]]&lt;1/1/1990,"",IF(Main[[#This Row],[Class]]="C",WORKDAY(Main[[#This Row],[Tech Start Date]],23),IF(Main[[#This Row],[Class]]="B", WORKDAY(Main[[#This Row],[Tech Start Date]],15),IF(Main[[#This Row],[Class]]="A",WORKDAY(Main[[#This Row],[Tech Start Date]],5),""))))</f>
        <v/>
      </c>
      <c r="P657" s="77" t="str">
        <f>IF(Main[[#This Row],[Tech Start Date]]&lt;1/1/1990,"",IF(Main[[#This Row],[Class]]="C",WORKDAY(Main[[#This Row],[Tech Start Date]],28),IF(Main[[#This Row],[Class]]="B", WORKDAY(Main[[#This Row],[Tech Start Date]],19),IF(Main[[#This Row],[Class]]="A",WORKDAY(Main[[#This Row],[Tech Start Date]],9),""))))</f>
        <v/>
      </c>
      <c r="Q657" s="74">
        <v>40669</v>
      </c>
      <c r="R657" s="74"/>
      <c r="S657" s="72" t="s">
        <v>6</v>
      </c>
      <c r="T657" s="80" t="s">
        <v>4</v>
      </c>
      <c r="U657" s="72" t="s">
        <v>14</v>
      </c>
      <c r="V657" s="72" t="s">
        <v>1940</v>
      </c>
      <c r="W657" s="72" t="s">
        <v>4</v>
      </c>
      <c r="X657" s="72" t="s">
        <v>2970</v>
      </c>
      <c r="Y657" s="72" t="s">
        <v>3087</v>
      </c>
      <c r="Z657" s="72" t="s">
        <v>4</v>
      </c>
    </row>
    <row r="658" spans="1:26" ht="18.600000000000001" customHeight="1">
      <c r="A658" s="142" t="str">
        <f>IF(priority(Main[[#This Row],[Comments]])&lt;&gt;0, priority(Main[[#This Row],[Comments]]),"")</f>
        <v/>
      </c>
      <c r="B658" s="90" t="s">
        <v>1502</v>
      </c>
      <c r="C658" s="72" t="s">
        <v>571</v>
      </c>
      <c r="D658" s="73" t="s">
        <v>572</v>
      </c>
      <c r="E658" s="74"/>
      <c r="F658" s="74">
        <v>40168</v>
      </c>
      <c r="G658" s="75" t="str">
        <f>IF(stdProdLT(Main[[#This Row],[Comments]])=0.1,"N/A",IF(stdProdLT(Main[[#This Row],[Comments]])=0,"",stdProdLT(Main[[#This Row],[Comments]])))</f>
        <v/>
      </c>
      <c r="H658" s="76" t="str">
        <f>IF(AND(Main[[#This Row],[In Stock Date]]&lt;&gt;"",Main[[#This Row],[Revised Due Date]]&lt;&gt;""),Main[[#This Row],[In Stock Date]]-Main[[#This Row],[Revised Due Date]],"")</f>
        <v/>
      </c>
      <c r="I658" s="72" t="s">
        <v>4</v>
      </c>
      <c r="J658" s="72" t="s">
        <v>4</v>
      </c>
      <c r="K658" s="72" t="s">
        <v>4</v>
      </c>
      <c r="L658" s="74"/>
      <c r="M658" s="77" t="str">
        <f>IF(Main[[#This Row],[Tech Start Date]]&lt;1/1/1990,"",IF(Main[[#This Row],[Class]]="C",WORKDAY(Main[[#This Row],[Tech Start Date]],9),IF(Main[[#This Row],[Class]]="B", WORKDAY(Main[[#This Row],[Tech Start Date]],6),IF(Main[[#This Row],[Class]]="A",WORKDAY(Main[[#This Row],[Tech Start Date]],2),""))))</f>
        <v/>
      </c>
      <c r="N658" s="77" t="str">
        <f>IF(Main[[#This Row],[Tech Start Date]]&lt;1/1/1990,"",IF(Main[[#This Row],[Class]]="C",WORKDAY(Main[[#This Row],[Tech Start Date]],19),IF(Main[[#This Row],[Class]]="B", WORKDAY(Main[[#This Row],[Tech Start Date]],12),IF(Main[[#This Row],[Class]]="A",WORKDAY(Main[[#This Row],[Tech Start Date]],4),""))))</f>
        <v/>
      </c>
      <c r="O658" s="77" t="str">
        <f>IF(Main[[#This Row],[Tech Start Date]]&lt;1/1/1990,"",IF(Main[[#This Row],[Class]]="C",WORKDAY(Main[[#This Row],[Tech Start Date]],23),IF(Main[[#This Row],[Class]]="B", WORKDAY(Main[[#This Row],[Tech Start Date]],15),IF(Main[[#This Row],[Class]]="A",WORKDAY(Main[[#This Row],[Tech Start Date]],5),""))))</f>
        <v/>
      </c>
      <c r="P658" s="77" t="str">
        <f>IF(Main[[#This Row],[Tech Start Date]]&lt;1/1/1990,"",IF(Main[[#This Row],[Class]]="C",WORKDAY(Main[[#This Row],[Tech Start Date]],28),IF(Main[[#This Row],[Class]]="B", WORKDAY(Main[[#This Row],[Tech Start Date]],19),IF(Main[[#This Row],[Class]]="A",WORKDAY(Main[[#This Row],[Tech Start Date]],9),""))))</f>
        <v/>
      </c>
      <c r="Q658" s="74"/>
      <c r="R658" s="74"/>
      <c r="S658" s="72" t="s">
        <v>17</v>
      </c>
      <c r="T658" s="80" t="s">
        <v>4</v>
      </c>
      <c r="U658" s="72" t="s">
        <v>14</v>
      </c>
      <c r="V658" s="72" t="s">
        <v>1938</v>
      </c>
      <c r="W658" s="72" t="s">
        <v>4</v>
      </c>
      <c r="X658" s="72" t="s">
        <v>3013</v>
      </c>
      <c r="Y658" s="72" t="s">
        <v>4</v>
      </c>
      <c r="Z658" s="72" t="s">
        <v>4</v>
      </c>
    </row>
    <row r="659" spans="1:26" ht="18.600000000000001" customHeight="1">
      <c r="A659" s="142" t="str">
        <f>IF(priority(Main[[#This Row],[Comments]])&lt;&gt;0, priority(Main[[#This Row],[Comments]]),"")</f>
        <v/>
      </c>
      <c r="B659" s="90" t="s">
        <v>1503</v>
      </c>
      <c r="C659" s="72" t="s">
        <v>573</v>
      </c>
      <c r="D659" s="73" t="s">
        <v>574</v>
      </c>
      <c r="E659" s="74"/>
      <c r="F659" s="74">
        <v>40389</v>
      </c>
      <c r="G659" s="75" t="str">
        <f>IF(stdProdLT(Main[[#This Row],[Comments]])=0.1,"N/A",IF(stdProdLT(Main[[#This Row],[Comments]])=0,"",stdProdLT(Main[[#This Row],[Comments]])))</f>
        <v/>
      </c>
      <c r="H659" s="76" t="str">
        <f>IF(AND(Main[[#This Row],[In Stock Date]]&lt;&gt;"",Main[[#This Row],[Revised Due Date]]&lt;&gt;""),Main[[#This Row],[In Stock Date]]-Main[[#This Row],[Revised Due Date]],"")</f>
        <v/>
      </c>
      <c r="I659" s="72" t="s">
        <v>4</v>
      </c>
      <c r="J659" s="72" t="s">
        <v>75</v>
      </c>
      <c r="K659" s="72" t="s">
        <v>4</v>
      </c>
      <c r="L659" s="74"/>
      <c r="M659" s="77" t="str">
        <f>IF(Main[[#This Row],[Tech Start Date]]&lt;1/1/1990,"",IF(Main[[#This Row],[Class]]="C",WORKDAY(Main[[#This Row],[Tech Start Date]],9),IF(Main[[#This Row],[Class]]="B", WORKDAY(Main[[#This Row],[Tech Start Date]],6),IF(Main[[#This Row],[Class]]="A",WORKDAY(Main[[#This Row],[Tech Start Date]],2),""))))</f>
        <v/>
      </c>
      <c r="N659" s="77" t="str">
        <f>IF(Main[[#This Row],[Tech Start Date]]&lt;1/1/1990,"",IF(Main[[#This Row],[Class]]="C",WORKDAY(Main[[#This Row],[Tech Start Date]],19),IF(Main[[#This Row],[Class]]="B", WORKDAY(Main[[#This Row],[Tech Start Date]],12),IF(Main[[#This Row],[Class]]="A",WORKDAY(Main[[#This Row],[Tech Start Date]],4),""))))</f>
        <v/>
      </c>
      <c r="O659" s="77" t="str">
        <f>IF(Main[[#This Row],[Tech Start Date]]&lt;1/1/1990,"",IF(Main[[#This Row],[Class]]="C",WORKDAY(Main[[#This Row],[Tech Start Date]],23),IF(Main[[#This Row],[Class]]="B", WORKDAY(Main[[#This Row],[Tech Start Date]],15),IF(Main[[#This Row],[Class]]="A",WORKDAY(Main[[#This Row],[Tech Start Date]],5),""))))</f>
        <v/>
      </c>
      <c r="P659" s="77" t="str">
        <f>IF(Main[[#This Row],[Tech Start Date]]&lt;1/1/1990,"",IF(Main[[#This Row],[Class]]="C",WORKDAY(Main[[#This Row],[Tech Start Date]],28),IF(Main[[#This Row],[Class]]="B", WORKDAY(Main[[#This Row],[Tech Start Date]],19),IF(Main[[#This Row],[Class]]="A",WORKDAY(Main[[#This Row],[Tech Start Date]],9),""))))</f>
        <v/>
      </c>
      <c r="Q659" s="74">
        <v>40298</v>
      </c>
      <c r="R659" s="74"/>
      <c r="S659" s="72" t="s">
        <v>11</v>
      </c>
      <c r="T659" s="80" t="s">
        <v>4</v>
      </c>
      <c r="U659" s="72" t="s">
        <v>14</v>
      </c>
      <c r="V659" s="72" t="s">
        <v>1937</v>
      </c>
      <c r="W659" s="72" t="s">
        <v>1943</v>
      </c>
      <c r="X659" s="72" t="s">
        <v>2976</v>
      </c>
      <c r="Y659" s="72" t="s">
        <v>3101</v>
      </c>
      <c r="Z659" s="72" t="s">
        <v>311</v>
      </c>
    </row>
    <row r="660" spans="1:26" ht="18.600000000000001" customHeight="1">
      <c r="A660" s="142" t="str">
        <f>IF(priority(Main[[#This Row],[Comments]])&lt;&gt;0, priority(Main[[#This Row],[Comments]]),"")</f>
        <v/>
      </c>
      <c r="B660" s="90" t="s">
        <v>1504</v>
      </c>
      <c r="C660" s="72" t="s">
        <v>93</v>
      </c>
      <c r="D660" s="73" t="s">
        <v>575</v>
      </c>
      <c r="E660" s="74"/>
      <c r="F660" s="74">
        <v>40132</v>
      </c>
      <c r="G660" s="75" t="str">
        <f>IF(stdProdLT(Main[[#This Row],[Comments]])=0.1,"N/A",IF(stdProdLT(Main[[#This Row],[Comments]])=0,"",stdProdLT(Main[[#This Row],[Comments]])))</f>
        <v/>
      </c>
      <c r="H660" s="76" t="str">
        <f>IF(AND(Main[[#This Row],[In Stock Date]]&lt;&gt;"",Main[[#This Row],[Revised Due Date]]&lt;&gt;""),Main[[#This Row],[In Stock Date]]-Main[[#This Row],[Revised Due Date]],"")</f>
        <v/>
      </c>
      <c r="I660" s="72" t="s">
        <v>4</v>
      </c>
      <c r="J660" s="72" t="s">
        <v>4</v>
      </c>
      <c r="K660" s="72" t="s">
        <v>4</v>
      </c>
      <c r="L660" s="74"/>
      <c r="M660" s="77" t="str">
        <f>IF(Main[[#This Row],[Tech Start Date]]&lt;1/1/1990,"",IF(Main[[#This Row],[Class]]="C",WORKDAY(Main[[#This Row],[Tech Start Date]],9),IF(Main[[#This Row],[Class]]="B", WORKDAY(Main[[#This Row],[Tech Start Date]],6),IF(Main[[#This Row],[Class]]="A",WORKDAY(Main[[#This Row],[Tech Start Date]],2),""))))</f>
        <v/>
      </c>
      <c r="N660" s="77" t="str">
        <f>IF(Main[[#This Row],[Tech Start Date]]&lt;1/1/1990,"",IF(Main[[#This Row],[Class]]="C",WORKDAY(Main[[#This Row],[Tech Start Date]],19),IF(Main[[#This Row],[Class]]="B", WORKDAY(Main[[#This Row],[Tech Start Date]],12),IF(Main[[#This Row],[Class]]="A",WORKDAY(Main[[#This Row],[Tech Start Date]],4),""))))</f>
        <v/>
      </c>
      <c r="O660" s="77" t="str">
        <f>IF(Main[[#This Row],[Tech Start Date]]&lt;1/1/1990,"",IF(Main[[#This Row],[Class]]="C",WORKDAY(Main[[#This Row],[Tech Start Date]],23),IF(Main[[#This Row],[Class]]="B", WORKDAY(Main[[#This Row],[Tech Start Date]],15),IF(Main[[#This Row],[Class]]="A",WORKDAY(Main[[#This Row],[Tech Start Date]],5),""))))</f>
        <v/>
      </c>
      <c r="P660" s="77" t="str">
        <f>IF(Main[[#This Row],[Tech Start Date]]&lt;1/1/1990,"",IF(Main[[#This Row],[Class]]="C",WORKDAY(Main[[#This Row],[Tech Start Date]],28),IF(Main[[#This Row],[Class]]="B", WORKDAY(Main[[#This Row],[Tech Start Date]],19),IF(Main[[#This Row],[Class]]="A",WORKDAY(Main[[#This Row],[Tech Start Date]],9),""))))</f>
        <v/>
      </c>
      <c r="Q660" s="74">
        <v>40132</v>
      </c>
      <c r="R660" s="74"/>
      <c r="S660" s="72" t="s">
        <v>11</v>
      </c>
      <c r="T660" s="80" t="s">
        <v>4</v>
      </c>
      <c r="U660" s="72" t="s">
        <v>14</v>
      </c>
      <c r="V660" s="72" t="s">
        <v>1947</v>
      </c>
      <c r="W660" s="72" t="s">
        <v>1948</v>
      </c>
      <c r="X660" s="72" t="s">
        <v>3008</v>
      </c>
      <c r="Y660" s="72" t="s">
        <v>4</v>
      </c>
      <c r="Z660" s="72" t="s">
        <v>4</v>
      </c>
    </row>
    <row r="661" spans="1:26" ht="18.600000000000001" customHeight="1">
      <c r="A661" s="142" t="str">
        <f>IF(priority(Main[[#This Row],[Comments]])&lt;&gt;0, priority(Main[[#This Row],[Comments]]),"")</f>
        <v/>
      </c>
      <c r="B661" s="90" t="s">
        <v>1505</v>
      </c>
      <c r="C661" s="72" t="s">
        <v>93</v>
      </c>
      <c r="D661" s="73" t="s">
        <v>576</v>
      </c>
      <c r="E661" s="74"/>
      <c r="F661" s="74">
        <v>40132</v>
      </c>
      <c r="G661" s="75" t="str">
        <f>IF(stdProdLT(Main[[#This Row],[Comments]])=0.1,"N/A",IF(stdProdLT(Main[[#This Row],[Comments]])=0,"",stdProdLT(Main[[#This Row],[Comments]])))</f>
        <v/>
      </c>
      <c r="H661" s="76" t="str">
        <f>IF(AND(Main[[#This Row],[In Stock Date]]&lt;&gt;"",Main[[#This Row],[Revised Due Date]]&lt;&gt;""),Main[[#This Row],[In Stock Date]]-Main[[#This Row],[Revised Due Date]],"")</f>
        <v/>
      </c>
      <c r="I661" s="72" t="s">
        <v>4</v>
      </c>
      <c r="J661" s="72" t="s">
        <v>4</v>
      </c>
      <c r="K661" s="72" t="s">
        <v>4</v>
      </c>
      <c r="L661" s="74"/>
      <c r="M661" s="77" t="str">
        <f>IF(Main[[#This Row],[Tech Start Date]]&lt;1/1/1990,"",IF(Main[[#This Row],[Class]]="C",WORKDAY(Main[[#This Row],[Tech Start Date]],9),IF(Main[[#This Row],[Class]]="B", WORKDAY(Main[[#This Row],[Tech Start Date]],6),IF(Main[[#This Row],[Class]]="A",WORKDAY(Main[[#This Row],[Tech Start Date]],2),""))))</f>
        <v/>
      </c>
      <c r="N661" s="77" t="str">
        <f>IF(Main[[#This Row],[Tech Start Date]]&lt;1/1/1990,"",IF(Main[[#This Row],[Class]]="C",WORKDAY(Main[[#This Row],[Tech Start Date]],19),IF(Main[[#This Row],[Class]]="B", WORKDAY(Main[[#This Row],[Tech Start Date]],12),IF(Main[[#This Row],[Class]]="A",WORKDAY(Main[[#This Row],[Tech Start Date]],4),""))))</f>
        <v/>
      </c>
      <c r="O661" s="77" t="str">
        <f>IF(Main[[#This Row],[Tech Start Date]]&lt;1/1/1990,"",IF(Main[[#This Row],[Class]]="C",WORKDAY(Main[[#This Row],[Tech Start Date]],23),IF(Main[[#This Row],[Class]]="B", WORKDAY(Main[[#This Row],[Tech Start Date]],15),IF(Main[[#This Row],[Class]]="A",WORKDAY(Main[[#This Row],[Tech Start Date]],5),""))))</f>
        <v/>
      </c>
      <c r="P661" s="77" t="str">
        <f>IF(Main[[#This Row],[Tech Start Date]]&lt;1/1/1990,"",IF(Main[[#This Row],[Class]]="C",WORKDAY(Main[[#This Row],[Tech Start Date]],28),IF(Main[[#This Row],[Class]]="B", WORKDAY(Main[[#This Row],[Tech Start Date]],19),IF(Main[[#This Row],[Class]]="A",WORKDAY(Main[[#This Row],[Tech Start Date]],9),""))))</f>
        <v/>
      </c>
      <c r="Q661" s="74">
        <v>40132</v>
      </c>
      <c r="R661" s="74"/>
      <c r="S661" s="72" t="s">
        <v>11</v>
      </c>
      <c r="T661" s="80" t="s">
        <v>4</v>
      </c>
      <c r="U661" s="72" t="s">
        <v>14</v>
      </c>
      <c r="V661" s="72" t="s">
        <v>1947</v>
      </c>
      <c r="W661" s="72" t="s">
        <v>1948</v>
      </c>
      <c r="X661" s="72" t="s">
        <v>3008</v>
      </c>
      <c r="Y661" s="72" t="s">
        <v>4</v>
      </c>
      <c r="Z661" s="72" t="s">
        <v>4</v>
      </c>
    </row>
    <row r="662" spans="1:26" ht="18.600000000000001" customHeight="1">
      <c r="A662" s="142" t="str">
        <f>IF(priority(Main[[#This Row],[Comments]])&lt;&gt;0, priority(Main[[#This Row],[Comments]]),"")</f>
        <v/>
      </c>
      <c r="B662" s="90" t="s">
        <v>1506</v>
      </c>
      <c r="C662" s="72" t="s">
        <v>471</v>
      </c>
      <c r="D662" s="73" t="s">
        <v>577</v>
      </c>
      <c r="E662" s="74"/>
      <c r="F662" s="74">
        <v>40179</v>
      </c>
      <c r="G662" s="75" t="str">
        <f>IF(stdProdLT(Main[[#This Row],[Comments]])=0.1,"N/A",IF(stdProdLT(Main[[#This Row],[Comments]])=0,"",stdProdLT(Main[[#This Row],[Comments]])))</f>
        <v/>
      </c>
      <c r="H662" s="76" t="str">
        <f>IF(AND(Main[[#This Row],[In Stock Date]]&lt;&gt;"",Main[[#This Row],[Revised Due Date]]&lt;&gt;""),Main[[#This Row],[In Stock Date]]-Main[[#This Row],[Revised Due Date]],"")</f>
        <v/>
      </c>
      <c r="I662" s="72" t="s">
        <v>4</v>
      </c>
      <c r="J662" s="72" t="s">
        <v>4</v>
      </c>
      <c r="K662" s="72" t="s">
        <v>4</v>
      </c>
      <c r="L662" s="74"/>
      <c r="M662" s="77" t="str">
        <f>IF(Main[[#This Row],[Tech Start Date]]&lt;1/1/1990,"",IF(Main[[#This Row],[Class]]="C",WORKDAY(Main[[#This Row],[Tech Start Date]],9),IF(Main[[#This Row],[Class]]="B", WORKDAY(Main[[#This Row],[Tech Start Date]],6),IF(Main[[#This Row],[Class]]="A",WORKDAY(Main[[#This Row],[Tech Start Date]],2),""))))</f>
        <v/>
      </c>
      <c r="N662" s="77" t="str">
        <f>IF(Main[[#This Row],[Tech Start Date]]&lt;1/1/1990,"",IF(Main[[#This Row],[Class]]="C",WORKDAY(Main[[#This Row],[Tech Start Date]],19),IF(Main[[#This Row],[Class]]="B", WORKDAY(Main[[#This Row],[Tech Start Date]],12),IF(Main[[#This Row],[Class]]="A",WORKDAY(Main[[#This Row],[Tech Start Date]],4),""))))</f>
        <v/>
      </c>
      <c r="O662" s="77" t="str">
        <f>IF(Main[[#This Row],[Tech Start Date]]&lt;1/1/1990,"",IF(Main[[#This Row],[Class]]="C",WORKDAY(Main[[#This Row],[Tech Start Date]],23),IF(Main[[#This Row],[Class]]="B", WORKDAY(Main[[#This Row],[Tech Start Date]],15),IF(Main[[#This Row],[Class]]="A",WORKDAY(Main[[#This Row],[Tech Start Date]],5),""))))</f>
        <v/>
      </c>
      <c r="P662" s="77" t="str">
        <f>IF(Main[[#This Row],[Tech Start Date]]&lt;1/1/1990,"",IF(Main[[#This Row],[Class]]="C",WORKDAY(Main[[#This Row],[Tech Start Date]],28),IF(Main[[#This Row],[Class]]="B", WORKDAY(Main[[#This Row],[Tech Start Date]],19),IF(Main[[#This Row],[Class]]="A",WORKDAY(Main[[#This Row],[Tech Start Date]],9),""))))</f>
        <v/>
      </c>
      <c r="Q662" s="74">
        <v>40164</v>
      </c>
      <c r="R662" s="74"/>
      <c r="S662" s="72" t="s">
        <v>11</v>
      </c>
      <c r="T662" s="80" t="s">
        <v>4</v>
      </c>
      <c r="U662" s="72" t="s">
        <v>14</v>
      </c>
      <c r="V662" s="72" t="s">
        <v>1940</v>
      </c>
      <c r="W662" s="72" t="s">
        <v>1943</v>
      </c>
      <c r="X662" s="72" t="s">
        <v>3015</v>
      </c>
      <c r="Y662" s="72" t="s">
        <v>4</v>
      </c>
      <c r="Z662" s="72" t="s">
        <v>4</v>
      </c>
    </row>
    <row r="663" spans="1:26" ht="18.600000000000001" customHeight="1">
      <c r="A663" s="142" t="str">
        <f>IF(priority(Main[[#This Row],[Comments]])&lt;&gt;0, priority(Main[[#This Row],[Comments]]),"")</f>
        <v/>
      </c>
      <c r="B663" s="90" t="s">
        <v>1162</v>
      </c>
      <c r="C663" s="72" t="s">
        <v>4</v>
      </c>
      <c r="D663" s="73" t="s">
        <v>202</v>
      </c>
      <c r="E663" s="74"/>
      <c r="F663" s="74"/>
      <c r="G663" s="75" t="str">
        <f>IF(stdProdLT(Main[[#This Row],[Comments]])=0.1,"N/A",IF(stdProdLT(Main[[#This Row],[Comments]])=0,"",stdProdLT(Main[[#This Row],[Comments]])))</f>
        <v/>
      </c>
      <c r="H663" s="76" t="str">
        <f>IF(AND(Main[[#This Row],[In Stock Date]]&lt;&gt;"",Main[[#This Row],[Revised Due Date]]&lt;&gt;""),Main[[#This Row],[In Stock Date]]-Main[[#This Row],[Revised Due Date]],"")</f>
        <v/>
      </c>
      <c r="I663" s="72" t="s">
        <v>4</v>
      </c>
      <c r="J663" s="72" t="s">
        <v>4</v>
      </c>
      <c r="K663" s="72" t="s">
        <v>4</v>
      </c>
      <c r="L663" s="74"/>
      <c r="M663" s="77" t="str">
        <f>IF(Main[[#This Row],[Tech Start Date]]&lt;1/1/1990,"",IF(Main[[#This Row],[Class]]="C",WORKDAY(Main[[#This Row],[Tech Start Date]],9),IF(Main[[#This Row],[Class]]="B", WORKDAY(Main[[#This Row],[Tech Start Date]],6),IF(Main[[#This Row],[Class]]="A",WORKDAY(Main[[#This Row],[Tech Start Date]],2),""))))</f>
        <v/>
      </c>
      <c r="N663" s="77" t="str">
        <f>IF(Main[[#This Row],[Tech Start Date]]&lt;1/1/1990,"",IF(Main[[#This Row],[Class]]="C",WORKDAY(Main[[#This Row],[Tech Start Date]],19),IF(Main[[#This Row],[Class]]="B", WORKDAY(Main[[#This Row],[Tech Start Date]],12),IF(Main[[#This Row],[Class]]="A",WORKDAY(Main[[#This Row],[Tech Start Date]],4),""))))</f>
        <v/>
      </c>
      <c r="O663" s="77" t="str">
        <f>IF(Main[[#This Row],[Tech Start Date]]&lt;1/1/1990,"",IF(Main[[#This Row],[Class]]="C",WORKDAY(Main[[#This Row],[Tech Start Date]],23),IF(Main[[#This Row],[Class]]="B", WORKDAY(Main[[#This Row],[Tech Start Date]],15),IF(Main[[#This Row],[Class]]="A",WORKDAY(Main[[#This Row],[Tech Start Date]],5),""))))</f>
        <v/>
      </c>
      <c r="P663" s="77" t="str">
        <f>IF(Main[[#This Row],[Tech Start Date]]&lt;1/1/1990,"",IF(Main[[#This Row],[Class]]="C",WORKDAY(Main[[#This Row],[Tech Start Date]],28),IF(Main[[#This Row],[Class]]="B", WORKDAY(Main[[#This Row],[Tech Start Date]],19),IF(Main[[#This Row],[Class]]="A",WORKDAY(Main[[#This Row],[Tech Start Date]],9),""))))</f>
        <v/>
      </c>
      <c r="Q663" s="74">
        <v>40597</v>
      </c>
      <c r="R663" s="74"/>
      <c r="S663" s="72" t="s">
        <v>49</v>
      </c>
      <c r="T663" s="80" t="s">
        <v>4</v>
      </c>
      <c r="U663" s="72" t="s">
        <v>12</v>
      </c>
      <c r="V663" s="72" t="s">
        <v>1938</v>
      </c>
      <c r="W663" s="72" t="s">
        <v>1939</v>
      </c>
      <c r="X663" s="72" t="s">
        <v>568</v>
      </c>
      <c r="Y663" s="72" t="s">
        <v>3214</v>
      </c>
      <c r="Z663" s="72" t="s">
        <v>4</v>
      </c>
    </row>
    <row r="664" spans="1:26" ht="18.600000000000001" customHeight="1">
      <c r="A664" s="142" t="str">
        <f>IF(priority(Main[[#This Row],[Comments]])&lt;&gt;0, priority(Main[[#This Row],[Comments]]),"")</f>
        <v/>
      </c>
      <c r="B664" s="90" t="s">
        <v>1561</v>
      </c>
      <c r="C664" s="72" t="s">
        <v>4</v>
      </c>
      <c r="D664" s="73" t="s">
        <v>582</v>
      </c>
      <c r="E664" s="74"/>
      <c r="F664" s="74"/>
      <c r="G664" s="75" t="str">
        <f>IF(stdProdLT(Main[[#This Row],[Comments]])=0.1,"N/A",IF(stdProdLT(Main[[#This Row],[Comments]])=0,"",stdProdLT(Main[[#This Row],[Comments]])))</f>
        <v/>
      </c>
      <c r="H664" s="76" t="str">
        <f>IF(AND(Main[[#This Row],[In Stock Date]]&lt;&gt;"",Main[[#This Row],[Revised Due Date]]&lt;&gt;""),Main[[#This Row],[In Stock Date]]-Main[[#This Row],[Revised Due Date]],"")</f>
        <v/>
      </c>
      <c r="I664" s="72" t="s">
        <v>4</v>
      </c>
      <c r="J664" s="72" t="s">
        <v>4</v>
      </c>
      <c r="K664" s="72" t="s">
        <v>4</v>
      </c>
      <c r="L664" s="74"/>
      <c r="M664" s="77" t="str">
        <f>IF(Main[[#This Row],[Tech Start Date]]&lt;1/1/1990,"",IF(Main[[#This Row],[Class]]="C",WORKDAY(Main[[#This Row],[Tech Start Date]],9),IF(Main[[#This Row],[Class]]="B", WORKDAY(Main[[#This Row],[Tech Start Date]],6),IF(Main[[#This Row],[Class]]="A",WORKDAY(Main[[#This Row],[Tech Start Date]],2),""))))</f>
        <v/>
      </c>
      <c r="N664" s="77" t="str">
        <f>IF(Main[[#This Row],[Tech Start Date]]&lt;1/1/1990,"",IF(Main[[#This Row],[Class]]="C",WORKDAY(Main[[#This Row],[Tech Start Date]],19),IF(Main[[#This Row],[Class]]="B", WORKDAY(Main[[#This Row],[Tech Start Date]],12),IF(Main[[#This Row],[Class]]="A",WORKDAY(Main[[#This Row],[Tech Start Date]],4),""))))</f>
        <v/>
      </c>
      <c r="O664" s="77" t="str">
        <f>IF(Main[[#This Row],[Tech Start Date]]&lt;1/1/1990,"",IF(Main[[#This Row],[Class]]="C",WORKDAY(Main[[#This Row],[Tech Start Date]],23),IF(Main[[#This Row],[Class]]="B", WORKDAY(Main[[#This Row],[Tech Start Date]],15),IF(Main[[#This Row],[Class]]="A",WORKDAY(Main[[#This Row],[Tech Start Date]],5),""))))</f>
        <v/>
      </c>
      <c r="P664" s="77" t="str">
        <f>IF(Main[[#This Row],[Tech Start Date]]&lt;1/1/1990,"",IF(Main[[#This Row],[Class]]="C",WORKDAY(Main[[#This Row],[Tech Start Date]],28),IF(Main[[#This Row],[Class]]="B", WORKDAY(Main[[#This Row],[Tech Start Date]],19),IF(Main[[#This Row],[Class]]="A",WORKDAY(Main[[#This Row],[Tech Start Date]],9),""))))</f>
        <v/>
      </c>
      <c r="Q664" s="74">
        <v>40165</v>
      </c>
      <c r="R664" s="74"/>
      <c r="S664" s="72" t="s">
        <v>11</v>
      </c>
      <c r="T664" s="80" t="s">
        <v>4</v>
      </c>
      <c r="U664" s="72" t="s">
        <v>14</v>
      </c>
      <c r="V664" s="72" t="s">
        <v>1938</v>
      </c>
      <c r="W664" s="72" t="s">
        <v>1942</v>
      </c>
      <c r="X664" s="72" t="s">
        <v>2080</v>
      </c>
      <c r="Y664" s="72" t="s">
        <v>3216</v>
      </c>
      <c r="Z664" s="72" t="s">
        <v>4</v>
      </c>
    </row>
    <row r="665" spans="1:26" ht="18.600000000000001" customHeight="1">
      <c r="A665" s="142" t="str">
        <f>IF(priority(Main[[#This Row],[Comments]])&lt;&gt;0, priority(Main[[#This Row],[Comments]]),"")</f>
        <v/>
      </c>
      <c r="B665" s="90" t="s">
        <v>1838</v>
      </c>
      <c r="C665" s="72" t="s">
        <v>72</v>
      </c>
      <c r="D665" s="73" t="s">
        <v>880</v>
      </c>
      <c r="E665" s="74"/>
      <c r="F665" s="74">
        <v>40148</v>
      </c>
      <c r="G665" s="75" t="str">
        <f>IF(stdProdLT(Main[[#This Row],[Comments]])=0.1,"N/A",IF(stdProdLT(Main[[#This Row],[Comments]])=0,"",stdProdLT(Main[[#This Row],[Comments]])))</f>
        <v/>
      </c>
      <c r="H665" s="76">
        <f>IF(AND(Main[[#This Row],[In Stock Date]]&lt;&gt;"",Main[[#This Row],[Revised Due Date]]&lt;&gt;""),Main[[#This Row],[In Stock Date]]-Main[[#This Row],[Revised Due Date]],"")</f>
        <v>-143</v>
      </c>
      <c r="I665" s="72" t="s">
        <v>4</v>
      </c>
      <c r="J665" s="72" t="s">
        <v>4</v>
      </c>
      <c r="K665" s="72" t="s">
        <v>4</v>
      </c>
      <c r="L665" s="74"/>
      <c r="M665" s="77" t="str">
        <f>IF(Main[[#This Row],[Tech Start Date]]&lt;1/1/1990,"",IF(Main[[#This Row],[Class]]="C",WORKDAY(Main[[#This Row],[Tech Start Date]],9),IF(Main[[#This Row],[Class]]="B", WORKDAY(Main[[#This Row],[Tech Start Date]],6),IF(Main[[#This Row],[Class]]="A",WORKDAY(Main[[#This Row],[Tech Start Date]],2),""))))</f>
        <v/>
      </c>
      <c r="N665" s="77" t="str">
        <f>IF(Main[[#This Row],[Tech Start Date]]&lt;1/1/1990,"",IF(Main[[#This Row],[Class]]="C",WORKDAY(Main[[#This Row],[Tech Start Date]],19),IF(Main[[#This Row],[Class]]="B", WORKDAY(Main[[#This Row],[Tech Start Date]],12),IF(Main[[#This Row],[Class]]="A",WORKDAY(Main[[#This Row],[Tech Start Date]],4),""))))</f>
        <v/>
      </c>
      <c r="O665" s="77" t="str">
        <f>IF(Main[[#This Row],[Tech Start Date]]&lt;1/1/1990,"",IF(Main[[#This Row],[Class]]="C",WORKDAY(Main[[#This Row],[Tech Start Date]],23),IF(Main[[#This Row],[Class]]="B", WORKDAY(Main[[#This Row],[Tech Start Date]],15),IF(Main[[#This Row],[Class]]="A",WORKDAY(Main[[#This Row],[Tech Start Date]],5),""))))</f>
        <v/>
      </c>
      <c r="P665" s="77" t="str">
        <f>IF(Main[[#This Row],[Tech Start Date]]&lt;1/1/1990,"",IF(Main[[#This Row],[Class]]="C",WORKDAY(Main[[#This Row],[Tech Start Date]],28),IF(Main[[#This Row],[Class]]="B", WORKDAY(Main[[#This Row],[Tech Start Date]],19),IF(Main[[#This Row],[Class]]="A",WORKDAY(Main[[#This Row],[Tech Start Date]],9),""))))</f>
        <v/>
      </c>
      <c r="Q665" s="74">
        <v>40080</v>
      </c>
      <c r="R665" s="74">
        <v>40291</v>
      </c>
      <c r="S665" s="72" t="s">
        <v>6</v>
      </c>
      <c r="T665" s="80" t="s">
        <v>4</v>
      </c>
      <c r="U665" s="72" t="s">
        <v>14</v>
      </c>
      <c r="V665" s="72" t="s">
        <v>1938</v>
      </c>
      <c r="W665" s="72" t="s">
        <v>1945</v>
      </c>
      <c r="X665" s="72" t="s">
        <v>2976</v>
      </c>
      <c r="Y665" s="72" t="s">
        <v>3101</v>
      </c>
      <c r="Z665" s="72" t="s">
        <v>4</v>
      </c>
    </row>
    <row r="666" spans="1:26" ht="18.600000000000001" customHeight="1">
      <c r="A666" s="142" t="str">
        <f>IF(priority(Main[[#This Row],[Comments]])&lt;&gt;0, priority(Main[[#This Row],[Comments]]),"")</f>
        <v/>
      </c>
      <c r="B666" s="90" t="s">
        <v>1509</v>
      </c>
      <c r="C666" s="72" t="s">
        <v>4</v>
      </c>
      <c r="D666" s="73" t="s">
        <v>627</v>
      </c>
      <c r="E666" s="74">
        <v>40549.433692129627</v>
      </c>
      <c r="F666" s="74"/>
      <c r="G666" s="75" t="str">
        <f>IF(stdProdLT(Main[[#This Row],[Comments]])=0.1,"N/A",IF(stdProdLT(Main[[#This Row],[Comments]])=0,"",stdProdLT(Main[[#This Row],[Comments]])))</f>
        <v/>
      </c>
      <c r="H666" s="76" t="str">
        <f>IF(AND(Main[[#This Row],[In Stock Date]]&lt;&gt;"",Main[[#This Row],[Revised Due Date]]&lt;&gt;""),Main[[#This Row],[In Stock Date]]-Main[[#This Row],[Revised Due Date]],"")</f>
        <v/>
      </c>
      <c r="I666" s="72" t="s">
        <v>4</v>
      </c>
      <c r="J666" s="72" t="s">
        <v>4</v>
      </c>
      <c r="K666" s="72" t="s">
        <v>4</v>
      </c>
      <c r="L666" s="74"/>
      <c r="M666" s="77" t="str">
        <f>IF(Main[[#This Row],[Tech Start Date]]&lt;1/1/1990,"",IF(Main[[#This Row],[Class]]="C",WORKDAY(Main[[#This Row],[Tech Start Date]],9),IF(Main[[#This Row],[Class]]="B", WORKDAY(Main[[#This Row],[Tech Start Date]],6),IF(Main[[#This Row],[Class]]="A",WORKDAY(Main[[#This Row],[Tech Start Date]],2),""))))</f>
        <v/>
      </c>
      <c r="N666" s="77" t="str">
        <f>IF(Main[[#This Row],[Tech Start Date]]&lt;1/1/1990,"",IF(Main[[#This Row],[Class]]="C",WORKDAY(Main[[#This Row],[Tech Start Date]],19),IF(Main[[#This Row],[Class]]="B", WORKDAY(Main[[#This Row],[Tech Start Date]],12),IF(Main[[#This Row],[Class]]="A",WORKDAY(Main[[#This Row],[Tech Start Date]],4),""))))</f>
        <v/>
      </c>
      <c r="O666" s="77" t="str">
        <f>IF(Main[[#This Row],[Tech Start Date]]&lt;1/1/1990,"",IF(Main[[#This Row],[Class]]="C",WORKDAY(Main[[#This Row],[Tech Start Date]],23),IF(Main[[#This Row],[Class]]="B", WORKDAY(Main[[#This Row],[Tech Start Date]],15),IF(Main[[#This Row],[Class]]="A",WORKDAY(Main[[#This Row],[Tech Start Date]],5),""))))</f>
        <v/>
      </c>
      <c r="P666" s="77" t="str">
        <f>IF(Main[[#This Row],[Tech Start Date]]&lt;1/1/1990,"",IF(Main[[#This Row],[Class]]="C",WORKDAY(Main[[#This Row],[Tech Start Date]],28),IF(Main[[#This Row],[Class]]="B", WORKDAY(Main[[#This Row],[Tech Start Date]],19),IF(Main[[#This Row],[Class]]="A",WORKDAY(Main[[#This Row],[Tech Start Date]],9),""))))</f>
        <v/>
      </c>
      <c r="Q666" s="74">
        <v>40577</v>
      </c>
      <c r="R666" s="74"/>
      <c r="S666" s="72" t="s">
        <v>6</v>
      </c>
      <c r="T666" s="80" t="s">
        <v>4</v>
      </c>
      <c r="U666" s="72" t="s">
        <v>7</v>
      </c>
      <c r="V666" s="72" t="s">
        <v>1937</v>
      </c>
      <c r="W666" s="72" t="s">
        <v>1939</v>
      </c>
      <c r="X666" s="72" t="s">
        <v>2973</v>
      </c>
      <c r="Y666" s="72" t="s">
        <v>3094</v>
      </c>
      <c r="Z666" s="72" t="s">
        <v>4</v>
      </c>
    </row>
    <row r="667" spans="1:26" ht="18.600000000000001" customHeight="1">
      <c r="A667" s="142" t="str">
        <f>IF(priority(Main[[#This Row],[Comments]])&lt;&gt;0, priority(Main[[#This Row],[Comments]]),"")</f>
        <v/>
      </c>
      <c r="B667" s="90" t="s">
        <v>1510</v>
      </c>
      <c r="C667" s="72" t="s">
        <v>4</v>
      </c>
      <c r="D667" s="73" t="s">
        <v>628</v>
      </c>
      <c r="E667" s="74">
        <v>40371.36078703704</v>
      </c>
      <c r="F667" s="74"/>
      <c r="G667" s="75" t="str">
        <f>IF(stdProdLT(Main[[#This Row],[Comments]])=0.1,"N/A",IF(stdProdLT(Main[[#This Row],[Comments]])=0,"",stdProdLT(Main[[#This Row],[Comments]])))</f>
        <v/>
      </c>
      <c r="H667" s="76" t="str">
        <f>IF(AND(Main[[#This Row],[In Stock Date]]&lt;&gt;"",Main[[#This Row],[Revised Due Date]]&lt;&gt;""),Main[[#This Row],[In Stock Date]]-Main[[#This Row],[Revised Due Date]],"")</f>
        <v/>
      </c>
      <c r="I667" s="72" t="s">
        <v>4</v>
      </c>
      <c r="J667" s="72" t="s">
        <v>4</v>
      </c>
      <c r="K667" s="72" t="s">
        <v>4</v>
      </c>
      <c r="L667" s="74"/>
      <c r="M667" s="77" t="str">
        <f>IF(Main[[#This Row],[Tech Start Date]]&lt;1/1/1990,"",IF(Main[[#This Row],[Class]]="C",WORKDAY(Main[[#This Row],[Tech Start Date]],9),IF(Main[[#This Row],[Class]]="B", WORKDAY(Main[[#This Row],[Tech Start Date]],6),IF(Main[[#This Row],[Class]]="A",WORKDAY(Main[[#This Row],[Tech Start Date]],2),""))))</f>
        <v/>
      </c>
      <c r="N667" s="77" t="str">
        <f>IF(Main[[#This Row],[Tech Start Date]]&lt;1/1/1990,"",IF(Main[[#This Row],[Class]]="C",WORKDAY(Main[[#This Row],[Tech Start Date]],19),IF(Main[[#This Row],[Class]]="B", WORKDAY(Main[[#This Row],[Tech Start Date]],12),IF(Main[[#This Row],[Class]]="A",WORKDAY(Main[[#This Row],[Tech Start Date]],4),""))))</f>
        <v/>
      </c>
      <c r="O667" s="77" t="str">
        <f>IF(Main[[#This Row],[Tech Start Date]]&lt;1/1/1990,"",IF(Main[[#This Row],[Class]]="C",WORKDAY(Main[[#This Row],[Tech Start Date]],23),IF(Main[[#This Row],[Class]]="B", WORKDAY(Main[[#This Row],[Tech Start Date]],15),IF(Main[[#This Row],[Class]]="A",WORKDAY(Main[[#This Row],[Tech Start Date]],5),""))))</f>
        <v/>
      </c>
      <c r="P667" s="77" t="str">
        <f>IF(Main[[#This Row],[Tech Start Date]]&lt;1/1/1990,"",IF(Main[[#This Row],[Class]]="C",WORKDAY(Main[[#This Row],[Tech Start Date]],28),IF(Main[[#This Row],[Class]]="B", WORKDAY(Main[[#This Row],[Tech Start Date]],19),IF(Main[[#This Row],[Class]]="A",WORKDAY(Main[[#This Row],[Tech Start Date]],9),""))))</f>
        <v/>
      </c>
      <c r="Q667" s="74">
        <v>40385</v>
      </c>
      <c r="R667" s="74"/>
      <c r="S667" s="72" t="s">
        <v>6</v>
      </c>
      <c r="T667" s="80" t="s">
        <v>4</v>
      </c>
      <c r="U667" s="72" t="s">
        <v>7</v>
      </c>
      <c r="V667" s="72" t="s">
        <v>1937</v>
      </c>
      <c r="W667" s="72" t="s">
        <v>1939</v>
      </c>
      <c r="X667" s="72" t="s">
        <v>102</v>
      </c>
      <c r="Y667" s="72" t="s">
        <v>3190</v>
      </c>
      <c r="Z667" s="72" t="s">
        <v>4</v>
      </c>
    </row>
    <row r="668" spans="1:26" ht="18.600000000000001" customHeight="1">
      <c r="A668" s="142" t="str">
        <f>IF(priority(Main[[#This Row],[Comments]])&lt;&gt;0, priority(Main[[#This Row],[Comments]]),"")</f>
        <v/>
      </c>
      <c r="B668" s="90" t="s">
        <v>1511</v>
      </c>
      <c r="C668" s="72" t="s">
        <v>629</v>
      </c>
      <c r="D668" s="73" t="s">
        <v>630</v>
      </c>
      <c r="E668" s="74"/>
      <c r="F668" s="74">
        <v>40396</v>
      </c>
      <c r="G668" s="75" t="str">
        <f>IF(stdProdLT(Main[[#This Row],[Comments]])=0.1,"N/A",IF(stdProdLT(Main[[#This Row],[Comments]])=0,"",stdProdLT(Main[[#This Row],[Comments]])))</f>
        <v/>
      </c>
      <c r="H668" s="76" t="str">
        <f>IF(AND(Main[[#This Row],[In Stock Date]]&lt;&gt;"",Main[[#This Row],[Revised Due Date]]&lt;&gt;""),Main[[#This Row],[In Stock Date]]-Main[[#This Row],[Revised Due Date]],"")</f>
        <v/>
      </c>
      <c r="I668" s="72" t="s">
        <v>4</v>
      </c>
      <c r="J668" s="72" t="s">
        <v>4</v>
      </c>
      <c r="K668" s="72" t="s">
        <v>4</v>
      </c>
      <c r="L668" s="74"/>
      <c r="M668" s="77" t="str">
        <f>IF(Main[[#This Row],[Tech Start Date]]&lt;1/1/1990,"",IF(Main[[#This Row],[Class]]="C",WORKDAY(Main[[#This Row],[Tech Start Date]],9),IF(Main[[#This Row],[Class]]="B", WORKDAY(Main[[#This Row],[Tech Start Date]],6),IF(Main[[#This Row],[Class]]="A",WORKDAY(Main[[#This Row],[Tech Start Date]],2),""))))</f>
        <v/>
      </c>
      <c r="N668" s="77" t="str">
        <f>IF(Main[[#This Row],[Tech Start Date]]&lt;1/1/1990,"",IF(Main[[#This Row],[Class]]="C",WORKDAY(Main[[#This Row],[Tech Start Date]],19),IF(Main[[#This Row],[Class]]="B", WORKDAY(Main[[#This Row],[Tech Start Date]],12),IF(Main[[#This Row],[Class]]="A",WORKDAY(Main[[#This Row],[Tech Start Date]],4),""))))</f>
        <v/>
      </c>
      <c r="O668" s="77" t="str">
        <f>IF(Main[[#This Row],[Tech Start Date]]&lt;1/1/1990,"",IF(Main[[#This Row],[Class]]="C",WORKDAY(Main[[#This Row],[Tech Start Date]],23),IF(Main[[#This Row],[Class]]="B", WORKDAY(Main[[#This Row],[Tech Start Date]],15),IF(Main[[#This Row],[Class]]="A",WORKDAY(Main[[#This Row],[Tech Start Date]],5),""))))</f>
        <v/>
      </c>
      <c r="P668" s="77" t="str">
        <f>IF(Main[[#This Row],[Tech Start Date]]&lt;1/1/1990,"",IF(Main[[#This Row],[Class]]="C",WORKDAY(Main[[#This Row],[Tech Start Date]],28),IF(Main[[#This Row],[Class]]="B", WORKDAY(Main[[#This Row],[Tech Start Date]],19),IF(Main[[#This Row],[Class]]="A",WORKDAY(Main[[#This Row],[Tech Start Date]],9),""))))</f>
        <v/>
      </c>
      <c r="Q668" s="74"/>
      <c r="R668" s="74"/>
      <c r="S668" s="72" t="s">
        <v>11</v>
      </c>
      <c r="T668" s="80" t="s">
        <v>4</v>
      </c>
      <c r="U668" s="72" t="s">
        <v>14</v>
      </c>
      <c r="V668" s="72" t="s">
        <v>1937</v>
      </c>
      <c r="W668" s="72" t="s">
        <v>1943</v>
      </c>
      <c r="X668" s="72" t="s">
        <v>2972</v>
      </c>
      <c r="Y668" s="72" t="s">
        <v>3217</v>
      </c>
      <c r="Z668" s="72" t="s">
        <v>4</v>
      </c>
    </row>
    <row r="669" spans="1:26" ht="18.600000000000001" customHeight="1">
      <c r="A669" s="142" t="str">
        <f>IF(priority(Main[[#This Row],[Comments]])&lt;&gt;0, priority(Main[[#This Row],[Comments]]),"")</f>
        <v/>
      </c>
      <c r="B669" s="90" t="s">
        <v>1512</v>
      </c>
      <c r="C669" s="72" t="s">
        <v>93</v>
      </c>
      <c r="D669" s="73" t="s">
        <v>631</v>
      </c>
      <c r="E669" s="74"/>
      <c r="F669" s="74">
        <v>40238</v>
      </c>
      <c r="G669" s="75" t="str">
        <f>IF(stdProdLT(Main[[#This Row],[Comments]])=0.1,"N/A",IF(stdProdLT(Main[[#This Row],[Comments]])=0,"",stdProdLT(Main[[#This Row],[Comments]])))</f>
        <v/>
      </c>
      <c r="H669" s="76" t="str">
        <f>IF(AND(Main[[#This Row],[In Stock Date]]&lt;&gt;"",Main[[#This Row],[Revised Due Date]]&lt;&gt;""),Main[[#This Row],[In Stock Date]]-Main[[#This Row],[Revised Due Date]],"")</f>
        <v/>
      </c>
      <c r="I669" s="72" t="s">
        <v>4</v>
      </c>
      <c r="J669" s="72" t="s">
        <v>4</v>
      </c>
      <c r="K669" s="72" t="s">
        <v>4</v>
      </c>
      <c r="L669" s="74"/>
      <c r="M669" s="77" t="str">
        <f>IF(Main[[#This Row],[Tech Start Date]]&lt;1/1/1990,"",IF(Main[[#This Row],[Class]]="C",WORKDAY(Main[[#This Row],[Tech Start Date]],9),IF(Main[[#This Row],[Class]]="B", WORKDAY(Main[[#This Row],[Tech Start Date]],6),IF(Main[[#This Row],[Class]]="A",WORKDAY(Main[[#This Row],[Tech Start Date]],2),""))))</f>
        <v/>
      </c>
      <c r="N669" s="77" t="str">
        <f>IF(Main[[#This Row],[Tech Start Date]]&lt;1/1/1990,"",IF(Main[[#This Row],[Class]]="C",WORKDAY(Main[[#This Row],[Tech Start Date]],19),IF(Main[[#This Row],[Class]]="B", WORKDAY(Main[[#This Row],[Tech Start Date]],12),IF(Main[[#This Row],[Class]]="A",WORKDAY(Main[[#This Row],[Tech Start Date]],4),""))))</f>
        <v/>
      </c>
      <c r="O669" s="77" t="str">
        <f>IF(Main[[#This Row],[Tech Start Date]]&lt;1/1/1990,"",IF(Main[[#This Row],[Class]]="C",WORKDAY(Main[[#This Row],[Tech Start Date]],23),IF(Main[[#This Row],[Class]]="B", WORKDAY(Main[[#This Row],[Tech Start Date]],15),IF(Main[[#This Row],[Class]]="A",WORKDAY(Main[[#This Row],[Tech Start Date]],5),""))))</f>
        <v/>
      </c>
      <c r="P669" s="77" t="str">
        <f>IF(Main[[#This Row],[Tech Start Date]]&lt;1/1/1990,"",IF(Main[[#This Row],[Class]]="C",WORKDAY(Main[[#This Row],[Tech Start Date]],28),IF(Main[[#This Row],[Class]]="B", WORKDAY(Main[[#This Row],[Tech Start Date]],19),IF(Main[[#This Row],[Class]]="A",WORKDAY(Main[[#This Row],[Tech Start Date]],9),""))))</f>
        <v/>
      </c>
      <c r="Q669" s="74">
        <v>40173</v>
      </c>
      <c r="R669" s="74"/>
      <c r="S669" s="72" t="s">
        <v>11</v>
      </c>
      <c r="T669" s="80" t="s">
        <v>4</v>
      </c>
      <c r="U669" s="72" t="s">
        <v>14</v>
      </c>
      <c r="V669" s="72" t="s">
        <v>1937</v>
      </c>
      <c r="W669" s="72" t="s">
        <v>1943</v>
      </c>
      <c r="X669" s="72" t="s">
        <v>3023</v>
      </c>
      <c r="Y669" s="72" t="s">
        <v>4</v>
      </c>
      <c r="Z669" s="72" t="s">
        <v>4</v>
      </c>
    </row>
    <row r="670" spans="1:26" ht="18.600000000000001" customHeight="1">
      <c r="A670" s="142" t="str">
        <f>IF(priority(Main[[#This Row],[Comments]])&lt;&gt;0, priority(Main[[#This Row],[Comments]]),"")</f>
        <v/>
      </c>
      <c r="B670" s="90" t="s">
        <v>1513</v>
      </c>
      <c r="C670" s="72" t="s">
        <v>4</v>
      </c>
      <c r="D670" s="73" t="s">
        <v>97</v>
      </c>
      <c r="E670" s="74"/>
      <c r="F670" s="74"/>
      <c r="G670" s="75" t="str">
        <f>IF(stdProdLT(Main[[#This Row],[Comments]])=0.1,"N/A",IF(stdProdLT(Main[[#This Row],[Comments]])=0,"",stdProdLT(Main[[#This Row],[Comments]])))</f>
        <v/>
      </c>
      <c r="H670" s="76" t="str">
        <f>IF(AND(Main[[#This Row],[In Stock Date]]&lt;&gt;"",Main[[#This Row],[Revised Due Date]]&lt;&gt;""),Main[[#This Row],[In Stock Date]]-Main[[#This Row],[Revised Due Date]],"")</f>
        <v/>
      </c>
      <c r="I670" s="72" t="s">
        <v>4</v>
      </c>
      <c r="J670" s="72" t="s">
        <v>4</v>
      </c>
      <c r="K670" s="81" t="s">
        <v>4</v>
      </c>
      <c r="L670" s="74"/>
      <c r="M670" s="77" t="str">
        <f>IF(Main[[#This Row],[Tech Start Date]]&lt;1/1/1990,"",IF(Main[[#This Row],[Class]]="C",WORKDAY(Main[[#This Row],[Tech Start Date]],9),IF(Main[[#This Row],[Class]]="B", WORKDAY(Main[[#This Row],[Tech Start Date]],6),IF(Main[[#This Row],[Class]]="A",WORKDAY(Main[[#This Row],[Tech Start Date]],2),""))))</f>
        <v/>
      </c>
      <c r="N670" s="77" t="str">
        <f>IF(Main[[#This Row],[Tech Start Date]]&lt;1/1/1990,"",IF(Main[[#This Row],[Class]]="C",WORKDAY(Main[[#This Row],[Tech Start Date]],19),IF(Main[[#This Row],[Class]]="B", WORKDAY(Main[[#This Row],[Tech Start Date]],12),IF(Main[[#This Row],[Class]]="A",WORKDAY(Main[[#This Row],[Tech Start Date]],4),""))))</f>
        <v/>
      </c>
      <c r="O670" s="77" t="str">
        <f>IF(Main[[#This Row],[Tech Start Date]]&lt;1/1/1990,"",IF(Main[[#This Row],[Class]]="C",WORKDAY(Main[[#This Row],[Tech Start Date]],23),IF(Main[[#This Row],[Class]]="B", WORKDAY(Main[[#This Row],[Tech Start Date]],15),IF(Main[[#This Row],[Class]]="A",WORKDAY(Main[[#This Row],[Tech Start Date]],5),""))))</f>
        <v/>
      </c>
      <c r="P670" s="77" t="str">
        <f>IF(Main[[#This Row],[Tech Start Date]]&lt;1/1/1990,"",IF(Main[[#This Row],[Class]]="C",WORKDAY(Main[[#This Row],[Tech Start Date]],28),IF(Main[[#This Row],[Class]]="B", WORKDAY(Main[[#This Row],[Tech Start Date]],19),IF(Main[[#This Row],[Class]]="A",WORKDAY(Main[[#This Row],[Tech Start Date]],9),""))))</f>
        <v/>
      </c>
      <c r="Q670" s="74">
        <v>40858</v>
      </c>
      <c r="R670" s="74"/>
      <c r="S670" s="72" t="s">
        <v>17</v>
      </c>
      <c r="T670" s="80" t="s">
        <v>4</v>
      </c>
      <c r="U670" s="72" t="s">
        <v>14</v>
      </c>
      <c r="V670" s="72" t="s">
        <v>1937</v>
      </c>
      <c r="W670" s="72" t="s">
        <v>1942</v>
      </c>
      <c r="X670" s="72" t="s">
        <v>50</v>
      </c>
      <c r="Y670" s="72" t="s">
        <v>3117</v>
      </c>
      <c r="Z670" s="72" t="s">
        <v>4</v>
      </c>
    </row>
    <row r="671" spans="1:26" ht="18.600000000000001" customHeight="1">
      <c r="A671" s="142" t="str">
        <f>IF(priority(Main[[#This Row],[Comments]])&lt;&gt;0, priority(Main[[#This Row],[Comments]]),"")</f>
        <v/>
      </c>
      <c r="B671" s="90" t="s">
        <v>1514</v>
      </c>
      <c r="C671" s="72" t="s">
        <v>4</v>
      </c>
      <c r="D671" s="73" t="s">
        <v>39</v>
      </c>
      <c r="E671" s="74"/>
      <c r="F671" s="74"/>
      <c r="G671" s="75" t="str">
        <f>IF(stdProdLT(Main[[#This Row],[Comments]])=0.1,"N/A",IF(stdProdLT(Main[[#This Row],[Comments]])=0,"",stdProdLT(Main[[#This Row],[Comments]])))</f>
        <v/>
      </c>
      <c r="H671" s="76" t="str">
        <f>IF(AND(Main[[#This Row],[In Stock Date]]&lt;&gt;"",Main[[#This Row],[Revised Due Date]]&lt;&gt;""),Main[[#This Row],[In Stock Date]]-Main[[#This Row],[Revised Due Date]],"")</f>
        <v/>
      </c>
      <c r="I671" s="72" t="s">
        <v>4</v>
      </c>
      <c r="J671" s="72" t="s">
        <v>4</v>
      </c>
      <c r="K671" s="72" t="s">
        <v>4</v>
      </c>
      <c r="L671" s="74"/>
      <c r="M671" s="77" t="str">
        <f>IF(Main[[#This Row],[Tech Start Date]]&lt;1/1/1990,"",IF(Main[[#This Row],[Class]]="C",WORKDAY(Main[[#This Row],[Tech Start Date]],9),IF(Main[[#This Row],[Class]]="B", WORKDAY(Main[[#This Row],[Tech Start Date]],6),IF(Main[[#This Row],[Class]]="A",WORKDAY(Main[[#This Row],[Tech Start Date]],2),""))))</f>
        <v/>
      </c>
      <c r="N671" s="77" t="str">
        <f>IF(Main[[#This Row],[Tech Start Date]]&lt;1/1/1990,"",IF(Main[[#This Row],[Class]]="C",WORKDAY(Main[[#This Row],[Tech Start Date]],19),IF(Main[[#This Row],[Class]]="B", WORKDAY(Main[[#This Row],[Tech Start Date]],12),IF(Main[[#This Row],[Class]]="A",WORKDAY(Main[[#This Row],[Tech Start Date]],4),""))))</f>
        <v/>
      </c>
      <c r="O671" s="77" t="str">
        <f>IF(Main[[#This Row],[Tech Start Date]]&lt;1/1/1990,"",IF(Main[[#This Row],[Class]]="C",WORKDAY(Main[[#This Row],[Tech Start Date]],23),IF(Main[[#This Row],[Class]]="B", WORKDAY(Main[[#This Row],[Tech Start Date]],15),IF(Main[[#This Row],[Class]]="A",WORKDAY(Main[[#This Row],[Tech Start Date]],5),""))))</f>
        <v/>
      </c>
      <c r="P671" s="77" t="str">
        <f>IF(Main[[#This Row],[Tech Start Date]]&lt;1/1/1990,"",IF(Main[[#This Row],[Class]]="C",WORKDAY(Main[[#This Row],[Tech Start Date]],28),IF(Main[[#This Row],[Class]]="B", WORKDAY(Main[[#This Row],[Tech Start Date]],19),IF(Main[[#This Row],[Class]]="A",WORKDAY(Main[[#This Row],[Tech Start Date]],9),""))))</f>
        <v/>
      </c>
      <c r="Q671" s="74">
        <v>40669</v>
      </c>
      <c r="R671" s="74"/>
      <c r="S671" s="72" t="s">
        <v>6</v>
      </c>
      <c r="T671" s="80" t="s">
        <v>4</v>
      </c>
      <c r="U671" s="72" t="s">
        <v>14</v>
      </c>
      <c r="V671" s="72" t="s">
        <v>1940</v>
      </c>
      <c r="W671" s="72" t="s">
        <v>4</v>
      </c>
      <c r="X671" s="72" t="s">
        <v>2970</v>
      </c>
      <c r="Y671" s="72" t="s">
        <v>3087</v>
      </c>
      <c r="Z671" s="72" t="s">
        <v>4</v>
      </c>
    </row>
    <row r="672" spans="1:26" ht="18.600000000000001" customHeight="1">
      <c r="A672" s="142" t="str">
        <f>IF(priority(Main[[#This Row],[Comments]])&lt;&gt;0, priority(Main[[#This Row],[Comments]]),"")</f>
        <v/>
      </c>
      <c r="B672" s="90" t="s">
        <v>1515</v>
      </c>
      <c r="C672" s="72" t="s">
        <v>4</v>
      </c>
      <c r="D672" s="73" t="s">
        <v>605</v>
      </c>
      <c r="E672" s="74"/>
      <c r="F672" s="74"/>
      <c r="G672" s="75" t="str">
        <f>IF(stdProdLT(Main[[#This Row],[Comments]])=0.1,"N/A",IF(stdProdLT(Main[[#This Row],[Comments]])=0,"",stdProdLT(Main[[#This Row],[Comments]])))</f>
        <v/>
      </c>
      <c r="H672" s="76" t="str">
        <f>IF(AND(Main[[#This Row],[In Stock Date]]&lt;&gt;"",Main[[#This Row],[Revised Due Date]]&lt;&gt;""),Main[[#This Row],[In Stock Date]]-Main[[#This Row],[Revised Due Date]],"")</f>
        <v/>
      </c>
      <c r="I672" s="72" t="s">
        <v>4</v>
      </c>
      <c r="J672" s="72" t="s">
        <v>28</v>
      </c>
      <c r="K672" s="81" t="s">
        <v>4</v>
      </c>
      <c r="L672" s="74"/>
      <c r="M672" s="77" t="str">
        <f>IF(Main[[#This Row],[Tech Start Date]]&lt;1/1/1990,"",IF(Main[[#This Row],[Class]]="C",WORKDAY(Main[[#This Row],[Tech Start Date]],9),IF(Main[[#This Row],[Class]]="B", WORKDAY(Main[[#This Row],[Tech Start Date]],6),IF(Main[[#This Row],[Class]]="A",WORKDAY(Main[[#This Row],[Tech Start Date]],2),""))))</f>
        <v/>
      </c>
      <c r="N672" s="77" t="str">
        <f>IF(Main[[#This Row],[Tech Start Date]]&lt;1/1/1990,"",IF(Main[[#This Row],[Class]]="C",WORKDAY(Main[[#This Row],[Tech Start Date]],19),IF(Main[[#This Row],[Class]]="B", WORKDAY(Main[[#This Row],[Tech Start Date]],12),IF(Main[[#This Row],[Class]]="A",WORKDAY(Main[[#This Row],[Tech Start Date]],4),""))))</f>
        <v/>
      </c>
      <c r="O672" s="77" t="str">
        <f>IF(Main[[#This Row],[Tech Start Date]]&lt;1/1/1990,"",IF(Main[[#This Row],[Class]]="C",WORKDAY(Main[[#This Row],[Tech Start Date]],23),IF(Main[[#This Row],[Class]]="B", WORKDAY(Main[[#This Row],[Tech Start Date]],15),IF(Main[[#This Row],[Class]]="A",WORKDAY(Main[[#This Row],[Tech Start Date]],5),""))))</f>
        <v/>
      </c>
      <c r="P672" s="77" t="str">
        <f>IF(Main[[#This Row],[Tech Start Date]]&lt;1/1/1990,"",IF(Main[[#This Row],[Class]]="C",WORKDAY(Main[[#This Row],[Tech Start Date]],28),IF(Main[[#This Row],[Class]]="B", WORKDAY(Main[[#This Row],[Tech Start Date]],19),IF(Main[[#This Row],[Class]]="A",WORKDAY(Main[[#This Row],[Tech Start Date]],9),""))))</f>
        <v/>
      </c>
      <c r="Q672" s="74">
        <v>40482</v>
      </c>
      <c r="R672" s="74"/>
      <c r="S672" s="72" t="s">
        <v>6</v>
      </c>
      <c r="T672" s="80" t="s">
        <v>4</v>
      </c>
      <c r="U672" s="72" t="s">
        <v>14</v>
      </c>
      <c r="V672" s="72" t="s">
        <v>1940</v>
      </c>
      <c r="W672" s="72" t="s">
        <v>1941</v>
      </c>
      <c r="X672" s="72" t="s">
        <v>3039</v>
      </c>
      <c r="Y672" s="72" t="s">
        <v>3201</v>
      </c>
      <c r="Z672" s="72" t="s">
        <v>536</v>
      </c>
    </row>
    <row r="673" spans="1:26" ht="18.600000000000001" customHeight="1">
      <c r="A673" s="142" t="str">
        <f>IF(priority(Main[[#This Row],[Comments]])&lt;&gt;0, priority(Main[[#This Row],[Comments]]),"")</f>
        <v/>
      </c>
      <c r="B673" s="90" t="s">
        <v>2120</v>
      </c>
      <c r="C673" s="72" t="s">
        <v>4</v>
      </c>
      <c r="D673" s="73" t="s">
        <v>2121</v>
      </c>
      <c r="E673" s="74"/>
      <c r="F673" s="74"/>
      <c r="G673" s="75" t="str">
        <f>IF(stdProdLT(Main[[#This Row],[Comments]])=0.1,"N/A",IF(stdProdLT(Main[[#This Row],[Comments]])=0,"",stdProdLT(Main[[#This Row],[Comments]])))</f>
        <v/>
      </c>
      <c r="H673" s="76" t="str">
        <f>IF(AND(Main[[#This Row],[In Stock Date]]&lt;&gt;"",Main[[#This Row],[Revised Due Date]]&lt;&gt;""),Main[[#This Row],[In Stock Date]]-Main[[#This Row],[Revised Due Date]],"")</f>
        <v/>
      </c>
      <c r="I673" s="72" t="s">
        <v>4</v>
      </c>
      <c r="J673" s="72" t="s">
        <v>4</v>
      </c>
      <c r="K673" s="72" t="s">
        <v>4</v>
      </c>
      <c r="L673" s="74"/>
      <c r="M673" s="77" t="str">
        <f>IF(Main[[#This Row],[Tech Start Date]]&lt;1/1/1990,"",IF(Main[[#This Row],[Class]]="C",WORKDAY(Main[[#This Row],[Tech Start Date]],9),IF(Main[[#This Row],[Class]]="B", WORKDAY(Main[[#This Row],[Tech Start Date]],6),IF(Main[[#This Row],[Class]]="A",WORKDAY(Main[[#This Row],[Tech Start Date]],2),""))))</f>
        <v/>
      </c>
      <c r="N673" s="77" t="str">
        <f>IF(Main[[#This Row],[Tech Start Date]]&lt;1/1/1990,"",IF(Main[[#This Row],[Class]]="C",WORKDAY(Main[[#This Row],[Tech Start Date]],19),IF(Main[[#This Row],[Class]]="B", WORKDAY(Main[[#This Row],[Tech Start Date]],12),IF(Main[[#This Row],[Class]]="A",WORKDAY(Main[[#This Row],[Tech Start Date]],4),""))))</f>
        <v/>
      </c>
      <c r="O673" s="77" t="str">
        <f>IF(Main[[#This Row],[Tech Start Date]]&lt;1/1/1990,"",IF(Main[[#This Row],[Class]]="C",WORKDAY(Main[[#This Row],[Tech Start Date]],23),IF(Main[[#This Row],[Class]]="B", WORKDAY(Main[[#This Row],[Tech Start Date]],15),IF(Main[[#This Row],[Class]]="A",WORKDAY(Main[[#This Row],[Tech Start Date]],5),""))))</f>
        <v/>
      </c>
      <c r="P673" s="77" t="str">
        <f>IF(Main[[#This Row],[Tech Start Date]]&lt;1/1/1990,"",IF(Main[[#This Row],[Class]]="C",WORKDAY(Main[[#This Row],[Tech Start Date]],28),IF(Main[[#This Row],[Class]]="B", WORKDAY(Main[[#This Row],[Tech Start Date]],19),IF(Main[[#This Row],[Class]]="A",WORKDAY(Main[[#This Row],[Tech Start Date]],9),""))))</f>
        <v/>
      </c>
      <c r="Q673" s="74"/>
      <c r="R673" s="74"/>
      <c r="S673" s="72" t="s">
        <v>6</v>
      </c>
      <c r="T673" s="80" t="s">
        <v>4</v>
      </c>
      <c r="U673" s="72" t="s">
        <v>14</v>
      </c>
      <c r="V673" s="72" t="s">
        <v>1940</v>
      </c>
      <c r="W673" s="72" t="s">
        <v>1941</v>
      </c>
      <c r="X673" s="72" t="s">
        <v>311</v>
      </c>
      <c r="Y673" s="72" t="s">
        <v>4</v>
      </c>
      <c r="Z673" s="72" t="s">
        <v>4</v>
      </c>
    </row>
    <row r="674" spans="1:26" ht="18.600000000000001" customHeight="1">
      <c r="A674" s="142" t="str">
        <f>IF(priority(Main[[#This Row],[Comments]])&lt;&gt;0, priority(Main[[#This Row],[Comments]]),"")</f>
        <v/>
      </c>
      <c r="B674" s="90" t="s">
        <v>1517</v>
      </c>
      <c r="C674" s="72" t="s">
        <v>607</v>
      </c>
      <c r="D674" s="73" t="s">
        <v>608</v>
      </c>
      <c r="E674" s="74"/>
      <c r="F674" s="74"/>
      <c r="G674" s="75" t="str">
        <f>IF(stdProdLT(Main[[#This Row],[Comments]])=0.1,"N/A",IF(stdProdLT(Main[[#This Row],[Comments]])=0,"",stdProdLT(Main[[#This Row],[Comments]])))</f>
        <v/>
      </c>
      <c r="H674" s="76" t="str">
        <f>IF(AND(Main[[#This Row],[In Stock Date]]&lt;&gt;"",Main[[#This Row],[Revised Due Date]]&lt;&gt;""),Main[[#This Row],[In Stock Date]]-Main[[#This Row],[Revised Due Date]],"")</f>
        <v/>
      </c>
      <c r="I674" s="72" t="s">
        <v>4</v>
      </c>
      <c r="J674" s="72" t="s">
        <v>4</v>
      </c>
      <c r="K674" s="72" t="s">
        <v>4</v>
      </c>
      <c r="L674" s="74"/>
      <c r="M674" s="77" t="str">
        <f>IF(Main[[#This Row],[Tech Start Date]]&lt;1/1/1990,"",IF(Main[[#This Row],[Class]]="C",WORKDAY(Main[[#This Row],[Tech Start Date]],9),IF(Main[[#This Row],[Class]]="B", WORKDAY(Main[[#This Row],[Tech Start Date]],6),IF(Main[[#This Row],[Class]]="A",WORKDAY(Main[[#This Row],[Tech Start Date]],2),""))))</f>
        <v/>
      </c>
      <c r="N674" s="77" t="str">
        <f>IF(Main[[#This Row],[Tech Start Date]]&lt;1/1/1990,"",IF(Main[[#This Row],[Class]]="C",WORKDAY(Main[[#This Row],[Tech Start Date]],19),IF(Main[[#This Row],[Class]]="B", WORKDAY(Main[[#This Row],[Tech Start Date]],12),IF(Main[[#This Row],[Class]]="A",WORKDAY(Main[[#This Row],[Tech Start Date]],4),""))))</f>
        <v/>
      </c>
      <c r="O674" s="77" t="str">
        <f>IF(Main[[#This Row],[Tech Start Date]]&lt;1/1/1990,"",IF(Main[[#This Row],[Class]]="C",WORKDAY(Main[[#This Row],[Tech Start Date]],23),IF(Main[[#This Row],[Class]]="B", WORKDAY(Main[[#This Row],[Tech Start Date]],15),IF(Main[[#This Row],[Class]]="A",WORKDAY(Main[[#This Row],[Tech Start Date]],5),""))))</f>
        <v/>
      </c>
      <c r="P674" s="77" t="str">
        <f>IF(Main[[#This Row],[Tech Start Date]]&lt;1/1/1990,"",IF(Main[[#This Row],[Class]]="C",WORKDAY(Main[[#This Row],[Tech Start Date]],28),IF(Main[[#This Row],[Class]]="B", WORKDAY(Main[[#This Row],[Tech Start Date]],19),IF(Main[[#This Row],[Class]]="A",WORKDAY(Main[[#This Row],[Tech Start Date]],9),""))))</f>
        <v/>
      </c>
      <c r="Q674" s="74">
        <v>40219</v>
      </c>
      <c r="R674" s="74"/>
      <c r="S674" s="72" t="s">
        <v>11</v>
      </c>
      <c r="T674" s="80" t="s">
        <v>4</v>
      </c>
      <c r="U674" s="72" t="s">
        <v>14</v>
      </c>
      <c r="V674" s="72" t="s">
        <v>1940</v>
      </c>
      <c r="W674" s="72" t="s">
        <v>1939</v>
      </c>
      <c r="X674" s="72" t="s">
        <v>3046</v>
      </c>
      <c r="Y674" s="72" t="s">
        <v>4</v>
      </c>
      <c r="Z674" s="72" t="s">
        <v>4</v>
      </c>
    </row>
    <row r="675" spans="1:26" ht="18.600000000000001" customHeight="1">
      <c r="A675" s="142" t="str">
        <f>IF(priority(Main[[#This Row],[Comments]])&lt;&gt;0, priority(Main[[#This Row],[Comments]]),"")</f>
        <v/>
      </c>
      <c r="B675" s="90" t="s">
        <v>1518</v>
      </c>
      <c r="C675" s="72" t="s">
        <v>4</v>
      </c>
      <c r="D675" s="73" t="s">
        <v>609</v>
      </c>
      <c r="E675" s="74"/>
      <c r="F675" s="74"/>
      <c r="G675" s="75" t="str">
        <f>IF(stdProdLT(Main[[#This Row],[Comments]])=0.1,"N/A",IF(stdProdLT(Main[[#This Row],[Comments]])=0,"",stdProdLT(Main[[#This Row],[Comments]])))</f>
        <v/>
      </c>
      <c r="H675" s="76" t="str">
        <f>IF(AND(Main[[#This Row],[In Stock Date]]&lt;&gt;"",Main[[#This Row],[Revised Due Date]]&lt;&gt;""),Main[[#This Row],[In Stock Date]]-Main[[#This Row],[Revised Due Date]],"")</f>
        <v/>
      </c>
      <c r="I675" s="72" t="s">
        <v>81</v>
      </c>
      <c r="J675" s="72" t="s">
        <v>4</v>
      </c>
      <c r="K675" s="72" t="s">
        <v>4</v>
      </c>
      <c r="L675" s="74"/>
      <c r="M675" s="77" t="str">
        <f>IF(Main[[#This Row],[Tech Start Date]]&lt;1/1/1990,"",IF(Main[[#This Row],[Class]]="C",WORKDAY(Main[[#This Row],[Tech Start Date]],9),IF(Main[[#This Row],[Class]]="B", WORKDAY(Main[[#This Row],[Tech Start Date]],6),IF(Main[[#This Row],[Class]]="A",WORKDAY(Main[[#This Row],[Tech Start Date]],2),""))))</f>
        <v/>
      </c>
      <c r="N675" s="77" t="str">
        <f>IF(Main[[#This Row],[Tech Start Date]]&lt;1/1/1990,"",IF(Main[[#This Row],[Class]]="C",WORKDAY(Main[[#This Row],[Tech Start Date]],19),IF(Main[[#This Row],[Class]]="B", WORKDAY(Main[[#This Row],[Tech Start Date]],12),IF(Main[[#This Row],[Class]]="A",WORKDAY(Main[[#This Row],[Tech Start Date]],4),""))))</f>
        <v/>
      </c>
      <c r="O675" s="77" t="str">
        <f>IF(Main[[#This Row],[Tech Start Date]]&lt;1/1/1990,"",IF(Main[[#This Row],[Class]]="C",WORKDAY(Main[[#This Row],[Tech Start Date]],23),IF(Main[[#This Row],[Class]]="B", WORKDAY(Main[[#This Row],[Tech Start Date]],15),IF(Main[[#This Row],[Class]]="A",WORKDAY(Main[[#This Row],[Tech Start Date]],5),""))))</f>
        <v/>
      </c>
      <c r="P675" s="77" t="str">
        <f>IF(Main[[#This Row],[Tech Start Date]]&lt;1/1/1990,"",IF(Main[[#This Row],[Class]]="C",WORKDAY(Main[[#This Row],[Tech Start Date]],28),IF(Main[[#This Row],[Class]]="B", WORKDAY(Main[[#This Row],[Tech Start Date]],19),IF(Main[[#This Row],[Class]]="A",WORKDAY(Main[[#This Row],[Tech Start Date]],9),""))))</f>
        <v/>
      </c>
      <c r="Q675" s="74">
        <v>40390</v>
      </c>
      <c r="R675" s="74"/>
      <c r="S675" s="72" t="s">
        <v>6</v>
      </c>
      <c r="T675" s="80" t="s">
        <v>4</v>
      </c>
      <c r="U675" s="72" t="s">
        <v>14</v>
      </c>
      <c r="V675" s="72" t="s">
        <v>1940</v>
      </c>
      <c r="W675" s="72" t="s">
        <v>4</v>
      </c>
      <c r="X675" s="72" t="s">
        <v>2971</v>
      </c>
      <c r="Y675" s="72" t="s">
        <v>3090</v>
      </c>
      <c r="Z675" s="72" t="s">
        <v>44</v>
      </c>
    </row>
    <row r="676" spans="1:26" ht="18.600000000000001" customHeight="1">
      <c r="A676" s="142" t="str">
        <f>IF(priority(Main[[#This Row],[Comments]])&lt;&gt;0, priority(Main[[#This Row],[Comments]]),"")</f>
        <v/>
      </c>
      <c r="B676" s="90" t="s">
        <v>1519</v>
      </c>
      <c r="C676" s="72" t="s">
        <v>93</v>
      </c>
      <c r="D676" s="73" t="s">
        <v>610</v>
      </c>
      <c r="E676" s="74"/>
      <c r="F676" s="74">
        <v>40299</v>
      </c>
      <c r="G676" s="75" t="str">
        <f>IF(stdProdLT(Main[[#This Row],[Comments]])=0.1,"N/A",IF(stdProdLT(Main[[#This Row],[Comments]])=0,"",stdProdLT(Main[[#This Row],[Comments]])))</f>
        <v/>
      </c>
      <c r="H676" s="76" t="str">
        <f>IF(AND(Main[[#This Row],[In Stock Date]]&lt;&gt;"",Main[[#This Row],[Revised Due Date]]&lt;&gt;""),Main[[#This Row],[In Stock Date]]-Main[[#This Row],[Revised Due Date]],"")</f>
        <v/>
      </c>
      <c r="I676" s="72" t="s">
        <v>4</v>
      </c>
      <c r="J676" s="72" t="s">
        <v>4</v>
      </c>
      <c r="K676" s="72" t="s">
        <v>4</v>
      </c>
      <c r="L676" s="74"/>
      <c r="M676" s="77" t="str">
        <f>IF(Main[[#This Row],[Tech Start Date]]&lt;1/1/1990,"",IF(Main[[#This Row],[Class]]="C",WORKDAY(Main[[#This Row],[Tech Start Date]],9),IF(Main[[#This Row],[Class]]="B", WORKDAY(Main[[#This Row],[Tech Start Date]],6),IF(Main[[#This Row],[Class]]="A",WORKDAY(Main[[#This Row],[Tech Start Date]],2),""))))</f>
        <v/>
      </c>
      <c r="N676" s="77" t="str">
        <f>IF(Main[[#This Row],[Tech Start Date]]&lt;1/1/1990,"",IF(Main[[#This Row],[Class]]="C",WORKDAY(Main[[#This Row],[Tech Start Date]],19),IF(Main[[#This Row],[Class]]="B", WORKDAY(Main[[#This Row],[Tech Start Date]],12),IF(Main[[#This Row],[Class]]="A",WORKDAY(Main[[#This Row],[Tech Start Date]],4),""))))</f>
        <v/>
      </c>
      <c r="O676" s="77" t="str">
        <f>IF(Main[[#This Row],[Tech Start Date]]&lt;1/1/1990,"",IF(Main[[#This Row],[Class]]="C",WORKDAY(Main[[#This Row],[Tech Start Date]],23),IF(Main[[#This Row],[Class]]="B", WORKDAY(Main[[#This Row],[Tech Start Date]],15),IF(Main[[#This Row],[Class]]="A",WORKDAY(Main[[#This Row],[Tech Start Date]],5),""))))</f>
        <v/>
      </c>
      <c r="P676" s="77" t="str">
        <f>IF(Main[[#This Row],[Tech Start Date]]&lt;1/1/1990,"",IF(Main[[#This Row],[Class]]="C",WORKDAY(Main[[#This Row],[Tech Start Date]],28),IF(Main[[#This Row],[Class]]="B", WORKDAY(Main[[#This Row],[Tech Start Date]],19),IF(Main[[#This Row],[Class]]="A",WORKDAY(Main[[#This Row],[Tech Start Date]],9),""))))</f>
        <v/>
      </c>
      <c r="Q676" s="74">
        <v>40214</v>
      </c>
      <c r="R676" s="74"/>
      <c r="S676" s="72" t="s">
        <v>11</v>
      </c>
      <c r="T676" s="80" t="s">
        <v>4</v>
      </c>
      <c r="U676" s="72" t="s">
        <v>12</v>
      </c>
      <c r="V676" s="72" t="s">
        <v>1937</v>
      </c>
      <c r="W676" s="72" t="s">
        <v>1943</v>
      </c>
      <c r="X676" s="72" t="s">
        <v>2997</v>
      </c>
      <c r="Y676" s="72" t="s">
        <v>4</v>
      </c>
      <c r="Z676" s="72" t="s">
        <v>4</v>
      </c>
    </row>
    <row r="677" spans="1:26" ht="18.600000000000001" customHeight="1">
      <c r="A677" s="142" t="str">
        <f>IF(priority(Main[[#This Row],[Comments]])&lt;&gt;0, priority(Main[[#This Row],[Comments]]),"")</f>
        <v/>
      </c>
      <c r="B677" s="90" t="s">
        <v>1204</v>
      </c>
      <c r="C677" s="72" t="s">
        <v>4</v>
      </c>
      <c r="D677" s="73" t="s">
        <v>250</v>
      </c>
      <c r="E677" s="74"/>
      <c r="F677" s="74"/>
      <c r="G677" s="75" t="str">
        <f>IF(stdProdLT(Main[[#This Row],[Comments]])=0.1,"N/A",IF(stdProdLT(Main[[#This Row],[Comments]])=0,"",stdProdLT(Main[[#This Row],[Comments]])))</f>
        <v/>
      </c>
      <c r="H677" s="76" t="str">
        <f>IF(AND(Main[[#This Row],[In Stock Date]]&lt;&gt;"",Main[[#This Row],[Revised Due Date]]&lt;&gt;""),Main[[#This Row],[In Stock Date]]-Main[[#This Row],[Revised Due Date]],"")</f>
        <v/>
      </c>
      <c r="I677" s="72" t="s">
        <v>4</v>
      </c>
      <c r="J677" s="72" t="s">
        <v>28</v>
      </c>
      <c r="K677" s="72" t="s">
        <v>4</v>
      </c>
      <c r="L677" s="74"/>
      <c r="M677" s="77" t="str">
        <f>IF(Main[[#This Row],[Tech Start Date]]&lt;1/1/1990,"",IF(Main[[#This Row],[Class]]="C",WORKDAY(Main[[#This Row],[Tech Start Date]],9),IF(Main[[#This Row],[Class]]="B", WORKDAY(Main[[#This Row],[Tech Start Date]],6),IF(Main[[#This Row],[Class]]="A",WORKDAY(Main[[#This Row],[Tech Start Date]],2),""))))</f>
        <v/>
      </c>
      <c r="N677" s="77" t="str">
        <f>IF(Main[[#This Row],[Tech Start Date]]&lt;1/1/1990,"",IF(Main[[#This Row],[Class]]="C",WORKDAY(Main[[#This Row],[Tech Start Date]],19),IF(Main[[#This Row],[Class]]="B", WORKDAY(Main[[#This Row],[Tech Start Date]],12),IF(Main[[#This Row],[Class]]="A",WORKDAY(Main[[#This Row],[Tech Start Date]],4),""))))</f>
        <v/>
      </c>
      <c r="O677" s="77" t="str">
        <f>IF(Main[[#This Row],[Tech Start Date]]&lt;1/1/1990,"",IF(Main[[#This Row],[Class]]="C",WORKDAY(Main[[#This Row],[Tech Start Date]],23),IF(Main[[#This Row],[Class]]="B", WORKDAY(Main[[#This Row],[Tech Start Date]],15),IF(Main[[#This Row],[Class]]="A",WORKDAY(Main[[#This Row],[Tech Start Date]],5),""))))</f>
        <v/>
      </c>
      <c r="P677" s="77" t="str">
        <f>IF(Main[[#This Row],[Tech Start Date]]&lt;1/1/1990,"",IF(Main[[#This Row],[Class]]="C",WORKDAY(Main[[#This Row],[Tech Start Date]],28),IF(Main[[#This Row],[Class]]="B", WORKDAY(Main[[#This Row],[Tech Start Date]],19),IF(Main[[#This Row],[Class]]="A",WORKDAY(Main[[#This Row],[Tech Start Date]],9),""))))</f>
        <v/>
      </c>
      <c r="Q677" s="74">
        <v>40480</v>
      </c>
      <c r="R677" s="74"/>
      <c r="S677" s="72" t="s">
        <v>6</v>
      </c>
      <c r="T677" s="80" t="s">
        <v>4</v>
      </c>
      <c r="U677" s="72" t="s">
        <v>14</v>
      </c>
      <c r="V677" s="72" t="s">
        <v>1937</v>
      </c>
      <c r="W677" s="72" t="s">
        <v>1945</v>
      </c>
      <c r="X677" s="72" t="s">
        <v>3047</v>
      </c>
      <c r="Y677" s="72" t="s">
        <v>3218</v>
      </c>
      <c r="Z677" s="72" t="s">
        <v>129</v>
      </c>
    </row>
    <row r="678" spans="1:26" ht="18.600000000000001" customHeight="1">
      <c r="A678" s="142" t="str">
        <f>IF(priority(Main[[#This Row],[Comments]])&lt;&gt;0, priority(Main[[#This Row],[Comments]]),"")</f>
        <v/>
      </c>
      <c r="B678" s="90" t="s">
        <v>1520</v>
      </c>
      <c r="C678" s="72" t="s">
        <v>31</v>
      </c>
      <c r="D678" s="73" t="s">
        <v>611</v>
      </c>
      <c r="E678" s="74"/>
      <c r="F678" s="74">
        <v>40330</v>
      </c>
      <c r="G678" s="75" t="str">
        <f>IF(stdProdLT(Main[[#This Row],[Comments]])=0.1,"N/A",IF(stdProdLT(Main[[#This Row],[Comments]])=0,"",stdProdLT(Main[[#This Row],[Comments]])))</f>
        <v/>
      </c>
      <c r="H678" s="76" t="str">
        <f>IF(AND(Main[[#This Row],[In Stock Date]]&lt;&gt;"",Main[[#This Row],[Revised Due Date]]&lt;&gt;""),Main[[#This Row],[In Stock Date]]-Main[[#This Row],[Revised Due Date]],"")</f>
        <v/>
      </c>
      <c r="I678" s="72" t="s">
        <v>423</v>
      </c>
      <c r="J678" s="72" t="s">
        <v>4</v>
      </c>
      <c r="K678" s="81" t="s">
        <v>4</v>
      </c>
      <c r="L678" s="74"/>
      <c r="M678" s="77" t="str">
        <f>IF(Main[[#This Row],[Tech Start Date]]&lt;1/1/1990,"",IF(Main[[#This Row],[Class]]="C",WORKDAY(Main[[#This Row],[Tech Start Date]],9),IF(Main[[#This Row],[Class]]="B", WORKDAY(Main[[#This Row],[Tech Start Date]],6),IF(Main[[#This Row],[Class]]="A",WORKDAY(Main[[#This Row],[Tech Start Date]],2),""))))</f>
        <v/>
      </c>
      <c r="N678" s="77" t="str">
        <f>IF(Main[[#This Row],[Tech Start Date]]&lt;1/1/1990,"",IF(Main[[#This Row],[Class]]="C",WORKDAY(Main[[#This Row],[Tech Start Date]],19),IF(Main[[#This Row],[Class]]="B", WORKDAY(Main[[#This Row],[Tech Start Date]],12),IF(Main[[#This Row],[Class]]="A",WORKDAY(Main[[#This Row],[Tech Start Date]],4),""))))</f>
        <v/>
      </c>
      <c r="O678" s="77" t="str">
        <f>IF(Main[[#This Row],[Tech Start Date]]&lt;1/1/1990,"",IF(Main[[#This Row],[Class]]="C",WORKDAY(Main[[#This Row],[Tech Start Date]],23),IF(Main[[#This Row],[Class]]="B", WORKDAY(Main[[#This Row],[Tech Start Date]],15),IF(Main[[#This Row],[Class]]="A",WORKDAY(Main[[#This Row],[Tech Start Date]],5),""))))</f>
        <v/>
      </c>
      <c r="P678" s="77" t="str">
        <f>IF(Main[[#This Row],[Tech Start Date]]&lt;1/1/1990,"",IF(Main[[#This Row],[Class]]="C",WORKDAY(Main[[#This Row],[Tech Start Date]],28),IF(Main[[#This Row],[Class]]="B", WORKDAY(Main[[#This Row],[Tech Start Date]],19),IF(Main[[#This Row],[Class]]="A",WORKDAY(Main[[#This Row],[Tech Start Date]],9),""))))</f>
        <v/>
      </c>
      <c r="Q678" s="74">
        <v>40210</v>
      </c>
      <c r="R678" s="74"/>
      <c r="S678" s="72" t="s">
        <v>11</v>
      </c>
      <c r="T678" s="80" t="s">
        <v>4</v>
      </c>
      <c r="U678" s="72" t="s">
        <v>14</v>
      </c>
      <c r="V678" s="72" t="s">
        <v>1940</v>
      </c>
      <c r="W678" s="72" t="s">
        <v>1943</v>
      </c>
      <c r="X678" s="72" t="s">
        <v>2976</v>
      </c>
      <c r="Y678" s="72" t="s">
        <v>3101</v>
      </c>
      <c r="Z678" s="72" t="s">
        <v>4</v>
      </c>
    </row>
    <row r="679" spans="1:26" ht="18.600000000000001" customHeight="1">
      <c r="A679" s="142" t="str">
        <f>IF(priority(Main[[#This Row],[Comments]])&lt;&gt;0, priority(Main[[#This Row],[Comments]]),"")</f>
        <v/>
      </c>
      <c r="B679" s="90" t="s">
        <v>2417</v>
      </c>
      <c r="C679" s="72" t="s">
        <v>4</v>
      </c>
      <c r="D679" s="73" t="s">
        <v>2418</v>
      </c>
      <c r="E679" s="74">
        <v>40835.331365740742</v>
      </c>
      <c r="F679" s="74"/>
      <c r="G679" s="75" t="str">
        <f>IF(stdProdLT(Main[[#This Row],[Comments]])=0.1,"N/A",IF(stdProdLT(Main[[#This Row],[Comments]])=0,"",stdProdLT(Main[[#This Row],[Comments]])))</f>
        <v/>
      </c>
      <c r="H679" s="76" t="str">
        <f>IF(AND(Main[[#This Row],[In Stock Date]]&lt;&gt;"",Main[[#This Row],[Revised Due Date]]&lt;&gt;""),Main[[#This Row],[In Stock Date]]-Main[[#This Row],[Revised Due Date]],"")</f>
        <v/>
      </c>
      <c r="I679" s="72" t="s">
        <v>404</v>
      </c>
      <c r="J679" s="72" t="s">
        <v>75</v>
      </c>
      <c r="K679" s="72" t="s">
        <v>1946</v>
      </c>
      <c r="L679" s="74"/>
      <c r="M679" s="77" t="str">
        <f>IF(Main[[#This Row],[Tech Start Date]]&lt;1/1/1990,"",IF(Main[[#This Row],[Class]]="C",WORKDAY(Main[[#This Row],[Tech Start Date]],9),IF(Main[[#This Row],[Class]]="B", WORKDAY(Main[[#This Row],[Tech Start Date]],6),IF(Main[[#This Row],[Class]]="A",WORKDAY(Main[[#This Row],[Tech Start Date]],2),""))))</f>
        <v/>
      </c>
      <c r="N679" s="77" t="str">
        <f>IF(Main[[#This Row],[Tech Start Date]]&lt;1/1/1990,"",IF(Main[[#This Row],[Class]]="C",WORKDAY(Main[[#This Row],[Tech Start Date]],19),IF(Main[[#This Row],[Class]]="B", WORKDAY(Main[[#This Row],[Tech Start Date]],12),IF(Main[[#This Row],[Class]]="A",WORKDAY(Main[[#This Row],[Tech Start Date]],4),""))))</f>
        <v/>
      </c>
      <c r="O679" s="77" t="str">
        <f>IF(Main[[#This Row],[Tech Start Date]]&lt;1/1/1990,"",IF(Main[[#This Row],[Class]]="C",WORKDAY(Main[[#This Row],[Tech Start Date]],23),IF(Main[[#This Row],[Class]]="B", WORKDAY(Main[[#This Row],[Tech Start Date]],15),IF(Main[[#This Row],[Class]]="A",WORKDAY(Main[[#This Row],[Tech Start Date]],5),""))))</f>
        <v/>
      </c>
      <c r="P679" s="77" t="str">
        <f>IF(Main[[#This Row],[Tech Start Date]]&lt;1/1/1990,"",IF(Main[[#This Row],[Class]]="C",WORKDAY(Main[[#This Row],[Tech Start Date]],28),IF(Main[[#This Row],[Class]]="B", WORKDAY(Main[[#This Row],[Tech Start Date]],19),IF(Main[[#This Row],[Class]]="A",WORKDAY(Main[[#This Row],[Tech Start Date]],9),""))))</f>
        <v/>
      </c>
      <c r="Q679" s="74"/>
      <c r="R679" s="74"/>
      <c r="S679" s="72" t="s">
        <v>6</v>
      </c>
      <c r="T679" s="80" t="s">
        <v>4</v>
      </c>
      <c r="U679" s="72" t="s">
        <v>29</v>
      </c>
      <c r="V679" s="72" t="s">
        <v>1940</v>
      </c>
      <c r="W679" s="72" t="s">
        <v>1941</v>
      </c>
      <c r="X679" s="72" t="s">
        <v>404</v>
      </c>
      <c r="Y679" s="72" t="s">
        <v>4</v>
      </c>
      <c r="Z679" s="72" t="s">
        <v>536</v>
      </c>
    </row>
    <row r="680" spans="1:26" ht="18.600000000000001" customHeight="1">
      <c r="A680" s="142" t="str">
        <f>IF(priority(Main[[#This Row],[Comments]])&lt;&gt;0, priority(Main[[#This Row],[Comments]]),"")</f>
        <v/>
      </c>
      <c r="B680" s="90" t="s">
        <v>1521</v>
      </c>
      <c r="C680" s="72" t="s">
        <v>4</v>
      </c>
      <c r="D680" s="73" t="s">
        <v>612</v>
      </c>
      <c r="E680" s="74">
        <v>40312.431608796294</v>
      </c>
      <c r="F680" s="74"/>
      <c r="G680" s="75" t="str">
        <f>IF(stdProdLT(Main[[#This Row],[Comments]])=0.1,"N/A",IF(stdProdLT(Main[[#This Row],[Comments]])=0,"",stdProdLT(Main[[#This Row],[Comments]])))</f>
        <v/>
      </c>
      <c r="H680" s="76" t="str">
        <f>IF(AND(Main[[#This Row],[In Stock Date]]&lt;&gt;"",Main[[#This Row],[Revised Due Date]]&lt;&gt;""),Main[[#This Row],[In Stock Date]]-Main[[#This Row],[Revised Due Date]],"")</f>
        <v/>
      </c>
      <c r="I680" s="72" t="s">
        <v>129</v>
      </c>
      <c r="J680" s="72" t="s">
        <v>4</v>
      </c>
      <c r="K680" s="72" t="s">
        <v>4</v>
      </c>
      <c r="L680" s="74"/>
      <c r="M680" s="77" t="str">
        <f>IF(Main[[#This Row],[Tech Start Date]]&lt;1/1/1990,"",IF(Main[[#This Row],[Class]]="C",WORKDAY(Main[[#This Row],[Tech Start Date]],9),IF(Main[[#This Row],[Class]]="B", WORKDAY(Main[[#This Row],[Tech Start Date]],6),IF(Main[[#This Row],[Class]]="A",WORKDAY(Main[[#This Row],[Tech Start Date]],2),""))))</f>
        <v/>
      </c>
      <c r="N680" s="77" t="str">
        <f>IF(Main[[#This Row],[Tech Start Date]]&lt;1/1/1990,"",IF(Main[[#This Row],[Class]]="C",WORKDAY(Main[[#This Row],[Tech Start Date]],19),IF(Main[[#This Row],[Class]]="B", WORKDAY(Main[[#This Row],[Tech Start Date]],12),IF(Main[[#This Row],[Class]]="A",WORKDAY(Main[[#This Row],[Tech Start Date]],4),""))))</f>
        <v/>
      </c>
      <c r="O680" s="77" t="str">
        <f>IF(Main[[#This Row],[Tech Start Date]]&lt;1/1/1990,"",IF(Main[[#This Row],[Class]]="C",WORKDAY(Main[[#This Row],[Tech Start Date]],23),IF(Main[[#This Row],[Class]]="B", WORKDAY(Main[[#This Row],[Tech Start Date]],15),IF(Main[[#This Row],[Class]]="A",WORKDAY(Main[[#This Row],[Tech Start Date]],5),""))))</f>
        <v/>
      </c>
      <c r="P680" s="77" t="str">
        <f>IF(Main[[#This Row],[Tech Start Date]]&lt;1/1/1990,"",IF(Main[[#This Row],[Class]]="C",WORKDAY(Main[[#This Row],[Tech Start Date]],28),IF(Main[[#This Row],[Class]]="B", WORKDAY(Main[[#This Row],[Tech Start Date]],19),IF(Main[[#This Row],[Class]]="A",WORKDAY(Main[[#This Row],[Tech Start Date]],9),""))))</f>
        <v/>
      </c>
      <c r="Q680" s="74">
        <v>40326</v>
      </c>
      <c r="R680" s="74"/>
      <c r="S680" s="72" t="s">
        <v>6</v>
      </c>
      <c r="T680" s="80" t="s">
        <v>4</v>
      </c>
      <c r="U680" s="72" t="s">
        <v>7</v>
      </c>
      <c r="V680" s="72" t="s">
        <v>1937</v>
      </c>
      <c r="W680" s="72" t="s">
        <v>1941</v>
      </c>
      <c r="X680" s="72" t="s">
        <v>102</v>
      </c>
      <c r="Y680" s="72" t="s">
        <v>3169</v>
      </c>
      <c r="Z680" s="72" t="s">
        <v>4</v>
      </c>
    </row>
    <row r="681" spans="1:26" ht="18.600000000000001" customHeight="1">
      <c r="A681" s="142" t="str">
        <f>IF(priority(Main[[#This Row],[Comments]])&lt;&gt;0, priority(Main[[#This Row],[Comments]]),"")</f>
        <v/>
      </c>
      <c r="B681" s="90" t="s">
        <v>1534</v>
      </c>
      <c r="C681" s="72" t="s">
        <v>4</v>
      </c>
      <c r="D681" s="73" t="s">
        <v>597</v>
      </c>
      <c r="E681" s="74"/>
      <c r="F681" s="74"/>
      <c r="G681" s="75" t="str">
        <f>IF(stdProdLT(Main[[#This Row],[Comments]])=0.1,"N/A",IF(stdProdLT(Main[[#This Row],[Comments]])=0,"",stdProdLT(Main[[#This Row],[Comments]])))</f>
        <v/>
      </c>
      <c r="H681" s="76" t="str">
        <f>IF(AND(Main[[#This Row],[In Stock Date]]&lt;&gt;"",Main[[#This Row],[Revised Due Date]]&lt;&gt;""),Main[[#This Row],[In Stock Date]]-Main[[#This Row],[Revised Due Date]],"")</f>
        <v/>
      </c>
      <c r="I681" s="72" t="s">
        <v>4</v>
      </c>
      <c r="J681" s="72" t="s">
        <v>4</v>
      </c>
      <c r="K681" s="72" t="s">
        <v>4</v>
      </c>
      <c r="L681" s="74"/>
      <c r="M681" s="77" t="str">
        <f>IF(Main[[#This Row],[Tech Start Date]]&lt;1/1/1990,"",IF(Main[[#This Row],[Class]]="C",WORKDAY(Main[[#This Row],[Tech Start Date]],9),IF(Main[[#This Row],[Class]]="B", WORKDAY(Main[[#This Row],[Tech Start Date]],6),IF(Main[[#This Row],[Class]]="A",WORKDAY(Main[[#This Row],[Tech Start Date]],2),""))))</f>
        <v/>
      </c>
      <c r="N681" s="77" t="str">
        <f>IF(Main[[#This Row],[Tech Start Date]]&lt;1/1/1990,"",IF(Main[[#This Row],[Class]]="C",WORKDAY(Main[[#This Row],[Tech Start Date]],19),IF(Main[[#This Row],[Class]]="B", WORKDAY(Main[[#This Row],[Tech Start Date]],12),IF(Main[[#This Row],[Class]]="A",WORKDAY(Main[[#This Row],[Tech Start Date]],4),""))))</f>
        <v/>
      </c>
      <c r="O681" s="77" t="str">
        <f>IF(Main[[#This Row],[Tech Start Date]]&lt;1/1/1990,"",IF(Main[[#This Row],[Class]]="C",WORKDAY(Main[[#This Row],[Tech Start Date]],23),IF(Main[[#This Row],[Class]]="B", WORKDAY(Main[[#This Row],[Tech Start Date]],15),IF(Main[[#This Row],[Class]]="A",WORKDAY(Main[[#This Row],[Tech Start Date]],5),""))))</f>
        <v/>
      </c>
      <c r="P681" s="77" t="str">
        <f>IF(Main[[#This Row],[Tech Start Date]]&lt;1/1/1990,"",IF(Main[[#This Row],[Class]]="C",WORKDAY(Main[[#This Row],[Tech Start Date]],28),IF(Main[[#This Row],[Class]]="B", WORKDAY(Main[[#This Row],[Tech Start Date]],19),IF(Main[[#This Row],[Class]]="A",WORKDAY(Main[[#This Row],[Tech Start Date]],9),""))))</f>
        <v/>
      </c>
      <c r="Q681" s="74"/>
      <c r="R681" s="74"/>
      <c r="S681" s="72" t="s">
        <v>23</v>
      </c>
      <c r="T681" s="80" t="s">
        <v>4</v>
      </c>
      <c r="U681" s="72" t="s">
        <v>14</v>
      </c>
      <c r="V681" s="72" t="s">
        <v>1937</v>
      </c>
      <c r="W681" s="72" t="s">
        <v>1941</v>
      </c>
      <c r="X681" s="72" t="s">
        <v>102</v>
      </c>
      <c r="Y681" s="72" t="s">
        <v>3226</v>
      </c>
      <c r="Z681" s="72" t="s">
        <v>4</v>
      </c>
    </row>
    <row r="682" spans="1:26" ht="18.600000000000001" customHeight="1">
      <c r="A682" s="142" t="str">
        <f>IF(priority(Main[[#This Row],[Comments]])&lt;&gt;0, priority(Main[[#This Row],[Comments]]),"")</f>
        <v/>
      </c>
      <c r="B682" s="90" t="s">
        <v>1535</v>
      </c>
      <c r="C682" s="72" t="s">
        <v>4</v>
      </c>
      <c r="D682" s="73" t="s">
        <v>598</v>
      </c>
      <c r="E682" s="74"/>
      <c r="F682" s="74">
        <v>40047</v>
      </c>
      <c r="G682" s="75" t="str">
        <f>IF(stdProdLT(Main[[#This Row],[Comments]])=0.1,"N/A",IF(stdProdLT(Main[[#This Row],[Comments]])=0,"",stdProdLT(Main[[#This Row],[Comments]])))</f>
        <v/>
      </c>
      <c r="H682" s="76" t="str">
        <f>IF(AND(Main[[#This Row],[In Stock Date]]&lt;&gt;"",Main[[#This Row],[Revised Due Date]]&lt;&gt;""),Main[[#This Row],[In Stock Date]]-Main[[#This Row],[Revised Due Date]],"")</f>
        <v/>
      </c>
      <c r="I682" s="72" t="s">
        <v>4</v>
      </c>
      <c r="J682" s="72" t="s">
        <v>4</v>
      </c>
      <c r="K682" s="81" t="s">
        <v>4</v>
      </c>
      <c r="L682" s="74"/>
      <c r="M682" s="77" t="str">
        <f>IF(Main[[#This Row],[Tech Start Date]]&lt;1/1/1990,"",IF(Main[[#This Row],[Class]]="C",WORKDAY(Main[[#This Row],[Tech Start Date]],9),IF(Main[[#This Row],[Class]]="B", WORKDAY(Main[[#This Row],[Tech Start Date]],6),IF(Main[[#This Row],[Class]]="A",WORKDAY(Main[[#This Row],[Tech Start Date]],2),""))))</f>
        <v/>
      </c>
      <c r="N682" s="77" t="str">
        <f>IF(Main[[#This Row],[Tech Start Date]]&lt;1/1/1990,"",IF(Main[[#This Row],[Class]]="C",WORKDAY(Main[[#This Row],[Tech Start Date]],19),IF(Main[[#This Row],[Class]]="B", WORKDAY(Main[[#This Row],[Tech Start Date]],12),IF(Main[[#This Row],[Class]]="A",WORKDAY(Main[[#This Row],[Tech Start Date]],4),""))))</f>
        <v/>
      </c>
      <c r="O682" s="77" t="str">
        <f>IF(Main[[#This Row],[Tech Start Date]]&lt;1/1/1990,"",IF(Main[[#This Row],[Class]]="C",WORKDAY(Main[[#This Row],[Tech Start Date]],23),IF(Main[[#This Row],[Class]]="B", WORKDAY(Main[[#This Row],[Tech Start Date]],15),IF(Main[[#This Row],[Class]]="A",WORKDAY(Main[[#This Row],[Tech Start Date]],5),""))))</f>
        <v/>
      </c>
      <c r="P682" s="77" t="str">
        <f>IF(Main[[#This Row],[Tech Start Date]]&lt;1/1/1990,"",IF(Main[[#This Row],[Class]]="C",WORKDAY(Main[[#This Row],[Tech Start Date]],28),IF(Main[[#This Row],[Class]]="B", WORKDAY(Main[[#This Row],[Tech Start Date]],19),IF(Main[[#This Row],[Class]]="A",WORKDAY(Main[[#This Row],[Tech Start Date]],9),""))))</f>
        <v/>
      </c>
      <c r="Q682" s="74"/>
      <c r="R682" s="74"/>
      <c r="S682" s="72" t="s">
        <v>11</v>
      </c>
      <c r="T682" s="80" t="s">
        <v>4</v>
      </c>
      <c r="U682" s="72" t="s">
        <v>14</v>
      </c>
      <c r="V682" s="72" t="s">
        <v>1940</v>
      </c>
      <c r="W682" s="72" t="s">
        <v>1943</v>
      </c>
      <c r="X682" s="72" t="s">
        <v>3015</v>
      </c>
      <c r="Y682" s="72" t="s">
        <v>3227</v>
      </c>
      <c r="Z682" s="72" t="s">
        <v>4</v>
      </c>
    </row>
    <row r="683" spans="1:26" ht="18.600000000000001" customHeight="1">
      <c r="A683" s="142" t="str">
        <f>IF(priority(Main[[#This Row],[Comments]])&lt;&gt;0, priority(Main[[#This Row],[Comments]]),"")</f>
        <v/>
      </c>
      <c r="B683" s="90" t="s">
        <v>1536</v>
      </c>
      <c r="C683" s="72" t="s">
        <v>4</v>
      </c>
      <c r="D683" s="73" t="s">
        <v>599</v>
      </c>
      <c r="E683" s="74"/>
      <c r="F683" s="74"/>
      <c r="G683" s="75" t="str">
        <f>IF(stdProdLT(Main[[#This Row],[Comments]])=0.1,"N/A",IF(stdProdLT(Main[[#This Row],[Comments]])=0,"",stdProdLT(Main[[#This Row],[Comments]])))</f>
        <v/>
      </c>
      <c r="H683" s="76" t="str">
        <f>IF(AND(Main[[#This Row],[In Stock Date]]&lt;&gt;"",Main[[#This Row],[Revised Due Date]]&lt;&gt;""),Main[[#This Row],[In Stock Date]]-Main[[#This Row],[Revised Due Date]],"")</f>
        <v/>
      </c>
      <c r="I683" s="72" t="s">
        <v>4</v>
      </c>
      <c r="J683" s="72" t="s">
        <v>4</v>
      </c>
      <c r="K683" s="72" t="s">
        <v>4</v>
      </c>
      <c r="L683" s="74"/>
      <c r="M683" s="77" t="str">
        <f>IF(Main[[#This Row],[Tech Start Date]]&lt;1/1/1990,"",IF(Main[[#This Row],[Class]]="C",WORKDAY(Main[[#This Row],[Tech Start Date]],9),IF(Main[[#This Row],[Class]]="B", WORKDAY(Main[[#This Row],[Tech Start Date]],6),IF(Main[[#This Row],[Class]]="A",WORKDAY(Main[[#This Row],[Tech Start Date]],2),""))))</f>
        <v/>
      </c>
      <c r="N683" s="77" t="str">
        <f>IF(Main[[#This Row],[Tech Start Date]]&lt;1/1/1990,"",IF(Main[[#This Row],[Class]]="C",WORKDAY(Main[[#This Row],[Tech Start Date]],19),IF(Main[[#This Row],[Class]]="B", WORKDAY(Main[[#This Row],[Tech Start Date]],12),IF(Main[[#This Row],[Class]]="A",WORKDAY(Main[[#This Row],[Tech Start Date]],4),""))))</f>
        <v/>
      </c>
      <c r="O683" s="77" t="str">
        <f>IF(Main[[#This Row],[Tech Start Date]]&lt;1/1/1990,"",IF(Main[[#This Row],[Class]]="C",WORKDAY(Main[[#This Row],[Tech Start Date]],23),IF(Main[[#This Row],[Class]]="B", WORKDAY(Main[[#This Row],[Tech Start Date]],15),IF(Main[[#This Row],[Class]]="A",WORKDAY(Main[[#This Row],[Tech Start Date]],5),""))))</f>
        <v/>
      </c>
      <c r="P683" s="77" t="str">
        <f>IF(Main[[#This Row],[Tech Start Date]]&lt;1/1/1990,"",IF(Main[[#This Row],[Class]]="C",WORKDAY(Main[[#This Row],[Tech Start Date]],28),IF(Main[[#This Row],[Class]]="B", WORKDAY(Main[[#This Row],[Tech Start Date]],19),IF(Main[[#This Row],[Class]]="A",WORKDAY(Main[[#This Row],[Tech Start Date]],9),""))))</f>
        <v/>
      </c>
      <c r="Q683" s="74"/>
      <c r="R683" s="74"/>
      <c r="S683" s="72" t="s">
        <v>6</v>
      </c>
      <c r="T683" s="80" t="s">
        <v>4</v>
      </c>
      <c r="U683" s="72" t="s">
        <v>12</v>
      </c>
      <c r="V683" s="72" t="s">
        <v>1937</v>
      </c>
      <c r="W683" s="72" t="s">
        <v>1941</v>
      </c>
      <c r="X683" s="72" t="s">
        <v>719</v>
      </c>
      <c r="Y683" s="72" t="s">
        <v>3228</v>
      </c>
      <c r="Z683" s="72" t="s">
        <v>4</v>
      </c>
    </row>
    <row r="684" spans="1:26" ht="18.600000000000001" customHeight="1">
      <c r="A684" s="142" t="str">
        <f>IF(priority(Main[[#This Row],[Comments]])&lt;&gt;0, priority(Main[[#This Row],[Comments]]),"")</f>
        <v/>
      </c>
      <c r="B684" s="90" t="s">
        <v>1537</v>
      </c>
      <c r="C684" s="72" t="s">
        <v>47</v>
      </c>
      <c r="D684" s="73" t="s">
        <v>600</v>
      </c>
      <c r="E684" s="74"/>
      <c r="F684" s="74"/>
      <c r="G684" s="75" t="str">
        <f>IF(stdProdLT(Main[[#This Row],[Comments]])=0.1,"N/A",IF(stdProdLT(Main[[#This Row],[Comments]])=0,"",stdProdLT(Main[[#This Row],[Comments]])))</f>
        <v/>
      </c>
      <c r="H684" s="76" t="str">
        <f>IF(AND(Main[[#This Row],[In Stock Date]]&lt;&gt;"",Main[[#This Row],[Revised Due Date]]&lt;&gt;""),Main[[#This Row],[In Stock Date]]-Main[[#This Row],[Revised Due Date]],"")</f>
        <v/>
      </c>
      <c r="I684" s="72" t="s">
        <v>4</v>
      </c>
      <c r="J684" s="72" t="s">
        <v>4</v>
      </c>
      <c r="K684" s="72" t="s">
        <v>4</v>
      </c>
      <c r="L684" s="74"/>
      <c r="M684" s="77" t="str">
        <f>IF(Main[[#This Row],[Tech Start Date]]&lt;1/1/1990,"",IF(Main[[#This Row],[Class]]="C",WORKDAY(Main[[#This Row],[Tech Start Date]],9),IF(Main[[#This Row],[Class]]="B", WORKDAY(Main[[#This Row],[Tech Start Date]],6),IF(Main[[#This Row],[Class]]="A",WORKDAY(Main[[#This Row],[Tech Start Date]],2),""))))</f>
        <v/>
      </c>
      <c r="N684" s="77" t="str">
        <f>IF(Main[[#This Row],[Tech Start Date]]&lt;1/1/1990,"",IF(Main[[#This Row],[Class]]="C",WORKDAY(Main[[#This Row],[Tech Start Date]],19),IF(Main[[#This Row],[Class]]="B", WORKDAY(Main[[#This Row],[Tech Start Date]],12),IF(Main[[#This Row],[Class]]="A",WORKDAY(Main[[#This Row],[Tech Start Date]],4),""))))</f>
        <v/>
      </c>
      <c r="O684" s="77" t="str">
        <f>IF(Main[[#This Row],[Tech Start Date]]&lt;1/1/1990,"",IF(Main[[#This Row],[Class]]="C",WORKDAY(Main[[#This Row],[Tech Start Date]],23),IF(Main[[#This Row],[Class]]="B", WORKDAY(Main[[#This Row],[Tech Start Date]],15),IF(Main[[#This Row],[Class]]="A",WORKDAY(Main[[#This Row],[Tech Start Date]],5),""))))</f>
        <v/>
      </c>
      <c r="P684" s="77" t="str">
        <f>IF(Main[[#This Row],[Tech Start Date]]&lt;1/1/1990,"",IF(Main[[#This Row],[Class]]="C",WORKDAY(Main[[#This Row],[Tech Start Date]],28),IF(Main[[#This Row],[Class]]="B", WORKDAY(Main[[#This Row],[Tech Start Date]],19),IF(Main[[#This Row],[Class]]="A",WORKDAY(Main[[#This Row],[Tech Start Date]],9),""))))</f>
        <v/>
      </c>
      <c r="Q684" s="74"/>
      <c r="R684" s="74"/>
      <c r="S684" s="72" t="s">
        <v>49</v>
      </c>
      <c r="T684" s="80" t="s">
        <v>4</v>
      </c>
      <c r="U684" s="72" t="s">
        <v>14</v>
      </c>
      <c r="V684" s="72" t="s">
        <v>1940</v>
      </c>
      <c r="W684" s="72" t="s">
        <v>1941</v>
      </c>
      <c r="X684" s="72" t="s">
        <v>311</v>
      </c>
      <c r="Y684" s="72" t="s">
        <v>3099</v>
      </c>
      <c r="Z684" s="72" t="s">
        <v>4</v>
      </c>
    </row>
    <row r="685" spans="1:26" ht="18.600000000000001" customHeight="1">
      <c r="A685" s="142" t="str">
        <f>IF(priority(Main[[#This Row],[Comments]])&lt;&gt;0, priority(Main[[#This Row],[Comments]]),"")</f>
        <v/>
      </c>
      <c r="B685" s="90" t="s">
        <v>2021</v>
      </c>
      <c r="C685" s="72" t="s">
        <v>2022</v>
      </c>
      <c r="D685" s="73" t="s">
        <v>2023</v>
      </c>
      <c r="E685" s="74"/>
      <c r="F685" s="74">
        <v>40801</v>
      </c>
      <c r="G685" s="75" t="str">
        <f>IF(stdProdLT(Main[[#This Row],[Comments]])=0.1,"N/A",IF(stdProdLT(Main[[#This Row],[Comments]])=0,"",stdProdLT(Main[[#This Row],[Comments]])))</f>
        <v/>
      </c>
      <c r="H685" s="76" t="str">
        <f>IF(AND(Main[[#This Row],[In Stock Date]]&lt;&gt;"",Main[[#This Row],[Revised Due Date]]&lt;&gt;""),Main[[#This Row],[In Stock Date]]-Main[[#This Row],[Revised Due Date]],"")</f>
        <v/>
      </c>
      <c r="I685" s="72" t="s">
        <v>4</v>
      </c>
      <c r="J685" s="72" t="s">
        <v>4</v>
      </c>
      <c r="K685" s="81" t="s">
        <v>4</v>
      </c>
      <c r="L685" s="74"/>
      <c r="M685" s="77" t="str">
        <f>IF(Main[[#This Row],[Tech Start Date]]&lt;1/1/1990,"",IF(Main[[#This Row],[Class]]="C",WORKDAY(Main[[#This Row],[Tech Start Date]],9),IF(Main[[#This Row],[Class]]="B", WORKDAY(Main[[#This Row],[Tech Start Date]],6),IF(Main[[#This Row],[Class]]="A",WORKDAY(Main[[#This Row],[Tech Start Date]],2),""))))</f>
        <v/>
      </c>
      <c r="N685" s="77" t="str">
        <f>IF(Main[[#This Row],[Tech Start Date]]&lt;1/1/1990,"",IF(Main[[#This Row],[Class]]="C",WORKDAY(Main[[#This Row],[Tech Start Date]],19),IF(Main[[#This Row],[Class]]="B", WORKDAY(Main[[#This Row],[Tech Start Date]],12),IF(Main[[#This Row],[Class]]="A",WORKDAY(Main[[#This Row],[Tech Start Date]],4),""))))</f>
        <v/>
      </c>
      <c r="O685" s="77" t="str">
        <f>IF(Main[[#This Row],[Tech Start Date]]&lt;1/1/1990,"",IF(Main[[#This Row],[Class]]="C",WORKDAY(Main[[#This Row],[Tech Start Date]],23),IF(Main[[#This Row],[Class]]="B", WORKDAY(Main[[#This Row],[Tech Start Date]],15),IF(Main[[#This Row],[Class]]="A",WORKDAY(Main[[#This Row],[Tech Start Date]],5),""))))</f>
        <v/>
      </c>
      <c r="P685" s="77" t="str">
        <f>IF(Main[[#This Row],[Tech Start Date]]&lt;1/1/1990,"",IF(Main[[#This Row],[Class]]="C",WORKDAY(Main[[#This Row],[Tech Start Date]],28),IF(Main[[#This Row],[Class]]="B", WORKDAY(Main[[#This Row],[Tech Start Date]],19),IF(Main[[#This Row],[Class]]="A",WORKDAY(Main[[#This Row],[Tech Start Date]],9),""))))</f>
        <v/>
      </c>
      <c r="Q685" s="74"/>
      <c r="R685" s="74"/>
      <c r="S685" s="72" t="s">
        <v>6</v>
      </c>
      <c r="T685" s="80" t="s">
        <v>4</v>
      </c>
      <c r="U685" s="72" t="s">
        <v>12</v>
      </c>
      <c r="V685" s="72" t="s">
        <v>1940</v>
      </c>
      <c r="W685" s="72" t="s">
        <v>1941</v>
      </c>
      <c r="X685" s="72" t="s">
        <v>3051</v>
      </c>
      <c r="Y685" s="72" t="s">
        <v>3229</v>
      </c>
      <c r="Z685" s="72" t="s">
        <v>4</v>
      </c>
    </row>
    <row r="686" spans="1:26" ht="18.600000000000001" customHeight="1">
      <c r="A686" s="142" t="str">
        <f>IF(priority(Main[[#This Row],[Comments]])&lt;&gt;0, priority(Main[[#This Row],[Comments]]),"")</f>
        <v/>
      </c>
      <c r="B686" s="90" t="s">
        <v>1538</v>
      </c>
      <c r="C686" s="72" t="s">
        <v>4</v>
      </c>
      <c r="D686" s="73" t="s">
        <v>601</v>
      </c>
      <c r="E686" s="74">
        <v>40270.342719907407</v>
      </c>
      <c r="F686" s="74"/>
      <c r="G686" s="75" t="str">
        <f>IF(stdProdLT(Main[[#This Row],[Comments]])=0.1,"N/A",IF(stdProdLT(Main[[#This Row],[Comments]])=0,"",stdProdLT(Main[[#This Row],[Comments]])))</f>
        <v/>
      </c>
      <c r="H686" s="76" t="str">
        <f>IF(AND(Main[[#This Row],[In Stock Date]]&lt;&gt;"",Main[[#This Row],[Revised Due Date]]&lt;&gt;""),Main[[#This Row],[In Stock Date]]-Main[[#This Row],[Revised Due Date]],"")</f>
        <v/>
      </c>
      <c r="I686" s="72" t="s">
        <v>4</v>
      </c>
      <c r="J686" s="72" t="s">
        <v>4</v>
      </c>
      <c r="K686" s="72" t="s">
        <v>4</v>
      </c>
      <c r="L686" s="74"/>
      <c r="M686" s="77" t="str">
        <f>IF(Main[[#This Row],[Tech Start Date]]&lt;1/1/1990,"",IF(Main[[#This Row],[Class]]="C",WORKDAY(Main[[#This Row],[Tech Start Date]],9),IF(Main[[#This Row],[Class]]="B", WORKDAY(Main[[#This Row],[Tech Start Date]],6),IF(Main[[#This Row],[Class]]="A",WORKDAY(Main[[#This Row],[Tech Start Date]],2),""))))</f>
        <v/>
      </c>
      <c r="N686" s="77" t="str">
        <f>IF(Main[[#This Row],[Tech Start Date]]&lt;1/1/1990,"",IF(Main[[#This Row],[Class]]="C",WORKDAY(Main[[#This Row],[Tech Start Date]],19),IF(Main[[#This Row],[Class]]="B", WORKDAY(Main[[#This Row],[Tech Start Date]],12),IF(Main[[#This Row],[Class]]="A",WORKDAY(Main[[#This Row],[Tech Start Date]],4),""))))</f>
        <v/>
      </c>
      <c r="O686" s="77" t="str">
        <f>IF(Main[[#This Row],[Tech Start Date]]&lt;1/1/1990,"",IF(Main[[#This Row],[Class]]="C",WORKDAY(Main[[#This Row],[Tech Start Date]],23),IF(Main[[#This Row],[Class]]="B", WORKDAY(Main[[#This Row],[Tech Start Date]],15),IF(Main[[#This Row],[Class]]="A",WORKDAY(Main[[#This Row],[Tech Start Date]],5),""))))</f>
        <v/>
      </c>
      <c r="P686" s="77" t="str">
        <f>IF(Main[[#This Row],[Tech Start Date]]&lt;1/1/1990,"",IF(Main[[#This Row],[Class]]="C",WORKDAY(Main[[#This Row],[Tech Start Date]],28),IF(Main[[#This Row],[Class]]="B", WORKDAY(Main[[#This Row],[Tech Start Date]],19),IF(Main[[#This Row],[Class]]="A",WORKDAY(Main[[#This Row],[Tech Start Date]],9),""))))</f>
        <v/>
      </c>
      <c r="Q686" s="74">
        <v>40359</v>
      </c>
      <c r="R686" s="74"/>
      <c r="S686" s="72" t="s">
        <v>6</v>
      </c>
      <c r="T686" s="80" t="s">
        <v>4</v>
      </c>
      <c r="U686" s="72" t="s">
        <v>7</v>
      </c>
      <c r="V686" s="72" t="s">
        <v>1937</v>
      </c>
      <c r="W686" s="72" t="s">
        <v>4</v>
      </c>
      <c r="X686" s="72" t="s">
        <v>3039</v>
      </c>
      <c r="Y686" s="72" t="s">
        <v>3201</v>
      </c>
      <c r="Z686" s="72" t="s">
        <v>4</v>
      </c>
    </row>
    <row r="687" spans="1:26" ht="18.600000000000001" customHeight="1">
      <c r="A687" s="142" t="str">
        <f>IF(priority(Main[[#This Row],[Comments]])&lt;&gt;0, priority(Main[[#This Row],[Comments]]),"")</f>
        <v/>
      </c>
      <c r="B687" s="90" t="s">
        <v>1539</v>
      </c>
      <c r="C687" s="72" t="s">
        <v>356</v>
      </c>
      <c r="D687" s="73" t="s">
        <v>602</v>
      </c>
      <c r="E687" s="74"/>
      <c r="F687" s="74">
        <v>40452</v>
      </c>
      <c r="G687" s="75" t="str">
        <f>IF(stdProdLT(Main[[#This Row],[Comments]])=0.1,"N/A",IF(stdProdLT(Main[[#This Row],[Comments]])=0,"",stdProdLT(Main[[#This Row],[Comments]])))</f>
        <v/>
      </c>
      <c r="H687" s="76" t="str">
        <f>IF(AND(Main[[#This Row],[In Stock Date]]&lt;&gt;"",Main[[#This Row],[Revised Due Date]]&lt;&gt;""),Main[[#This Row],[In Stock Date]]-Main[[#This Row],[Revised Due Date]],"")</f>
        <v/>
      </c>
      <c r="I687" s="72" t="s">
        <v>4</v>
      </c>
      <c r="J687" s="72" t="s">
        <v>4</v>
      </c>
      <c r="K687" s="72" t="s">
        <v>4</v>
      </c>
      <c r="L687" s="74"/>
      <c r="M687" s="77" t="str">
        <f>IF(Main[[#This Row],[Tech Start Date]]&lt;1/1/1990,"",IF(Main[[#This Row],[Class]]="C",WORKDAY(Main[[#This Row],[Tech Start Date]],9),IF(Main[[#This Row],[Class]]="B", WORKDAY(Main[[#This Row],[Tech Start Date]],6),IF(Main[[#This Row],[Class]]="A",WORKDAY(Main[[#This Row],[Tech Start Date]],2),""))))</f>
        <v/>
      </c>
      <c r="N687" s="77" t="str">
        <f>IF(Main[[#This Row],[Tech Start Date]]&lt;1/1/1990,"",IF(Main[[#This Row],[Class]]="C",WORKDAY(Main[[#This Row],[Tech Start Date]],19),IF(Main[[#This Row],[Class]]="B", WORKDAY(Main[[#This Row],[Tech Start Date]],12),IF(Main[[#This Row],[Class]]="A",WORKDAY(Main[[#This Row],[Tech Start Date]],4),""))))</f>
        <v/>
      </c>
      <c r="O687" s="77" t="str">
        <f>IF(Main[[#This Row],[Tech Start Date]]&lt;1/1/1990,"",IF(Main[[#This Row],[Class]]="C",WORKDAY(Main[[#This Row],[Tech Start Date]],23),IF(Main[[#This Row],[Class]]="B", WORKDAY(Main[[#This Row],[Tech Start Date]],15),IF(Main[[#This Row],[Class]]="A",WORKDAY(Main[[#This Row],[Tech Start Date]],5),""))))</f>
        <v/>
      </c>
      <c r="P687" s="77" t="str">
        <f>IF(Main[[#This Row],[Tech Start Date]]&lt;1/1/1990,"",IF(Main[[#This Row],[Class]]="C",WORKDAY(Main[[#This Row],[Tech Start Date]],28),IF(Main[[#This Row],[Class]]="B", WORKDAY(Main[[#This Row],[Tech Start Date]],19),IF(Main[[#This Row],[Class]]="A",WORKDAY(Main[[#This Row],[Tech Start Date]],9),""))))</f>
        <v/>
      </c>
      <c r="Q687" s="74">
        <v>40344</v>
      </c>
      <c r="R687" s="74"/>
      <c r="S687" s="72" t="s">
        <v>11</v>
      </c>
      <c r="T687" s="80" t="s">
        <v>4</v>
      </c>
      <c r="U687" s="72" t="s">
        <v>14</v>
      </c>
      <c r="V687" s="72" t="s">
        <v>1940</v>
      </c>
      <c r="W687" s="72" t="s">
        <v>1943</v>
      </c>
      <c r="X687" s="72" t="s">
        <v>3024</v>
      </c>
      <c r="Y687" s="72" t="s">
        <v>3154</v>
      </c>
      <c r="Z687" s="72" t="s">
        <v>536</v>
      </c>
    </row>
    <row r="688" spans="1:26" ht="18.600000000000001" customHeight="1">
      <c r="A688" s="142" t="str">
        <f>IF(priority(Main[[#This Row],[Comments]])&lt;&gt;0, priority(Main[[#This Row],[Comments]]),"")</f>
        <v/>
      </c>
      <c r="B688" s="90" t="s">
        <v>1540</v>
      </c>
      <c r="C688" s="72" t="s">
        <v>4</v>
      </c>
      <c r="D688" s="73" t="s">
        <v>603</v>
      </c>
      <c r="E688" s="74">
        <v>40645.435763888891</v>
      </c>
      <c r="F688" s="74"/>
      <c r="G688" s="75" t="str">
        <f>IF(stdProdLT(Main[[#This Row],[Comments]])=0.1,"N/A",IF(stdProdLT(Main[[#This Row],[Comments]])=0,"",stdProdLT(Main[[#This Row],[Comments]])))</f>
        <v/>
      </c>
      <c r="H688" s="76" t="str">
        <f>IF(AND(Main[[#This Row],[In Stock Date]]&lt;&gt;"",Main[[#This Row],[Revised Due Date]]&lt;&gt;""),Main[[#This Row],[In Stock Date]]-Main[[#This Row],[Revised Due Date]],"")</f>
        <v/>
      </c>
      <c r="I688" s="72" t="s">
        <v>568</v>
      </c>
      <c r="J688" s="72" t="s">
        <v>70</v>
      </c>
      <c r="K688" s="72" t="s">
        <v>4</v>
      </c>
      <c r="L688" s="74"/>
      <c r="M688" s="77" t="str">
        <f>IF(Main[[#This Row],[Tech Start Date]]&lt;1/1/1990,"",IF(Main[[#This Row],[Class]]="C",WORKDAY(Main[[#This Row],[Tech Start Date]],9),IF(Main[[#This Row],[Class]]="B", WORKDAY(Main[[#This Row],[Tech Start Date]],6),IF(Main[[#This Row],[Class]]="A",WORKDAY(Main[[#This Row],[Tech Start Date]],2),""))))</f>
        <v/>
      </c>
      <c r="N688" s="77" t="str">
        <f>IF(Main[[#This Row],[Tech Start Date]]&lt;1/1/1990,"",IF(Main[[#This Row],[Class]]="C",WORKDAY(Main[[#This Row],[Tech Start Date]],19),IF(Main[[#This Row],[Class]]="B", WORKDAY(Main[[#This Row],[Tech Start Date]],12),IF(Main[[#This Row],[Class]]="A",WORKDAY(Main[[#This Row],[Tech Start Date]],4),""))))</f>
        <v/>
      </c>
      <c r="O688" s="77" t="str">
        <f>IF(Main[[#This Row],[Tech Start Date]]&lt;1/1/1990,"",IF(Main[[#This Row],[Class]]="C",WORKDAY(Main[[#This Row],[Tech Start Date]],23),IF(Main[[#This Row],[Class]]="B", WORKDAY(Main[[#This Row],[Tech Start Date]],15),IF(Main[[#This Row],[Class]]="A",WORKDAY(Main[[#This Row],[Tech Start Date]],5),""))))</f>
        <v/>
      </c>
      <c r="P688" s="77" t="str">
        <f>IF(Main[[#This Row],[Tech Start Date]]&lt;1/1/1990,"",IF(Main[[#This Row],[Class]]="C",WORKDAY(Main[[#This Row],[Tech Start Date]],28),IF(Main[[#This Row],[Class]]="B", WORKDAY(Main[[#This Row],[Tech Start Date]],19),IF(Main[[#This Row],[Class]]="A",WORKDAY(Main[[#This Row],[Tech Start Date]],9),""))))</f>
        <v/>
      </c>
      <c r="Q688" s="74">
        <v>40669</v>
      </c>
      <c r="R688" s="74"/>
      <c r="S688" s="72" t="s">
        <v>6</v>
      </c>
      <c r="T688" s="80" t="s">
        <v>4</v>
      </c>
      <c r="U688" s="72" t="s">
        <v>29</v>
      </c>
      <c r="V688" s="72" t="s">
        <v>1937</v>
      </c>
      <c r="W688" s="72" t="s">
        <v>4</v>
      </c>
      <c r="X688" s="72" t="s">
        <v>126</v>
      </c>
      <c r="Y688" s="72" t="s">
        <v>3191</v>
      </c>
      <c r="Z688" s="72" t="s">
        <v>4</v>
      </c>
    </row>
    <row r="689" spans="1:26" ht="18.600000000000001" customHeight="1">
      <c r="A689" s="142" t="str">
        <f>IF(priority(Main[[#This Row],[Comments]])&lt;&gt;0, priority(Main[[#This Row],[Comments]]),"")</f>
        <v/>
      </c>
      <c r="B689" s="90" t="s">
        <v>1542</v>
      </c>
      <c r="C689" s="72" t="s">
        <v>406</v>
      </c>
      <c r="D689" s="73" t="s">
        <v>604</v>
      </c>
      <c r="E689" s="74"/>
      <c r="F689" s="74">
        <v>40447</v>
      </c>
      <c r="G689" s="75" t="str">
        <f>IF(stdProdLT(Main[[#This Row],[Comments]])=0.1,"N/A",IF(stdProdLT(Main[[#This Row],[Comments]])=0,"",stdProdLT(Main[[#This Row],[Comments]])))</f>
        <v/>
      </c>
      <c r="H689" s="76" t="str">
        <f>IF(AND(Main[[#This Row],[In Stock Date]]&lt;&gt;"",Main[[#This Row],[Revised Due Date]]&lt;&gt;""),Main[[#This Row],[In Stock Date]]-Main[[#This Row],[Revised Due Date]],"")</f>
        <v/>
      </c>
      <c r="I689" s="72" t="s">
        <v>4</v>
      </c>
      <c r="J689" s="72" t="s">
        <v>4</v>
      </c>
      <c r="K689" s="81" t="s">
        <v>4</v>
      </c>
      <c r="L689" s="74"/>
      <c r="M689" s="77" t="str">
        <f>IF(Main[[#This Row],[Tech Start Date]]&lt;1/1/1990,"",IF(Main[[#This Row],[Class]]="C",WORKDAY(Main[[#This Row],[Tech Start Date]],9),IF(Main[[#This Row],[Class]]="B", WORKDAY(Main[[#This Row],[Tech Start Date]],6),IF(Main[[#This Row],[Class]]="A",WORKDAY(Main[[#This Row],[Tech Start Date]],2),""))))</f>
        <v/>
      </c>
      <c r="N689" s="77" t="str">
        <f>IF(Main[[#This Row],[Tech Start Date]]&lt;1/1/1990,"",IF(Main[[#This Row],[Class]]="C",WORKDAY(Main[[#This Row],[Tech Start Date]],19),IF(Main[[#This Row],[Class]]="B", WORKDAY(Main[[#This Row],[Tech Start Date]],12),IF(Main[[#This Row],[Class]]="A",WORKDAY(Main[[#This Row],[Tech Start Date]],4),""))))</f>
        <v/>
      </c>
      <c r="O689" s="77" t="str">
        <f>IF(Main[[#This Row],[Tech Start Date]]&lt;1/1/1990,"",IF(Main[[#This Row],[Class]]="C",WORKDAY(Main[[#This Row],[Tech Start Date]],23),IF(Main[[#This Row],[Class]]="B", WORKDAY(Main[[#This Row],[Tech Start Date]],15),IF(Main[[#This Row],[Class]]="A",WORKDAY(Main[[#This Row],[Tech Start Date]],5),""))))</f>
        <v/>
      </c>
      <c r="P689" s="77" t="str">
        <f>IF(Main[[#This Row],[Tech Start Date]]&lt;1/1/1990,"",IF(Main[[#This Row],[Class]]="C",WORKDAY(Main[[#This Row],[Tech Start Date]],28),IF(Main[[#This Row],[Class]]="B", WORKDAY(Main[[#This Row],[Tech Start Date]],19),IF(Main[[#This Row],[Class]]="A",WORKDAY(Main[[#This Row],[Tech Start Date]],9),""))))</f>
        <v/>
      </c>
      <c r="Q689" s="74">
        <v>40349</v>
      </c>
      <c r="R689" s="74"/>
      <c r="S689" s="72" t="s">
        <v>11</v>
      </c>
      <c r="T689" s="80" t="s">
        <v>4</v>
      </c>
      <c r="U689" s="72" t="s">
        <v>14</v>
      </c>
      <c r="V689" s="72" t="s">
        <v>1947</v>
      </c>
      <c r="W689" s="72" t="s">
        <v>1942</v>
      </c>
      <c r="X689" s="72" t="s">
        <v>3002</v>
      </c>
      <c r="Y689" s="72" t="s">
        <v>4</v>
      </c>
      <c r="Z689" s="72" t="s">
        <v>4</v>
      </c>
    </row>
    <row r="690" spans="1:26" ht="18.600000000000001" customHeight="1">
      <c r="A690" s="142" t="str">
        <f>IF(priority(Main[[#This Row],[Comments]])&lt;&gt;0, priority(Main[[#This Row],[Comments]]),"")</f>
        <v/>
      </c>
      <c r="B690" s="90" t="s">
        <v>1562</v>
      </c>
      <c r="C690" s="72" t="s">
        <v>442</v>
      </c>
      <c r="D690" s="73" t="s">
        <v>632</v>
      </c>
      <c r="E690" s="74"/>
      <c r="F690" s="74">
        <v>40056</v>
      </c>
      <c r="G690" s="75" t="str">
        <f>IF(stdProdLT(Main[[#This Row],[Comments]])=0.1,"N/A",IF(stdProdLT(Main[[#This Row],[Comments]])=0,"",stdProdLT(Main[[#This Row],[Comments]])))</f>
        <v/>
      </c>
      <c r="H690" s="76" t="str">
        <f>IF(AND(Main[[#This Row],[In Stock Date]]&lt;&gt;"",Main[[#This Row],[Revised Due Date]]&lt;&gt;""),Main[[#This Row],[In Stock Date]]-Main[[#This Row],[Revised Due Date]],"")</f>
        <v/>
      </c>
      <c r="I690" s="72" t="s">
        <v>4</v>
      </c>
      <c r="J690" s="72" t="s">
        <v>4</v>
      </c>
      <c r="K690" s="81" t="s">
        <v>4</v>
      </c>
      <c r="L690" s="74"/>
      <c r="M690" s="77" t="str">
        <f>IF(Main[[#This Row],[Tech Start Date]]&lt;1/1/1990,"",IF(Main[[#This Row],[Class]]="C",WORKDAY(Main[[#This Row],[Tech Start Date]],9),IF(Main[[#This Row],[Class]]="B", WORKDAY(Main[[#This Row],[Tech Start Date]],6),IF(Main[[#This Row],[Class]]="A",WORKDAY(Main[[#This Row],[Tech Start Date]],2),""))))</f>
        <v/>
      </c>
      <c r="N690" s="77" t="str">
        <f>IF(Main[[#This Row],[Tech Start Date]]&lt;1/1/1990,"",IF(Main[[#This Row],[Class]]="C",WORKDAY(Main[[#This Row],[Tech Start Date]],19),IF(Main[[#This Row],[Class]]="B", WORKDAY(Main[[#This Row],[Tech Start Date]],12),IF(Main[[#This Row],[Class]]="A",WORKDAY(Main[[#This Row],[Tech Start Date]],4),""))))</f>
        <v/>
      </c>
      <c r="O690" s="77" t="str">
        <f>IF(Main[[#This Row],[Tech Start Date]]&lt;1/1/1990,"",IF(Main[[#This Row],[Class]]="C",WORKDAY(Main[[#This Row],[Tech Start Date]],23),IF(Main[[#This Row],[Class]]="B", WORKDAY(Main[[#This Row],[Tech Start Date]],15),IF(Main[[#This Row],[Class]]="A",WORKDAY(Main[[#This Row],[Tech Start Date]],5),""))))</f>
        <v/>
      </c>
      <c r="P690" s="77" t="str">
        <f>IF(Main[[#This Row],[Tech Start Date]]&lt;1/1/1990,"",IF(Main[[#This Row],[Class]]="C",WORKDAY(Main[[#This Row],[Tech Start Date]],28),IF(Main[[#This Row],[Class]]="B", WORKDAY(Main[[#This Row],[Tech Start Date]],19),IF(Main[[#This Row],[Class]]="A",WORKDAY(Main[[#This Row],[Tech Start Date]],9),""))))</f>
        <v/>
      </c>
      <c r="Q690" s="74"/>
      <c r="R690" s="74"/>
      <c r="S690" s="72" t="s">
        <v>11</v>
      </c>
      <c r="T690" s="80" t="s">
        <v>4</v>
      </c>
      <c r="U690" s="72" t="s">
        <v>14</v>
      </c>
      <c r="V690" s="72" t="s">
        <v>1937</v>
      </c>
      <c r="W690" s="72" t="s">
        <v>1945</v>
      </c>
      <c r="X690" s="72" t="s">
        <v>3005</v>
      </c>
      <c r="Y690" s="72" t="s">
        <v>3149</v>
      </c>
      <c r="Z690" s="72" t="s">
        <v>4</v>
      </c>
    </row>
    <row r="691" spans="1:26" ht="18.600000000000001" customHeight="1">
      <c r="A691" s="142" t="str">
        <f>IF(priority(Main[[#This Row],[Comments]])&lt;&gt;0, priority(Main[[#This Row],[Comments]]),"")</f>
        <v/>
      </c>
      <c r="B691" s="90" t="s">
        <v>1563</v>
      </c>
      <c r="C691" s="72" t="s">
        <v>4</v>
      </c>
      <c r="D691" s="73" t="s">
        <v>633</v>
      </c>
      <c r="E691" s="74"/>
      <c r="F691" s="74"/>
      <c r="G691" s="75" t="str">
        <f>IF(stdProdLT(Main[[#This Row],[Comments]])=0.1,"N/A",IF(stdProdLT(Main[[#This Row],[Comments]])=0,"",stdProdLT(Main[[#This Row],[Comments]])))</f>
        <v/>
      </c>
      <c r="H691" s="76" t="str">
        <f>IF(AND(Main[[#This Row],[In Stock Date]]&lt;&gt;"",Main[[#This Row],[Revised Due Date]]&lt;&gt;""),Main[[#This Row],[In Stock Date]]-Main[[#This Row],[Revised Due Date]],"")</f>
        <v/>
      </c>
      <c r="I691" s="72" t="s">
        <v>4</v>
      </c>
      <c r="J691" s="72" t="s">
        <v>4</v>
      </c>
      <c r="K691" s="72" t="s">
        <v>4</v>
      </c>
      <c r="L691" s="74"/>
      <c r="M691" s="77" t="str">
        <f>IF(Main[[#This Row],[Tech Start Date]]&lt;1/1/1990,"",IF(Main[[#This Row],[Class]]="C",WORKDAY(Main[[#This Row],[Tech Start Date]],9),IF(Main[[#This Row],[Class]]="B", WORKDAY(Main[[#This Row],[Tech Start Date]],6),IF(Main[[#This Row],[Class]]="A",WORKDAY(Main[[#This Row],[Tech Start Date]],2),""))))</f>
        <v/>
      </c>
      <c r="N691" s="77" t="str">
        <f>IF(Main[[#This Row],[Tech Start Date]]&lt;1/1/1990,"",IF(Main[[#This Row],[Class]]="C",WORKDAY(Main[[#This Row],[Tech Start Date]],19),IF(Main[[#This Row],[Class]]="B", WORKDAY(Main[[#This Row],[Tech Start Date]],12),IF(Main[[#This Row],[Class]]="A",WORKDAY(Main[[#This Row],[Tech Start Date]],4),""))))</f>
        <v/>
      </c>
      <c r="O691" s="77" t="str">
        <f>IF(Main[[#This Row],[Tech Start Date]]&lt;1/1/1990,"",IF(Main[[#This Row],[Class]]="C",WORKDAY(Main[[#This Row],[Tech Start Date]],23),IF(Main[[#This Row],[Class]]="B", WORKDAY(Main[[#This Row],[Tech Start Date]],15),IF(Main[[#This Row],[Class]]="A",WORKDAY(Main[[#This Row],[Tech Start Date]],5),""))))</f>
        <v/>
      </c>
      <c r="P691" s="77" t="str">
        <f>IF(Main[[#This Row],[Tech Start Date]]&lt;1/1/1990,"",IF(Main[[#This Row],[Class]]="C",WORKDAY(Main[[#This Row],[Tech Start Date]],28),IF(Main[[#This Row],[Class]]="B", WORKDAY(Main[[#This Row],[Tech Start Date]],19),IF(Main[[#This Row],[Class]]="A",WORKDAY(Main[[#This Row],[Tech Start Date]],9),""))))</f>
        <v/>
      </c>
      <c r="Q691" s="74"/>
      <c r="R691" s="74"/>
      <c r="S691" s="72" t="s">
        <v>17</v>
      </c>
      <c r="T691" s="80" t="s">
        <v>4</v>
      </c>
      <c r="U691" s="72" t="s">
        <v>12</v>
      </c>
      <c r="V691" s="72" t="s">
        <v>1937</v>
      </c>
      <c r="W691" s="72" t="s">
        <v>1939</v>
      </c>
      <c r="X691" s="72" t="s">
        <v>903</v>
      </c>
      <c r="Y691" s="72" t="s">
        <v>3231</v>
      </c>
      <c r="Z691" s="72" t="s">
        <v>4</v>
      </c>
    </row>
    <row r="692" spans="1:26" ht="18.600000000000001" customHeight="1">
      <c r="A692" s="142" t="str">
        <f>IF(priority(Main[[#This Row],[Comments]])&lt;&gt;0, priority(Main[[#This Row],[Comments]]),"")</f>
        <v/>
      </c>
      <c r="B692" s="90" t="s">
        <v>1861</v>
      </c>
      <c r="C692" s="72" t="s">
        <v>501</v>
      </c>
      <c r="D692" s="73" t="s">
        <v>908</v>
      </c>
      <c r="E692" s="74"/>
      <c r="F692" s="74"/>
      <c r="G692" s="75" t="str">
        <f>IF(stdProdLT(Main[[#This Row],[Comments]])=0.1,"N/A",IF(stdProdLT(Main[[#This Row],[Comments]])=0,"",stdProdLT(Main[[#This Row],[Comments]])))</f>
        <v/>
      </c>
      <c r="H692" s="76" t="str">
        <f>IF(AND(Main[[#This Row],[In Stock Date]]&lt;&gt;"",Main[[#This Row],[Revised Due Date]]&lt;&gt;""),Main[[#This Row],[In Stock Date]]-Main[[#This Row],[Revised Due Date]],"")</f>
        <v/>
      </c>
      <c r="I692" s="72" t="s">
        <v>126</v>
      </c>
      <c r="J692" s="72" t="s">
        <v>28</v>
      </c>
      <c r="K692" s="81" t="s">
        <v>1950</v>
      </c>
      <c r="L692" s="74"/>
      <c r="M692" s="77" t="str">
        <f>IF(Main[[#This Row],[Tech Start Date]]&lt;1/1/1990,"",IF(Main[[#This Row],[Class]]="C",WORKDAY(Main[[#This Row],[Tech Start Date]],9),IF(Main[[#This Row],[Class]]="B", WORKDAY(Main[[#This Row],[Tech Start Date]],6),IF(Main[[#This Row],[Class]]="A",WORKDAY(Main[[#This Row],[Tech Start Date]],2),""))))</f>
        <v/>
      </c>
      <c r="N692" s="77" t="str">
        <f>IF(Main[[#This Row],[Tech Start Date]]&lt;1/1/1990,"",IF(Main[[#This Row],[Class]]="C",WORKDAY(Main[[#This Row],[Tech Start Date]],19),IF(Main[[#This Row],[Class]]="B", WORKDAY(Main[[#This Row],[Tech Start Date]],12),IF(Main[[#This Row],[Class]]="A",WORKDAY(Main[[#This Row],[Tech Start Date]],4),""))))</f>
        <v/>
      </c>
      <c r="O692" s="77" t="str">
        <f>IF(Main[[#This Row],[Tech Start Date]]&lt;1/1/1990,"",IF(Main[[#This Row],[Class]]="C",WORKDAY(Main[[#This Row],[Tech Start Date]],23),IF(Main[[#This Row],[Class]]="B", WORKDAY(Main[[#This Row],[Tech Start Date]],15),IF(Main[[#This Row],[Class]]="A",WORKDAY(Main[[#This Row],[Tech Start Date]],5),""))))</f>
        <v/>
      </c>
      <c r="P692" s="77" t="str">
        <f>IF(Main[[#This Row],[Tech Start Date]]&lt;1/1/1990,"",IF(Main[[#This Row],[Class]]="C",WORKDAY(Main[[#This Row],[Tech Start Date]],28),IF(Main[[#This Row],[Class]]="B", WORKDAY(Main[[#This Row],[Tech Start Date]],19),IF(Main[[#This Row],[Class]]="A",WORKDAY(Main[[#This Row],[Tech Start Date]],9),""))))</f>
        <v/>
      </c>
      <c r="Q692" s="74">
        <v>40469</v>
      </c>
      <c r="R692" s="74">
        <v>40469</v>
      </c>
      <c r="S692" s="72" t="s">
        <v>11</v>
      </c>
      <c r="T692" s="80" t="s">
        <v>4</v>
      </c>
      <c r="U692" s="72" t="s">
        <v>14</v>
      </c>
      <c r="V692" s="72" t="s">
        <v>1937</v>
      </c>
      <c r="W692" s="72" t="s">
        <v>1945</v>
      </c>
      <c r="X692" s="72" t="s">
        <v>50</v>
      </c>
      <c r="Y692" s="72" t="s">
        <v>3220</v>
      </c>
      <c r="Z692" s="72" t="s">
        <v>129</v>
      </c>
    </row>
    <row r="693" spans="1:26" ht="18.600000000000001" customHeight="1">
      <c r="A693" s="142" t="str">
        <f>IF(priority(Main[[#This Row],[Comments]])&lt;&gt;0, priority(Main[[#This Row],[Comments]]),"")</f>
        <v/>
      </c>
      <c r="B693" s="90" t="s">
        <v>1543</v>
      </c>
      <c r="C693" s="72" t="s">
        <v>613</v>
      </c>
      <c r="D693" s="73" t="s">
        <v>614</v>
      </c>
      <c r="E693" s="74"/>
      <c r="F693" s="74">
        <v>41275</v>
      </c>
      <c r="G693" s="75" t="str">
        <f>IF(stdProdLT(Main[[#This Row],[Comments]])=0.1,"N/A",IF(stdProdLT(Main[[#This Row],[Comments]])=0,"",stdProdLT(Main[[#This Row],[Comments]])))</f>
        <v/>
      </c>
      <c r="H693" s="76" t="str">
        <f>IF(AND(Main[[#This Row],[In Stock Date]]&lt;&gt;"",Main[[#This Row],[Revised Due Date]]&lt;&gt;""),Main[[#This Row],[In Stock Date]]-Main[[#This Row],[Revised Due Date]],"")</f>
        <v/>
      </c>
      <c r="I693" s="72" t="s">
        <v>4</v>
      </c>
      <c r="J693" s="72" t="s">
        <v>4</v>
      </c>
      <c r="K693" s="72" t="s">
        <v>4</v>
      </c>
      <c r="L693" s="74"/>
      <c r="M693" s="77" t="str">
        <f>IF(Main[[#This Row],[Tech Start Date]]&lt;1/1/1990,"",IF(Main[[#This Row],[Class]]="C",WORKDAY(Main[[#This Row],[Tech Start Date]],9),IF(Main[[#This Row],[Class]]="B", WORKDAY(Main[[#This Row],[Tech Start Date]],6),IF(Main[[#This Row],[Class]]="A",WORKDAY(Main[[#This Row],[Tech Start Date]],2),""))))</f>
        <v/>
      </c>
      <c r="N693" s="77" t="str">
        <f>IF(Main[[#This Row],[Tech Start Date]]&lt;1/1/1990,"",IF(Main[[#This Row],[Class]]="C",WORKDAY(Main[[#This Row],[Tech Start Date]],19),IF(Main[[#This Row],[Class]]="B", WORKDAY(Main[[#This Row],[Tech Start Date]],12),IF(Main[[#This Row],[Class]]="A",WORKDAY(Main[[#This Row],[Tech Start Date]],4),""))))</f>
        <v/>
      </c>
      <c r="O693" s="77" t="str">
        <f>IF(Main[[#This Row],[Tech Start Date]]&lt;1/1/1990,"",IF(Main[[#This Row],[Class]]="C",WORKDAY(Main[[#This Row],[Tech Start Date]],23),IF(Main[[#This Row],[Class]]="B", WORKDAY(Main[[#This Row],[Tech Start Date]],15),IF(Main[[#This Row],[Class]]="A",WORKDAY(Main[[#This Row],[Tech Start Date]],5),""))))</f>
        <v/>
      </c>
      <c r="P693" s="77" t="str">
        <f>IF(Main[[#This Row],[Tech Start Date]]&lt;1/1/1990,"",IF(Main[[#This Row],[Class]]="C",WORKDAY(Main[[#This Row],[Tech Start Date]],28),IF(Main[[#This Row],[Class]]="B", WORKDAY(Main[[#This Row],[Tech Start Date]],19),IF(Main[[#This Row],[Class]]="A",WORKDAY(Main[[#This Row],[Tech Start Date]],9),""))))</f>
        <v/>
      </c>
      <c r="Q693" s="74">
        <v>40387</v>
      </c>
      <c r="R693" s="74"/>
      <c r="S693" s="72" t="s">
        <v>11</v>
      </c>
      <c r="T693" s="80" t="s">
        <v>4</v>
      </c>
      <c r="U693" s="72" t="s">
        <v>14</v>
      </c>
      <c r="V693" s="72" t="s">
        <v>1947</v>
      </c>
      <c r="W693" s="72" t="s">
        <v>1942</v>
      </c>
      <c r="X693" s="72" t="s">
        <v>2976</v>
      </c>
      <c r="Y693" s="72" t="s">
        <v>3233</v>
      </c>
      <c r="Z693" s="72" t="s">
        <v>81</v>
      </c>
    </row>
    <row r="694" spans="1:26" ht="18.600000000000001" customHeight="1">
      <c r="A694" s="142" t="str">
        <f>IF(priority(Main[[#This Row],[Comments]])&lt;&gt;0, priority(Main[[#This Row],[Comments]]),"")</f>
        <v/>
      </c>
      <c r="B694" s="90" t="s">
        <v>1544</v>
      </c>
      <c r="C694" s="72" t="s">
        <v>613</v>
      </c>
      <c r="D694" s="73" t="s">
        <v>615</v>
      </c>
      <c r="E694" s="74"/>
      <c r="F694" s="74">
        <v>41275</v>
      </c>
      <c r="G694" s="75" t="str">
        <f>IF(stdProdLT(Main[[#This Row],[Comments]])=0.1,"N/A",IF(stdProdLT(Main[[#This Row],[Comments]])=0,"",stdProdLT(Main[[#This Row],[Comments]])))</f>
        <v/>
      </c>
      <c r="H694" s="76" t="str">
        <f>IF(AND(Main[[#This Row],[In Stock Date]]&lt;&gt;"",Main[[#This Row],[Revised Due Date]]&lt;&gt;""),Main[[#This Row],[In Stock Date]]-Main[[#This Row],[Revised Due Date]],"")</f>
        <v/>
      </c>
      <c r="I694" s="72" t="s">
        <v>4</v>
      </c>
      <c r="J694" s="72" t="s">
        <v>4</v>
      </c>
      <c r="K694" s="81" t="s">
        <v>4</v>
      </c>
      <c r="L694" s="74"/>
      <c r="M694" s="77" t="str">
        <f>IF(Main[[#This Row],[Tech Start Date]]&lt;1/1/1990,"",IF(Main[[#This Row],[Class]]="C",WORKDAY(Main[[#This Row],[Tech Start Date]],9),IF(Main[[#This Row],[Class]]="B", WORKDAY(Main[[#This Row],[Tech Start Date]],6),IF(Main[[#This Row],[Class]]="A",WORKDAY(Main[[#This Row],[Tech Start Date]],2),""))))</f>
        <v/>
      </c>
      <c r="N694" s="77" t="str">
        <f>IF(Main[[#This Row],[Tech Start Date]]&lt;1/1/1990,"",IF(Main[[#This Row],[Class]]="C",WORKDAY(Main[[#This Row],[Tech Start Date]],19),IF(Main[[#This Row],[Class]]="B", WORKDAY(Main[[#This Row],[Tech Start Date]],12),IF(Main[[#This Row],[Class]]="A",WORKDAY(Main[[#This Row],[Tech Start Date]],4),""))))</f>
        <v/>
      </c>
      <c r="O694" s="77" t="str">
        <f>IF(Main[[#This Row],[Tech Start Date]]&lt;1/1/1990,"",IF(Main[[#This Row],[Class]]="C",WORKDAY(Main[[#This Row],[Tech Start Date]],23),IF(Main[[#This Row],[Class]]="B", WORKDAY(Main[[#This Row],[Tech Start Date]],15),IF(Main[[#This Row],[Class]]="A",WORKDAY(Main[[#This Row],[Tech Start Date]],5),""))))</f>
        <v/>
      </c>
      <c r="P694" s="77" t="str">
        <f>IF(Main[[#This Row],[Tech Start Date]]&lt;1/1/1990,"",IF(Main[[#This Row],[Class]]="C",WORKDAY(Main[[#This Row],[Tech Start Date]],28),IF(Main[[#This Row],[Class]]="B", WORKDAY(Main[[#This Row],[Tech Start Date]],19),IF(Main[[#This Row],[Class]]="A",WORKDAY(Main[[#This Row],[Tech Start Date]],9),""))))</f>
        <v/>
      </c>
      <c r="Q694" s="74">
        <v>40387</v>
      </c>
      <c r="R694" s="74"/>
      <c r="S694" s="72" t="s">
        <v>11</v>
      </c>
      <c r="T694" s="80" t="s">
        <v>4</v>
      </c>
      <c r="U694" s="72" t="s">
        <v>14</v>
      </c>
      <c r="V694" s="72" t="s">
        <v>1947</v>
      </c>
      <c r="W694" s="72" t="s">
        <v>1942</v>
      </c>
      <c r="X694" s="72" t="s">
        <v>2976</v>
      </c>
      <c r="Y694" s="72" t="s">
        <v>3233</v>
      </c>
      <c r="Z694" s="72" t="s">
        <v>4</v>
      </c>
    </row>
    <row r="695" spans="1:26" ht="18.600000000000001" customHeight="1">
      <c r="A695" s="142" t="str">
        <f>IF(priority(Main[[#This Row],[Comments]])&lt;&gt;0, priority(Main[[#This Row],[Comments]]),"")</f>
        <v/>
      </c>
      <c r="B695" s="90" t="s">
        <v>1545</v>
      </c>
      <c r="C695" s="72" t="s">
        <v>295</v>
      </c>
      <c r="D695" s="73" t="s">
        <v>296</v>
      </c>
      <c r="E695" s="74"/>
      <c r="F695" s="74"/>
      <c r="G695" s="75" t="str">
        <f>IF(stdProdLT(Main[[#This Row],[Comments]])=0.1,"N/A",IF(stdProdLT(Main[[#This Row],[Comments]])=0,"",stdProdLT(Main[[#This Row],[Comments]])))</f>
        <v/>
      </c>
      <c r="H695" s="76" t="str">
        <f>IF(AND(Main[[#This Row],[In Stock Date]]&lt;&gt;"",Main[[#This Row],[Revised Due Date]]&lt;&gt;""),Main[[#This Row],[In Stock Date]]-Main[[#This Row],[Revised Due Date]],"")</f>
        <v/>
      </c>
      <c r="I695" s="72" t="s">
        <v>4</v>
      </c>
      <c r="J695" s="72" t="s">
        <v>4</v>
      </c>
      <c r="K695" s="72" t="s">
        <v>4</v>
      </c>
      <c r="L695" s="74"/>
      <c r="M695" s="77" t="str">
        <f>IF(Main[[#This Row],[Tech Start Date]]&lt;1/1/1990,"",IF(Main[[#This Row],[Class]]="C",WORKDAY(Main[[#This Row],[Tech Start Date]],9),IF(Main[[#This Row],[Class]]="B", WORKDAY(Main[[#This Row],[Tech Start Date]],6),IF(Main[[#This Row],[Class]]="A",WORKDAY(Main[[#This Row],[Tech Start Date]],2),""))))</f>
        <v/>
      </c>
      <c r="N695" s="77" t="str">
        <f>IF(Main[[#This Row],[Tech Start Date]]&lt;1/1/1990,"",IF(Main[[#This Row],[Class]]="C",WORKDAY(Main[[#This Row],[Tech Start Date]],19),IF(Main[[#This Row],[Class]]="B", WORKDAY(Main[[#This Row],[Tech Start Date]],12),IF(Main[[#This Row],[Class]]="A",WORKDAY(Main[[#This Row],[Tech Start Date]],4),""))))</f>
        <v/>
      </c>
      <c r="O695" s="77" t="str">
        <f>IF(Main[[#This Row],[Tech Start Date]]&lt;1/1/1990,"",IF(Main[[#This Row],[Class]]="C",WORKDAY(Main[[#This Row],[Tech Start Date]],23),IF(Main[[#This Row],[Class]]="B", WORKDAY(Main[[#This Row],[Tech Start Date]],15),IF(Main[[#This Row],[Class]]="A",WORKDAY(Main[[#This Row],[Tech Start Date]],5),""))))</f>
        <v/>
      </c>
      <c r="P695" s="77" t="str">
        <f>IF(Main[[#This Row],[Tech Start Date]]&lt;1/1/1990,"",IF(Main[[#This Row],[Class]]="C",WORKDAY(Main[[#This Row],[Tech Start Date]],28),IF(Main[[#This Row],[Class]]="B", WORKDAY(Main[[#This Row],[Tech Start Date]],19),IF(Main[[#This Row],[Class]]="A",WORKDAY(Main[[#This Row],[Tech Start Date]],9),""))))</f>
        <v/>
      </c>
      <c r="Q695" s="74">
        <v>40052</v>
      </c>
      <c r="R695" s="74"/>
      <c r="S695" s="72" t="s">
        <v>11</v>
      </c>
      <c r="T695" s="80" t="s">
        <v>4</v>
      </c>
      <c r="U695" s="72" t="s">
        <v>14</v>
      </c>
      <c r="V695" s="72" t="s">
        <v>1940</v>
      </c>
      <c r="W695" s="72" t="s">
        <v>1939</v>
      </c>
      <c r="X695" s="72" t="s">
        <v>2986</v>
      </c>
      <c r="Y695" s="72" t="s">
        <v>4</v>
      </c>
      <c r="Z695" s="72" t="s">
        <v>4</v>
      </c>
    </row>
    <row r="696" spans="1:26" ht="18.600000000000001" customHeight="1">
      <c r="A696" s="142" t="str">
        <f>IF(priority(Main[[#This Row],[Comments]])&lt;&gt;0, priority(Main[[#This Row],[Comments]]),"")</f>
        <v/>
      </c>
      <c r="B696" s="90" t="s">
        <v>1546</v>
      </c>
      <c r="C696" s="72" t="s">
        <v>4</v>
      </c>
      <c r="D696" s="73" t="s">
        <v>616</v>
      </c>
      <c r="E696" s="74">
        <v>40533.617372685185</v>
      </c>
      <c r="F696" s="74">
        <v>40602</v>
      </c>
      <c r="G696" s="75" t="str">
        <f>IF(stdProdLT(Main[[#This Row],[Comments]])=0.1,"N/A",IF(stdProdLT(Main[[#This Row],[Comments]])=0,"",stdProdLT(Main[[#This Row],[Comments]])))</f>
        <v/>
      </c>
      <c r="H696" s="76" t="str">
        <f>IF(AND(Main[[#This Row],[In Stock Date]]&lt;&gt;"",Main[[#This Row],[Revised Due Date]]&lt;&gt;""),Main[[#This Row],[In Stock Date]]-Main[[#This Row],[Revised Due Date]],"")</f>
        <v/>
      </c>
      <c r="I696" s="72" t="s">
        <v>4</v>
      </c>
      <c r="J696" s="72" t="s">
        <v>28</v>
      </c>
      <c r="K696" s="72" t="s">
        <v>1946</v>
      </c>
      <c r="L696" s="74"/>
      <c r="M696" s="77" t="str">
        <f>IF(Main[[#This Row],[Tech Start Date]]&lt;1/1/1990,"",IF(Main[[#This Row],[Class]]="C",WORKDAY(Main[[#This Row],[Tech Start Date]],9),IF(Main[[#This Row],[Class]]="B", WORKDAY(Main[[#This Row],[Tech Start Date]],6),IF(Main[[#This Row],[Class]]="A",WORKDAY(Main[[#This Row],[Tech Start Date]],2),""))))</f>
        <v/>
      </c>
      <c r="N696" s="77" t="str">
        <f>IF(Main[[#This Row],[Tech Start Date]]&lt;1/1/1990,"",IF(Main[[#This Row],[Class]]="C",WORKDAY(Main[[#This Row],[Tech Start Date]],19),IF(Main[[#This Row],[Class]]="B", WORKDAY(Main[[#This Row],[Tech Start Date]],12),IF(Main[[#This Row],[Class]]="A",WORKDAY(Main[[#This Row],[Tech Start Date]],4),""))))</f>
        <v/>
      </c>
      <c r="O696" s="77" t="str">
        <f>IF(Main[[#This Row],[Tech Start Date]]&lt;1/1/1990,"",IF(Main[[#This Row],[Class]]="C",WORKDAY(Main[[#This Row],[Tech Start Date]],23),IF(Main[[#This Row],[Class]]="B", WORKDAY(Main[[#This Row],[Tech Start Date]],15),IF(Main[[#This Row],[Class]]="A",WORKDAY(Main[[#This Row],[Tech Start Date]],5),""))))</f>
        <v/>
      </c>
      <c r="P696" s="77" t="str">
        <f>IF(Main[[#This Row],[Tech Start Date]]&lt;1/1/1990,"",IF(Main[[#This Row],[Class]]="C",WORKDAY(Main[[#This Row],[Tech Start Date]],28),IF(Main[[#This Row],[Class]]="B", WORKDAY(Main[[#This Row],[Tech Start Date]],19),IF(Main[[#This Row],[Class]]="A",WORKDAY(Main[[#This Row],[Tech Start Date]],9),""))))</f>
        <v/>
      </c>
      <c r="Q696" s="74">
        <v>40602</v>
      </c>
      <c r="R696" s="74"/>
      <c r="S696" s="72" t="s">
        <v>6</v>
      </c>
      <c r="T696" s="80" t="s">
        <v>4</v>
      </c>
      <c r="U696" s="72" t="s">
        <v>7</v>
      </c>
      <c r="V696" s="72" t="s">
        <v>1937</v>
      </c>
      <c r="W696" s="72" t="s">
        <v>1939</v>
      </c>
      <c r="X696" s="72" t="s">
        <v>3039</v>
      </c>
      <c r="Y696" s="72" t="s">
        <v>3201</v>
      </c>
      <c r="Z696" s="72" t="s">
        <v>129</v>
      </c>
    </row>
    <row r="697" spans="1:26" ht="18.600000000000001" customHeight="1">
      <c r="A697" s="142" t="str">
        <f>IF(priority(Main[[#This Row],[Comments]])&lt;&gt;0, priority(Main[[#This Row],[Comments]]),"")</f>
        <v/>
      </c>
      <c r="B697" s="90" t="s">
        <v>1547</v>
      </c>
      <c r="C697" s="72" t="s">
        <v>4</v>
      </c>
      <c r="D697" s="73" t="s">
        <v>617</v>
      </c>
      <c r="E697" s="74">
        <v>40387.693402777775</v>
      </c>
      <c r="F697" s="74"/>
      <c r="G697" s="75" t="str">
        <f>IF(stdProdLT(Main[[#This Row],[Comments]])=0.1,"N/A",IF(stdProdLT(Main[[#This Row],[Comments]])=0,"",stdProdLT(Main[[#This Row],[Comments]])))</f>
        <v/>
      </c>
      <c r="H697" s="76" t="str">
        <f>IF(AND(Main[[#This Row],[In Stock Date]]&lt;&gt;"",Main[[#This Row],[Revised Due Date]]&lt;&gt;""),Main[[#This Row],[In Stock Date]]-Main[[#This Row],[Revised Due Date]],"")</f>
        <v/>
      </c>
      <c r="I697" s="72" t="s">
        <v>4</v>
      </c>
      <c r="J697" s="72" t="s">
        <v>28</v>
      </c>
      <c r="K697" s="81" t="s">
        <v>4</v>
      </c>
      <c r="L697" s="74"/>
      <c r="M697" s="77" t="str">
        <f>IF(Main[[#This Row],[Tech Start Date]]&lt;1/1/1990,"",IF(Main[[#This Row],[Class]]="C",WORKDAY(Main[[#This Row],[Tech Start Date]],9),IF(Main[[#This Row],[Class]]="B", WORKDAY(Main[[#This Row],[Tech Start Date]],6),IF(Main[[#This Row],[Class]]="A",WORKDAY(Main[[#This Row],[Tech Start Date]],2),""))))</f>
        <v/>
      </c>
      <c r="N697" s="77" t="str">
        <f>IF(Main[[#This Row],[Tech Start Date]]&lt;1/1/1990,"",IF(Main[[#This Row],[Class]]="C",WORKDAY(Main[[#This Row],[Tech Start Date]],19),IF(Main[[#This Row],[Class]]="B", WORKDAY(Main[[#This Row],[Tech Start Date]],12),IF(Main[[#This Row],[Class]]="A",WORKDAY(Main[[#This Row],[Tech Start Date]],4),""))))</f>
        <v/>
      </c>
      <c r="O697" s="77" t="str">
        <f>IF(Main[[#This Row],[Tech Start Date]]&lt;1/1/1990,"",IF(Main[[#This Row],[Class]]="C",WORKDAY(Main[[#This Row],[Tech Start Date]],23),IF(Main[[#This Row],[Class]]="B", WORKDAY(Main[[#This Row],[Tech Start Date]],15),IF(Main[[#This Row],[Class]]="A",WORKDAY(Main[[#This Row],[Tech Start Date]],5),""))))</f>
        <v/>
      </c>
      <c r="P697" s="77" t="str">
        <f>IF(Main[[#This Row],[Tech Start Date]]&lt;1/1/1990,"",IF(Main[[#This Row],[Class]]="C",WORKDAY(Main[[#This Row],[Tech Start Date]],28),IF(Main[[#This Row],[Class]]="B", WORKDAY(Main[[#This Row],[Tech Start Date]],19),IF(Main[[#This Row],[Class]]="A",WORKDAY(Main[[#This Row],[Tech Start Date]],9),""))))</f>
        <v/>
      </c>
      <c r="Q697" s="74">
        <v>40400</v>
      </c>
      <c r="R697" s="74"/>
      <c r="S697" s="72" t="s">
        <v>6</v>
      </c>
      <c r="T697" s="80" t="s">
        <v>4</v>
      </c>
      <c r="U697" s="72" t="s">
        <v>7</v>
      </c>
      <c r="V697" s="72" t="s">
        <v>1937</v>
      </c>
      <c r="W697" s="72" t="s">
        <v>1939</v>
      </c>
      <c r="X697" s="72" t="s">
        <v>102</v>
      </c>
      <c r="Y697" s="72" t="s">
        <v>3190</v>
      </c>
      <c r="Z697" s="72" t="s">
        <v>129</v>
      </c>
    </row>
    <row r="698" spans="1:26" ht="18.600000000000001" customHeight="1">
      <c r="A698" s="142" t="str">
        <f>IF(priority(Main[[#This Row],[Comments]])&lt;&gt;0, priority(Main[[#This Row],[Comments]]),"")</f>
        <v/>
      </c>
      <c r="B698" s="90" t="s">
        <v>1548</v>
      </c>
      <c r="C698" s="72" t="s">
        <v>4</v>
      </c>
      <c r="D698" s="73" t="s">
        <v>618</v>
      </c>
      <c r="E698" s="74">
        <v>40506.643229166664</v>
      </c>
      <c r="F698" s="74"/>
      <c r="G698" s="75" t="str">
        <f>IF(stdProdLT(Main[[#This Row],[Comments]])=0.1,"N/A",IF(stdProdLT(Main[[#This Row],[Comments]])=0,"",stdProdLT(Main[[#This Row],[Comments]])))</f>
        <v/>
      </c>
      <c r="H698" s="76" t="str">
        <f>IF(AND(Main[[#This Row],[In Stock Date]]&lt;&gt;"",Main[[#This Row],[Revised Due Date]]&lt;&gt;""),Main[[#This Row],[In Stock Date]]-Main[[#This Row],[Revised Due Date]],"")</f>
        <v/>
      </c>
      <c r="I698" s="72" t="s">
        <v>4</v>
      </c>
      <c r="J698" s="72" t="s">
        <v>28</v>
      </c>
      <c r="K698" s="72" t="s">
        <v>1944</v>
      </c>
      <c r="L698" s="74"/>
      <c r="M698" s="77" t="str">
        <f>IF(Main[[#This Row],[Tech Start Date]]&lt;1/1/1990,"",IF(Main[[#This Row],[Class]]="C",WORKDAY(Main[[#This Row],[Tech Start Date]],9),IF(Main[[#This Row],[Class]]="B", WORKDAY(Main[[#This Row],[Tech Start Date]],6),IF(Main[[#This Row],[Class]]="A",WORKDAY(Main[[#This Row],[Tech Start Date]],2),""))))</f>
        <v/>
      </c>
      <c r="N698" s="77" t="str">
        <f>IF(Main[[#This Row],[Tech Start Date]]&lt;1/1/1990,"",IF(Main[[#This Row],[Class]]="C",WORKDAY(Main[[#This Row],[Tech Start Date]],19),IF(Main[[#This Row],[Class]]="B", WORKDAY(Main[[#This Row],[Tech Start Date]],12),IF(Main[[#This Row],[Class]]="A",WORKDAY(Main[[#This Row],[Tech Start Date]],4),""))))</f>
        <v/>
      </c>
      <c r="O698" s="77" t="str">
        <f>IF(Main[[#This Row],[Tech Start Date]]&lt;1/1/1990,"",IF(Main[[#This Row],[Class]]="C",WORKDAY(Main[[#This Row],[Tech Start Date]],23),IF(Main[[#This Row],[Class]]="B", WORKDAY(Main[[#This Row],[Tech Start Date]],15),IF(Main[[#This Row],[Class]]="A",WORKDAY(Main[[#This Row],[Tech Start Date]],5),""))))</f>
        <v/>
      </c>
      <c r="P698" s="77" t="str">
        <f>IF(Main[[#This Row],[Tech Start Date]]&lt;1/1/1990,"",IF(Main[[#This Row],[Class]]="C",WORKDAY(Main[[#This Row],[Tech Start Date]],28),IF(Main[[#This Row],[Class]]="B", WORKDAY(Main[[#This Row],[Tech Start Date]],19),IF(Main[[#This Row],[Class]]="A",WORKDAY(Main[[#This Row],[Tech Start Date]],9),""))))</f>
        <v/>
      </c>
      <c r="Q698" s="74">
        <v>40548</v>
      </c>
      <c r="R698" s="74"/>
      <c r="S698" s="72" t="s">
        <v>6</v>
      </c>
      <c r="T698" s="80" t="s">
        <v>4</v>
      </c>
      <c r="U698" s="72" t="s">
        <v>7</v>
      </c>
      <c r="V698" s="72" t="s">
        <v>1937</v>
      </c>
      <c r="W698" s="72" t="s">
        <v>1941</v>
      </c>
      <c r="X698" s="72" t="s">
        <v>2973</v>
      </c>
      <c r="Y698" s="72" t="s">
        <v>3094</v>
      </c>
      <c r="Z698" s="72" t="s">
        <v>129</v>
      </c>
    </row>
    <row r="699" spans="1:26" ht="18.600000000000001" customHeight="1">
      <c r="A699" s="142" t="str">
        <f>IF(priority(Main[[#This Row],[Comments]])&lt;&gt;0, priority(Main[[#This Row],[Comments]]),"")</f>
        <v/>
      </c>
      <c r="B699" s="90" t="s">
        <v>1549</v>
      </c>
      <c r="C699" s="72" t="s">
        <v>4</v>
      </c>
      <c r="D699" s="73" t="s">
        <v>619</v>
      </c>
      <c r="E699" s="74">
        <v>40371.390138888892</v>
      </c>
      <c r="F699" s="74"/>
      <c r="G699" s="75" t="str">
        <f>IF(stdProdLT(Main[[#This Row],[Comments]])=0.1,"N/A",IF(stdProdLT(Main[[#This Row],[Comments]])=0,"",stdProdLT(Main[[#This Row],[Comments]])))</f>
        <v/>
      </c>
      <c r="H699" s="76" t="str">
        <f>IF(AND(Main[[#This Row],[In Stock Date]]&lt;&gt;"",Main[[#This Row],[Revised Due Date]]&lt;&gt;""),Main[[#This Row],[In Stock Date]]-Main[[#This Row],[Revised Due Date]],"")</f>
        <v/>
      </c>
      <c r="I699" s="72" t="s">
        <v>4</v>
      </c>
      <c r="J699" s="72" t="s">
        <v>4</v>
      </c>
      <c r="K699" s="81" t="s">
        <v>4</v>
      </c>
      <c r="L699" s="74"/>
      <c r="M699" s="77" t="str">
        <f>IF(Main[[#This Row],[Tech Start Date]]&lt;1/1/1990,"",IF(Main[[#This Row],[Class]]="C",WORKDAY(Main[[#This Row],[Tech Start Date]],9),IF(Main[[#This Row],[Class]]="B", WORKDAY(Main[[#This Row],[Tech Start Date]],6),IF(Main[[#This Row],[Class]]="A",WORKDAY(Main[[#This Row],[Tech Start Date]],2),""))))</f>
        <v/>
      </c>
      <c r="N699" s="77" t="str">
        <f>IF(Main[[#This Row],[Tech Start Date]]&lt;1/1/1990,"",IF(Main[[#This Row],[Class]]="C",WORKDAY(Main[[#This Row],[Tech Start Date]],19),IF(Main[[#This Row],[Class]]="B", WORKDAY(Main[[#This Row],[Tech Start Date]],12),IF(Main[[#This Row],[Class]]="A",WORKDAY(Main[[#This Row],[Tech Start Date]],4),""))))</f>
        <v/>
      </c>
      <c r="O699" s="77" t="str">
        <f>IF(Main[[#This Row],[Tech Start Date]]&lt;1/1/1990,"",IF(Main[[#This Row],[Class]]="C",WORKDAY(Main[[#This Row],[Tech Start Date]],23),IF(Main[[#This Row],[Class]]="B", WORKDAY(Main[[#This Row],[Tech Start Date]],15),IF(Main[[#This Row],[Class]]="A",WORKDAY(Main[[#This Row],[Tech Start Date]],5),""))))</f>
        <v/>
      </c>
      <c r="P699" s="77" t="str">
        <f>IF(Main[[#This Row],[Tech Start Date]]&lt;1/1/1990,"",IF(Main[[#This Row],[Class]]="C",WORKDAY(Main[[#This Row],[Tech Start Date]],28),IF(Main[[#This Row],[Class]]="B", WORKDAY(Main[[#This Row],[Tech Start Date]],19),IF(Main[[#This Row],[Class]]="A",WORKDAY(Main[[#This Row],[Tech Start Date]],9),""))))</f>
        <v/>
      </c>
      <c r="Q699" s="74">
        <v>40385</v>
      </c>
      <c r="R699" s="74"/>
      <c r="S699" s="72" t="s">
        <v>6</v>
      </c>
      <c r="T699" s="80" t="s">
        <v>4</v>
      </c>
      <c r="U699" s="72" t="s">
        <v>7</v>
      </c>
      <c r="V699" s="72" t="s">
        <v>1937</v>
      </c>
      <c r="W699" s="72" t="s">
        <v>1939</v>
      </c>
      <c r="X699" s="72" t="s">
        <v>102</v>
      </c>
      <c r="Y699" s="72" t="s">
        <v>3150</v>
      </c>
      <c r="Z699" s="72" t="s">
        <v>4</v>
      </c>
    </row>
    <row r="700" spans="1:26" ht="18.600000000000001" customHeight="1">
      <c r="A700" s="142" t="str">
        <f>IF(priority(Main[[#This Row],[Comments]])&lt;&gt;0, priority(Main[[#This Row],[Comments]]),"")</f>
        <v/>
      </c>
      <c r="B700" s="90" t="s">
        <v>1686</v>
      </c>
      <c r="C700" s="72" t="s">
        <v>4</v>
      </c>
      <c r="D700" s="73" t="s">
        <v>740</v>
      </c>
      <c r="E700" s="74"/>
      <c r="F700" s="74"/>
      <c r="G700" s="75" t="str">
        <f>IF(stdProdLT(Main[[#This Row],[Comments]])=0.1,"N/A",IF(stdProdLT(Main[[#This Row],[Comments]])=0,"",stdProdLT(Main[[#This Row],[Comments]])))</f>
        <v/>
      </c>
      <c r="H700" s="76" t="str">
        <f>IF(AND(Main[[#This Row],[In Stock Date]]&lt;&gt;"",Main[[#This Row],[Revised Due Date]]&lt;&gt;""),Main[[#This Row],[In Stock Date]]-Main[[#This Row],[Revised Due Date]],"")</f>
        <v/>
      </c>
      <c r="I700" s="72" t="s">
        <v>4</v>
      </c>
      <c r="J700" s="72" t="s">
        <v>4</v>
      </c>
      <c r="K700" s="72" t="s">
        <v>4</v>
      </c>
      <c r="L700" s="74"/>
      <c r="M700" s="77" t="str">
        <f>IF(Main[[#This Row],[Tech Start Date]]&lt;1/1/1990,"",IF(Main[[#This Row],[Class]]="C",WORKDAY(Main[[#This Row],[Tech Start Date]],9),IF(Main[[#This Row],[Class]]="B", WORKDAY(Main[[#This Row],[Tech Start Date]],6),IF(Main[[#This Row],[Class]]="A",WORKDAY(Main[[#This Row],[Tech Start Date]],2),""))))</f>
        <v/>
      </c>
      <c r="N700" s="77" t="str">
        <f>IF(Main[[#This Row],[Tech Start Date]]&lt;1/1/1990,"",IF(Main[[#This Row],[Class]]="C",WORKDAY(Main[[#This Row],[Tech Start Date]],19),IF(Main[[#This Row],[Class]]="B", WORKDAY(Main[[#This Row],[Tech Start Date]],12),IF(Main[[#This Row],[Class]]="A",WORKDAY(Main[[#This Row],[Tech Start Date]],4),""))))</f>
        <v/>
      </c>
      <c r="O700" s="77" t="str">
        <f>IF(Main[[#This Row],[Tech Start Date]]&lt;1/1/1990,"",IF(Main[[#This Row],[Class]]="C",WORKDAY(Main[[#This Row],[Tech Start Date]],23),IF(Main[[#This Row],[Class]]="B", WORKDAY(Main[[#This Row],[Tech Start Date]],15),IF(Main[[#This Row],[Class]]="A",WORKDAY(Main[[#This Row],[Tech Start Date]],5),""))))</f>
        <v/>
      </c>
      <c r="P700" s="77" t="str">
        <f>IF(Main[[#This Row],[Tech Start Date]]&lt;1/1/1990,"",IF(Main[[#This Row],[Class]]="C",WORKDAY(Main[[#This Row],[Tech Start Date]],28),IF(Main[[#This Row],[Class]]="B", WORKDAY(Main[[#This Row],[Tech Start Date]],19),IF(Main[[#This Row],[Class]]="A",WORKDAY(Main[[#This Row],[Tech Start Date]],9),""))))</f>
        <v/>
      </c>
      <c r="Q700" s="74"/>
      <c r="R700" s="74"/>
      <c r="S700" s="72" t="s">
        <v>23</v>
      </c>
      <c r="T700" s="80" t="s">
        <v>4</v>
      </c>
      <c r="U700" s="72" t="s">
        <v>14</v>
      </c>
      <c r="V700" s="72" t="s">
        <v>1937</v>
      </c>
      <c r="W700" s="72" t="s">
        <v>1941</v>
      </c>
      <c r="X700" s="72" t="s">
        <v>102</v>
      </c>
      <c r="Y700" s="72" t="s">
        <v>3234</v>
      </c>
      <c r="Z700" s="72" t="s">
        <v>4</v>
      </c>
    </row>
    <row r="701" spans="1:26" ht="18.600000000000001" customHeight="1">
      <c r="A701" s="142" t="str">
        <f>IF(priority(Main[[#This Row],[Comments]])&lt;&gt;0, priority(Main[[#This Row],[Comments]]),"")</f>
        <v/>
      </c>
      <c r="B701" s="90" t="s">
        <v>1550</v>
      </c>
      <c r="C701" s="72" t="s">
        <v>33</v>
      </c>
      <c r="D701" s="73" t="s">
        <v>620</v>
      </c>
      <c r="E701" s="74"/>
      <c r="F701" s="74">
        <v>40252</v>
      </c>
      <c r="G701" s="75" t="str">
        <f>IF(stdProdLT(Main[[#This Row],[Comments]])=0.1,"N/A",IF(stdProdLT(Main[[#This Row],[Comments]])=0,"",stdProdLT(Main[[#This Row],[Comments]])))</f>
        <v/>
      </c>
      <c r="H701" s="76" t="str">
        <f>IF(AND(Main[[#This Row],[In Stock Date]]&lt;&gt;"",Main[[#This Row],[Revised Due Date]]&lt;&gt;""),Main[[#This Row],[In Stock Date]]-Main[[#This Row],[Revised Due Date]],"")</f>
        <v/>
      </c>
      <c r="I701" s="72" t="s">
        <v>4</v>
      </c>
      <c r="J701" s="72" t="s">
        <v>4</v>
      </c>
      <c r="K701" s="72" t="s">
        <v>4</v>
      </c>
      <c r="L701" s="74"/>
      <c r="M701" s="77" t="str">
        <f>IF(Main[[#This Row],[Tech Start Date]]&lt;1/1/1990,"",IF(Main[[#This Row],[Class]]="C",WORKDAY(Main[[#This Row],[Tech Start Date]],9),IF(Main[[#This Row],[Class]]="B", WORKDAY(Main[[#This Row],[Tech Start Date]],6),IF(Main[[#This Row],[Class]]="A",WORKDAY(Main[[#This Row],[Tech Start Date]],2),""))))</f>
        <v/>
      </c>
      <c r="N701" s="77" t="str">
        <f>IF(Main[[#This Row],[Tech Start Date]]&lt;1/1/1990,"",IF(Main[[#This Row],[Class]]="C",WORKDAY(Main[[#This Row],[Tech Start Date]],19),IF(Main[[#This Row],[Class]]="B", WORKDAY(Main[[#This Row],[Tech Start Date]],12),IF(Main[[#This Row],[Class]]="A",WORKDAY(Main[[#This Row],[Tech Start Date]],4),""))))</f>
        <v/>
      </c>
      <c r="O701" s="77" t="str">
        <f>IF(Main[[#This Row],[Tech Start Date]]&lt;1/1/1990,"",IF(Main[[#This Row],[Class]]="C",WORKDAY(Main[[#This Row],[Tech Start Date]],23),IF(Main[[#This Row],[Class]]="B", WORKDAY(Main[[#This Row],[Tech Start Date]],15),IF(Main[[#This Row],[Class]]="A",WORKDAY(Main[[#This Row],[Tech Start Date]],5),""))))</f>
        <v/>
      </c>
      <c r="P701" s="77" t="str">
        <f>IF(Main[[#This Row],[Tech Start Date]]&lt;1/1/1990,"",IF(Main[[#This Row],[Class]]="C",WORKDAY(Main[[#This Row],[Tech Start Date]],28),IF(Main[[#This Row],[Class]]="B", WORKDAY(Main[[#This Row],[Tech Start Date]],19),IF(Main[[#This Row],[Class]]="A",WORKDAY(Main[[#This Row],[Tech Start Date]],9),""))))</f>
        <v/>
      </c>
      <c r="Q701" s="74">
        <v>40227</v>
      </c>
      <c r="R701" s="74"/>
      <c r="S701" s="72" t="s">
        <v>11</v>
      </c>
      <c r="T701" s="80" t="s">
        <v>4</v>
      </c>
      <c r="U701" s="72" t="s">
        <v>14</v>
      </c>
      <c r="V701" s="72" t="s">
        <v>1940</v>
      </c>
      <c r="W701" s="72" t="s">
        <v>1942</v>
      </c>
      <c r="X701" s="72" t="s">
        <v>3002</v>
      </c>
      <c r="Y701" s="72" t="s">
        <v>4</v>
      </c>
      <c r="Z701" s="72" t="s">
        <v>4</v>
      </c>
    </row>
    <row r="702" spans="1:26" ht="18.600000000000001" customHeight="1">
      <c r="A702" s="142" t="str">
        <f>IF(priority(Main[[#This Row],[Comments]])&lt;&gt;0, priority(Main[[#This Row],[Comments]]),"")</f>
        <v/>
      </c>
      <c r="B702" s="90" t="s">
        <v>1551</v>
      </c>
      <c r="C702" s="72" t="s">
        <v>4</v>
      </c>
      <c r="D702" s="73" t="s">
        <v>621</v>
      </c>
      <c r="E702" s="74"/>
      <c r="F702" s="74"/>
      <c r="G702" s="75" t="str">
        <f>IF(stdProdLT(Main[[#This Row],[Comments]])=0.1,"N/A",IF(stdProdLT(Main[[#This Row],[Comments]])=0,"",stdProdLT(Main[[#This Row],[Comments]])))</f>
        <v/>
      </c>
      <c r="H702" s="76" t="str">
        <f>IF(AND(Main[[#This Row],[In Stock Date]]&lt;&gt;"",Main[[#This Row],[Revised Due Date]]&lt;&gt;""),Main[[#This Row],[In Stock Date]]-Main[[#This Row],[Revised Due Date]],"")</f>
        <v/>
      </c>
      <c r="I702" s="72" t="s">
        <v>4</v>
      </c>
      <c r="J702" s="72" t="s">
        <v>28</v>
      </c>
      <c r="K702" s="72" t="s">
        <v>1946</v>
      </c>
      <c r="L702" s="74"/>
      <c r="M702" s="77" t="str">
        <f>IF(Main[[#This Row],[Tech Start Date]]&lt;1/1/1990,"",IF(Main[[#This Row],[Class]]="C",WORKDAY(Main[[#This Row],[Tech Start Date]],9),IF(Main[[#This Row],[Class]]="B", WORKDAY(Main[[#This Row],[Tech Start Date]],6),IF(Main[[#This Row],[Class]]="A",WORKDAY(Main[[#This Row],[Tech Start Date]],2),""))))</f>
        <v/>
      </c>
      <c r="N702" s="77" t="str">
        <f>IF(Main[[#This Row],[Tech Start Date]]&lt;1/1/1990,"",IF(Main[[#This Row],[Class]]="C",WORKDAY(Main[[#This Row],[Tech Start Date]],19),IF(Main[[#This Row],[Class]]="B", WORKDAY(Main[[#This Row],[Tech Start Date]],12),IF(Main[[#This Row],[Class]]="A",WORKDAY(Main[[#This Row],[Tech Start Date]],4),""))))</f>
        <v/>
      </c>
      <c r="O702" s="77" t="str">
        <f>IF(Main[[#This Row],[Tech Start Date]]&lt;1/1/1990,"",IF(Main[[#This Row],[Class]]="C",WORKDAY(Main[[#This Row],[Tech Start Date]],23),IF(Main[[#This Row],[Class]]="B", WORKDAY(Main[[#This Row],[Tech Start Date]],15),IF(Main[[#This Row],[Class]]="A",WORKDAY(Main[[#This Row],[Tech Start Date]],5),""))))</f>
        <v/>
      </c>
      <c r="P702" s="77" t="str">
        <f>IF(Main[[#This Row],[Tech Start Date]]&lt;1/1/1990,"",IF(Main[[#This Row],[Class]]="C",WORKDAY(Main[[#This Row],[Tech Start Date]],28),IF(Main[[#This Row],[Class]]="B", WORKDAY(Main[[#This Row],[Tech Start Date]],19),IF(Main[[#This Row],[Class]]="A",WORKDAY(Main[[#This Row],[Tech Start Date]],9),""))))</f>
        <v/>
      </c>
      <c r="Q702" s="74">
        <v>40387</v>
      </c>
      <c r="R702" s="74"/>
      <c r="S702" s="72" t="s">
        <v>6</v>
      </c>
      <c r="T702" s="80" t="s">
        <v>4</v>
      </c>
      <c r="U702" s="72" t="s">
        <v>14</v>
      </c>
      <c r="V702" s="72" t="s">
        <v>1937</v>
      </c>
      <c r="W702" s="72" t="s">
        <v>1942</v>
      </c>
      <c r="X702" s="72" t="s">
        <v>129</v>
      </c>
      <c r="Y702" s="72" t="s">
        <v>3235</v>
      </c>
      <c r="Z702" s="72" t="s">
        <v>129</v>
      </c>
    </row>
    <row r="703" spans="1:26" ht="18.600000000000001" customHeight="1">
      <c r="A703" s="142" t="str">
        <f>IF(priority(Main[[#This Row],[Comments]])&lt;&gt;0, priority(Main[[#This Row],[Comments]]),"")</f>
        <v/>
      </c>
      <c r="B703" s="90" t="s">
        <v>1552</v>
      </c>
      <c r="C703" s="72" t="s">
        <v>214</v>
      </c>
      <c r="D703" s="73" t="s">
        <v>419</v>
      </c>
      <c r="E703" s="74"/>
      <c r="F703" s="74">
        <v>40391</v>
      </c>
      <c r="G703" s="75" t="str">
        <f>IF(stdProdLT(Main[[#This Row],[Comments]])=0.1,"N/A",IF(stdProdLT(Main[[#This Row],[Comments]])=0,"",stdProdLT(Main[[#This Row],[Comments]])))</f>
        <v/>
      </c>
      <c r="H703" s="76" t="str">
        <f>IF(AND(Main[[#This Row],[In Stock Date]]&lt;&gt;"",Main[[#This Row],[Revised Due Date]]&lt;&gt;""),Main[[#This Row],[In Stock Date]]-Main[[#This Row],[Revised Due Date]],"")</f>
        <v/>
      </c>
      <c r="I703" s="72" t="s">
        <v>4</v>
      </c>
      <c r="J703" s="72" t="s">
        <v>4</v>
      </c>
      <c r="K703" s="72" t="s">
        <v>4</v>
      </c>
      <c r="L703" s="74"/>
      <c r="M703" s="77" t="str">
        <f>IF(Main[[#This Row],[Tech Start Date]]&lt;1/1/1990,"",IF(Main[[#This Row],[Class]]="C",WORKDAY(Main[[#This Row],[Tech Start Date]],9),IF(Main[[#This Row],[Class]]="B", WORKDAY(Main[[#This Row],[Tech Start Date]],6),IF(Main[[#This Row],[Class]]="A",WORKDAY(Main[[#This Row],[Tech Start Date]],2),""))))</f>
        <v/>
      </c>
      <c r="N703" s="77" t="str">
        <f>IF(Main[[#This Row],[Tech Start Date]]&lt;1/1/1990,"",IF(Main[[#This Row],[Class]]="C",WORKDAY(Main[[#This Row],[Tech Start Date]],19),IF(Main[[#This Row],[Class]]="B", WORKDAY(Main[[#This Row],[Tech Start Date]],12),IF(Main[[#This Row],[Class]]="A",WORKDAY(Main[[#This Row],[Tech Start Date]],4),""))))</f>
        <v/>
      </c>
      <c r="O703" s="77" t="str">
        <f>IF(Main[[#This Row],[Tech Start Date]]&lt;1/1/1990,"",IF(Main[[#This Row],[Class]]="C",WORKDAY(Main[[#This Row],[Tech Start Date]],23),IF(Main[[#This Row],[Class]]="B", WORKDAY(Main[[#This Row],[Tech Start Date]],15),IF(Main[[#This Row],[Class]]="A",WORKDAY(Main[[#This Row],[Tech Start Date]],5),""))))</f>
        <v/>
      </c>
      <c r="P703" s="77" t="str">
        <f>IF(Main[[#This Row],[Tech Start Date]]&lt;1/1/1990,"",IF(Main[[#This Row],[Class]]="C",WORKDAY(Main[[#This Row],[Tech Start Date]],28),IF(Main[[#This Row],[Class]]="B", WORKDAY(Main[[#This Row],[Tech Start Date]],19),IF(Main[[#This Row],[Class]]="A",WORKDAY(Main[[#This Row],[Tech Start Date]],9),""))))</f>
        <v/>
      </c>
      <c r="Q703" s="74">
        <v>40296</v>
      </c>
      <c r="R703" s="74"/>
      <c r="S703" s="72" t="s">
        <v>11</v>
      </c>
      <c r="T703" s="80" t="s">
        <v>4</v>
      </c>
      <c r="U703" s="72" t="s">
        <v>12</v>
      </c>
      <c r="V703" s="72" t="s">
        <v>1937</v>
      </c>
      <c r="W703" s="72" t="s">
        <v>1945</v>
      </c>
      <c r="X703" s="72" t="s">
        <v>2985</v>
      </c>
      <c r="Y703" s="72" t="s">
        <v>4</v>
      </c>
      <c r="Z703" s="72" t="s">
        <v>4</v>
      </c>
    </row>
    <row r="704" spans="1:26" ht="18.600000000000001" customHeight="1">
      <c r="A704" s="142" t="str">
        <f>IF(priority(Main[[#This Row],[Comments]])&lt;&gt;0, priority(Main[[#This Row],[Comments]]),"")</f>
        <v/>
      </c>
      <c r="B704" s="90" t="s">
        <v>1553</v>
      </c>
      <c r="C704" s="72" t="s">
        <v>214</v>
      </c>
      <c r="D704" s="73" t="s">
        <v>419</v>
      </c>
      <c r="E704" s="74"/>
      <c r="F704" s="74">
        <v>40452</v>
      </c>
      <c r="G704" s="75" t="str">
        <f>IF(stdProdLT(Main[[#This Row],[Comments]])=0.1,"N/A",IF(stdProdLT(Main[[#This Row],[Comments]])=0,"",stdProdLT(Main[[#This Row],[Comments]])))</f>
        <v/>
      </c>
      <c r="H704" s="76" t="str">
        <f>IF(AND(Main[[#This Row],[In Stock Date]]&lt;&gt;"",Main[[#This Row],[Revised Due Date]]&lt;&gt;""),Main[[#This Row],[In Stock Date]]-Main[[#This Row],[Revised Due Date]],"")</f>
        <v/>
      </c>
      <c r="I704" s="72" t="s">
        <v>4</v>
      </c>
      <c r="J704" s="72" t="s">
        <v>4</v>
      </c>
      <c r="K704" s="72" t="s">
        <v>4</v>
      </c>
      <c r="L704" s="74"/>
      <c r="M704" s="77" t="str">
        <f>IF(Main[[#This Row],[Tech Start Date]]&lt;1/1/1990,"",IF(Main[[#This Row],[Class]]="C",WORKDAY(Main[[#This Row],[Tech Start Date]],9),IF(Main[[#This Row],[Class]]="B", WORKDAY(Main[[#This Row],[Tech Start Date]],6),IF(Main[[#This Row],[Class]]="A",WORKDAY(Main[[#This Row],[Tech Start Date]],2),""))))</f>
        <v/>
      </c>
      <c r="N704" s="77" t="str">
        <f>IF(Main[[#This Row],[Tech Start Date]]&lt;1/1/1990,"",IF(Main[[#This Row],[Class]]="C",WORKDAY(Main[[#This Row],[Tech Start Date]],19),IF(Main[[#This Row],[Class]]="B", WORKDAY(Main[[#This Row],[Tech Start Date]],12),IF(Main[[#This Row],[Class]]="A",WORKDAY(Main[[#This Row],[Tech Start Date]],4),""))))</f>
        <v/>
      </c>
      <c r="O704" s="77" t="str">
        <f>IF(Main[[#This Row],[Tech Start Date]]&lt;1/1/1990,"",IF(Main[[#This Row],[Class]]="C",WORKDAY(Main[[#This Row],[Tech Start Date]],23),IF(Main[[#This Row],[Class]]="B", WORKDAY(Main[[#This Row],[Tech Start Date]],15),IF(Main[[#This Row],[Class]]="A",WORKDAY(Main[[#This Row],[Tech Start Date]],5),""))))</f>
        <v/>
      </c>
      <c r="P704" s="77" t="str">
        <f>IF(Main[[#This Row],[Tech Start Date]]&lt;1/1/1990,"",IF(Main[[#This Row],[Class]]="C",WORKDAY(Main[[#This Row],[Tech Start Date]],28),IF(Main[[#This Row],[Class]]="B", WORKDAY(Main[[#This Row],[Tech Start Date]],19),IF(Main[[#This Row],[Class]]="A",WORKDAY(Main[[#This Row],[Tech Start Date]],9),""))))</f>
        <v/>
      </c>
      <c r="Q704" s="74">
        <v>40357</v>
      </c>
      <c r="R704" s="74"/>
      <c r="S704" s="72" t="s">
        <v>11</v>
      </c>
      <c r="T704" s="80" t="s">
        <v>4</v>
      </c>
      <c r="U704" s="72" t="s">
        <v>12</v>
      </c>
      <c r="V704" s="72" t="s">
        <v>1937</v>
      </c>
      <c r="W704" s="72" t="s">
        <v>1945</v>
      </c>
      <c r="X704" s="72" t="s">
        <v>2985</v>
      </c>
      <c r="Y704" s="72" t="s">
        <v>4</v>
      </c>
      <c r="Z704" s="72" t="s">
        <v>4</v>
      </c>
    </row>
    <row r="705" spans="1:26" ht="18.600000000000001" customHeight="1">
      <c r="A705" s="142" t="str">
        <f>IF(priority(Main[[#This Row],[Comments]])&lt;&gt;0, priority(Main[[#This Row],[Comments]]),"")</f>
        <v/>
      </c>
      <c r="B705" s="90" t="s">
        <v>1554</v>
      </c>
      <c r="C705" s="72" t="s">
        <v>214</v>
      </c>
      <c r="D705" s="73" t="s">
        <v>215</v>
      </c>
      <c r="E705" s="74"/>
      <c r="F705" s="74">
        <v>40452</v>
      </c>
      <c r="G705" s="75" t="str">
        <f>IF(stdProdLT(Main[[#This Row],[Comments]])=0.1,"N/A",IF(stdProdLT(Main[[#This Row],[Comments]])=0,"",stdProdLT(Main[[#This Row],[Comments]])))</f>
        <v/>
      </c>
      <c r="H705" s="76" t="str">
        <f>IF(AND(Main[[#This Row],[In Stock Date]]&lt;&gt;"",Main[[#This Row],[Revised Due Date]]&lt;&gt;""),Main[[#This Row],[In Stock Date]]-Main[[#This Row],[Revised Due Date]],"")</f>
        <v/>
      </c>
      <c r="I705" s="72" t="s">
        <v>4</v>
      </c>
      <c r="J705" s="72" t="s">
        <v>4</v>
      </c>
      <c r="K705" s="72" t="s">
        <v>4</v>
      </c>
      <c r="L705" s="74"/>
      <c r="M705" s="77" t="str">
        <f>IF(Main[[#This Row],[Tech Start Date]]&lt;1/1/1990,"",IF(Main[[#This Row],[Class]]="C",WORKDAY(Main[[#This Row],[Tech Start Date]],9),IF(Main[[#This Row],[Class]]="B", WORKDAY(Main[[#This Row],[Tech Start Date]],6),IF(Main[[#This Row],[Class]]="A",WORKDAY(Main[[#This Row],[Tech Start Date]],2),""))))</f>
        <v/>
      </c>
      <c r="N705" s="77" t="str">
        <f>IF(Main[[#This Row],[Tech Start Date]]&lt;1/1/1990,"",IF(Main[[#This Row],[Class]]="C",WORKDAY(Main[[#This Row],[Tech Start Date]],19),IF(Main[[#This Row],[Class]]="B", WORKDAY(Main[[#This Row],[Tech Start Date]],12),IF(Main[[#This Row],[Class]]="A",WORKDAY(Main[[#This Row],[Tech Start Date]],4),""))))</f>
        <v/>
      </c>
      <c r="O705" s="77" t="str">
        <f>IF(Main[[#This Row],[Tech Start Date]]&lt;1/1/1990,"",IF(Main[[#This Row],[Class]]="C",WORKDAY(Main[[#This Row],[Tech Start Date]],23),IF(Main[[#This Row],[Class]]="B", WORKDAY(Main[[#This Row],[Tech Start Date]],15),IF(Main[[#This Row],[Class]]="A",WORKDAY(Main[[#This Row],[Tech Start Date]],5),""))))</f>
        <v/>
      </c>
      <c r="P705" s="77" t="str">
        <f>IF(Main[[#This Row],[Tech Start Date]]&lt;1/1/1990,"",IF(Main[[#This Row],[Class]]="C",WORKDAY(Main[[#This Row],[Tech Start Date]],28),IF(Main[[#This Row],[Class]]="B", WORKDAY(Main[[#This Row],[Tech Start Date]],19),IF(Main[[#This Row],[Class]]="A",WORKDAY(Main[[#This Row],[Tech Start Date]],9),""))))</f>
        <v/>
      </c>
      <c r="Q705" s="74">
        <v>40357</v>
      </c>
      <c r="R705" s="74"/>
      <c r="S705" s="72" t="s">
        <v>11</v>
      </c>
      <c r="T705" s="80" t="s">
        <v>4</v>
      </c>
      <c r="U705" s="72" t="s">
        <v>12</v>
      </c>
      <c r="V705" s="72" t="s">
        <v>1937</v>
      </c>
      <c r="W705" s="72" t="s">
        <v>1945</v>
      </c>
      <c r="X705" s="72" t="s">
        <v>2985</v>
      </c>
      <c r="Y705" s="72" t="s">
        <v>4</v>
      </c>
      <c r="Z705" s="72" t="s">
        <v>4</v>
      </c>
    </row>
    <row r="706" spans="1:26" ht="18.600000000000001" customHeight="1">
      <c r="A706" s="142" t="str">
        <f>IF(priority(Main[[#This Row],[Comments]])&lt;&gt;0, priority(Main[[#This Row],[Comments]]),"")</f>
        <v/>
      </c>
      <c r="B706" s="90" t="s">
        <v>1555</v>
      </c>
      <c r="C706" s="72" t="s">
        <v>214</v>
      </c>
      <c r="D706" s="73" t="s">
        <v>215</v>
      </c>
      <c r="E706" s="74"/>
      <c r="F706" s="74">
        <v>40452</v>
      </c>
      <c r="G706" s="75" t="str">
        <f>IF(stdProdLT(Main[[#This Row],[Comments]])=0.1,"N/A",IF(stdProdLT(Main[[#This Row],[Comments]])=0,"",stdProdLT(Main[[#This Row],[Comments]])))</f>
        <v/>
      </c>
      <c r="H706" s="76" t="str">
        <f>IF(AND(Main[[#This Row],[In Stock Date]]&lt;&gt;"",Main[[#This Row],[Revised Due Date]]&lt;&gt;""),Main[[#This Row],[In Stock Date]]-Main[[#This Row],[Revised Due Date]],"")</f>
        <v/>
      </c>
      <c r="I706" s="72" t="s">
        <v>4</v>
      </c>
      <c r="J706" s="72" t="s">
        <v>4</v>
      </c>
      <c r="K706" s="72" t="s">
        <v>4</v>
      </c>
      <c r="L706" s="74"/>
      <c r="M706" s="77" t="str">
        <f>IF(Main[[#This Row],[Tech Start Date]]&lt;1/1/1990,"",IF(Main[[#This Row],[Class]]="C",WORKDAY(Main[[#This Row],[Tech Start Date]],9),IF(Main[[#This Row],[Class]]="B", WORKDAY(Main[[#This Row],[Tech Start Date]],6),IF(Main[[#This Row],[Class]]="A",WORKDAY(Main[[#This Row],[Tech Start Date]],2),""))))</f>
        <v/>
      </c>
      <c r="N706" s="77" t="str">
        <f>IF(Main[[#This Row],[Tech Start Date]]&lt;1/1/1990,"",IF(Main[[#This Row],[Class]]="C",WORKDAY(Main[[#This Row],[Tech Start Date]],19),IF(Main[[#This Row],[Class]]="B", WORKDAY(Main[[#This Row],[Tech Start Date]],12),IF(Main[[#This Row],[Class]]="A",WORKDAY(Main[[#This Row],[Tech Start Date]],4),""))))</f>
        <v/>
      </c>
      <c r="O706" s="77" t="str">
        <f>IF(Main[[#This Row],[Tech Start Date]]&lt;1/1/1990,"",IF(Main[[#This Row],[Class]]="C",WORKDAY(Main[[#This Row],[Tech Start Date]],23),IF(Main[[#This Row],[Class]]="B", WORKDAY(Main[[#This Row],[Tech Start Date]],15),IF(Main[[#This Row],[Class]]="A",WORKDAY(Main[[#This Row],[Tech Start Date]],5),""))))</f>
        <v/>
      </c>
      <c r="P706" s="77" t="str">
        <f>IF(Main[[#This Row],[Tech Start Date]]&lt;1/1/1990,"",IF(Main[[#This Row],[Class]]="C",WORKDAY(Main[[#This Row],[Tech Start Date]],28),IF(Main[[#This Row],[Class]]="B", WORKDAY(Main[[#This Row],[Tech Start Date]],19),IF(Main[[#This Row],[Class]]="A",WORKDAY(Main[[#This Row],[Tech Start Date]],9),""))))</f>
        <v/>
      </c>
      <c r="Q706" s="74">
        <v>40357</v>
      </c>
      <c r="R706" s="74"/>
      <c r="S706" s="72" t="s">
        <v>11</v>
      </c>
      <c r="T706" s="80" t="s">
        <v>4</v>
      </c>
      <c r="U706" s="72" t="s">
        <v>12</v>
      </c>
      <c r="V706" s="72" t="s">
        <v>1937</v>
      </c>
      <c r="W706" s="72" t="s">
        <v>1945</v>
      </c>
      <c r="X706" s="72" t="s">
        <v>2985</v>
      </c>
      <c r="Y706" s="72" t="s">
        <v>4</v>
      </c>
      <c r="Z706" s="72" t="s">
        <v>4</v>
      </c>
    </row>
    <row r="707" spans="1:26" ht="18.600000000000001" customHeight="1">
      <c r="A707" s="142" t="str">
        <f>IF(priority(Main[[#This Row],[Comments]])&lt;&gt;0, priority(Main[[#This Row],[Comments]]),"")</f>
        <v/>
      </c>
      <c r="B707" s="90" t="s">
        <v>1556</v>
      </c>
      <c r="C707" s="72" t="s">
        <v>72</v>
      </c>
      <c r="D707" s="73" t="s">
        <v>622</v>
      </c>
      <c r="E707" s="74"/>
      <c r="F707" s="74"/>
      <c r="G707" s="75" t="str">
        <f>IF(stdProdLT(Main[[#This Row],[Comments]])=0.1,"N/A",IF(stdProdLT(Main[[#This Row],[Comments]])=0,"",stdProdLT(Main[[#This Row],[Comments]])))</f>
        <v/>
      </c>
      <c r="H707" s="76" t="str">
        <f>IF(AND(Main[[#This Row],[In Stock Date]]&lt;&gt;"",Main[[#This Row],[Revised Due Date]]&lt;&gt;""),Main[[#This Row],[In Stock Date]]-Main[[#This Row],[Revised Due Date]],"")</f>
        <v/>
      </c>
      <c r="I707" s="72" t="s">
        <v>4</v>
      </c>
      <c r="J707" s="72" t="s">
        <v>4</v>
      </c>
      <c r="K707" s="72" t="s">
        <v>4</v>
      </c>
      <c r="L707" s="74"/>
      <c r="M707" s="77" t="str">
        <f>IF(Main[[#This Row],[Tech Start Date]]&lt;1/1/1990,"",IF(Main[[#This Row],[Class]]="C",WORKDAY(Main[[#This Row],[Tech Start Date]],9),IF(Main[[#This Row],[Class]]="B", WORKDAY(Main[[#This Row],[Tech Start Date]],6),IF(Main[[#This Row],[Class]]="A",WORKDAY(Main[[#This Row],[Tech Start Date]],2),""))))</f>
        <v/>
      </c>
      <c r="N707" s="77" t="str">
        <f>IF(Main[[#This Row],[Tech Start Date]]&lt;1/1/1990,"",IF(Main[[#This Row],[Class]]="C",WORKDAY(Main[[#This Row],[Tech Start Date]],19),IF(Main[[#This Row],[Class]]="B", WORKDAY(Main[[#This Row],[Tech Start Date]],12),IF(Main[[#This Row],[Class]]="A",WORKDAY(Main[[#This Row],[Tech Start Date]],4),""))))</f>
        <v/>
      </c>
      <c r="O707" s="77" t="str">
        <f>IF(Main[[#This Row],[Tech Start Date]]&lt;1/1/1990,"",IF(Main[[#This Row],[Class]]="C",WORKDAY(Main[[#This Row],[Tech Start Date]],23),IF(Main[[#This Row],[Class]]="B", WORKDAY(Main[[#This Row],[Tech Start Date]],15),IF(Main[[#This Row],[Class]]="A",WORKDAY(Main[[#This Row],[Tech Start Date]],5),""))))</f>
        <v/>
      </c>
      <c r="P707" s="77" t="str">
        <f>IF(Main[[#This Row],[Tech Start Date]]&lt;1/1/1990,"",IF(Main[[#This Row],[Class]]="C",WORKDAY(Main[[#This Row],[Tech Start Date]],28),IF(Main[[#This Row],[Class]]="B", WORKDAY(Main[[#This Row],[Tech Start Date]],19),IF(Main[[#This Row],[Class]]="A",WORKDAY(Main[[#This Row],[Tech Start Date]],9),""))))</f>
        <v/>
      </c>
      <c r="Q707" s="74"/>
      <c r="R707" s="74"/>
      <c r="S707" s="72" t="s">
        <v>11</v>
      </c>
      <c r="T707" s="80" t="s">
        <v>4</v>
      </c>
      <c r="U707" s="72" t="s">
        <v>14</v>
      </c>
      <c r="V707" s="72" t="s">
        <v>1938</v>
      </c>
      <c r="W707" s="72" t="s">
        <v>1945</v>
      </c>
      <c r="X707" s="72" t="s">
        <v>2979</v>
      </c>
      <c r="Y707" s="72" t="s">
        <v>3106</v>
      </c>
      <c r="Z707" s="72" t="s">
        <v>4</v>
      </c>
    </row>
    <row r="708" spans="1:26" ht="18.600000000000001" customHeight="1">
      <c r="A708" s="142" t="str">
        <f>IF(priority(Main[[#This Row],[Comments]])&lt;&gt;0, priority(Main[[#This Row],[Comments]]),"")</f>
        <v/>
      </c>
      <c r="B708" s="90" t="s">
        <v>1557</v>
      </c>
      <c r="C708" s="72" t="s">
        <v>33</v>
      </c>
      <c r="D708" s="73" t="s">
        <v>623</v>
      </c>
      <c r="E708" s="74"/>
      <c r="F708" s="74"/>
      <c r="G708" s="75" t="str">
        <f>IF(stdProdLT(Main[[#This Row],[Comments]])=0.1,"N/A",IF(stdProdLT(Main[[#This Row],[Comments]])=0,"",stdProdLT(Main[[#This Row],[Comments]])))</f>
        <v/>
      </c>
      <c r="H708" s="76" t="str">
        <f>IF(AND(Main[[#This Row],[In Stock Date]]&lt;&gt;"",Main[[#This Row],[Revised Due Date]]&lt;&gt;""),Main[[#This Row],[In Stock Date]]-Main[[#This Row],[Revised Due Date]],"")</f>
        <v/>
      </c>
      <c r="I708" s="72" t="s">
        <v>4</v>
      </c>
      <c r="J708" s="72" t="s">
        <v>4</v>
      </c>
      <c r="K708" s="72" t="s">
        <v>4</v>
      </c>
      <c r="L708" s="74"/>
      <c r="M708" s="77" t="str">
        <f>IF(Main[[#This Row],[Tech Start Date]]&lt;1/1/1990,"",IF(Main[[#This Row],[Class]]="C",WORKDAY(Main[[#This Row],[Tech Start Date]],9),IF(Main[[#This Row],[Class]]="B", WORKDAY(Main[[#This Row],[Tech Start Date]],6),IF(Main[[#This Row],[Class]]="A",WORKDAY(Main[[#This Row],[Tech Start Date]],2),""))))</f>
        <v/>
      </c>
      <c r="N708" s="77" t="str">
        <f>IF(Main[[#This Row],[Tech Start Date]]&lt;1/1/1990,"",IF(Main[[#This Row],[Class]]="C",WORKDAY(Main[[#This Row],[Tech Start Date]],19),IF(Main[[#This Row],[Class]]="B", WORKDAY(Main[[#This Row],[Tech Start Date]],12),IF(Main[[#This Row],[Class]]="A",WORKDAY(Main[[#This Row],[Tech Start Date]],4),""))))</f>
        <v/>
      </c>
      <c r="O708" s="77" t="str">
        <f>IF(Main[[#This Row],[Tech Start Date]]&lt;1/1/1990,"",IF(Main[[#This Row],[Class]]="C",WORKDAY(Main[[#This Row],[Tech Start Date]],23),IF(Main[[#This Row],[Class]]="B", WORKDAY(Main[[#This Row],[Tech Start Date]],15),IF(Main[[#This Row],[Class]]="A",WORKDAY(Main[[#This Row],[Tech Start Date]],5),""))))</f>
        <v/>
      </c>
      <c r="P708" s="77" t="str">
        <f>IF(Main[[#This Row],[Tech Start Date]]&lt;1/1/1990,"",IF(Main[[#This Row],[Class]]="C",WORKDAY(Main[[#This Row],[Tech Start Date]],28),IF(Main[[#This Row],[Class]]="B", WORKDAY(Main[[#This Row],[Tech Start Date]],19),IF(Main[[#This Row],[Class]]="A",WORKDAY(Main[[#This Row],[Tech Start Date]],9),""))))</f>
        <v/>
      </c>
      <c r="Q708" s="74"/>
      <c r="R708" s="74"/>
      <c r="S708" s="72" t="s">
        <v>11</v>
      </c>
      <c r="T708" s="80" t="s">
        <v>4</v>
      </c>
      <c r="U708" s="72" t="s">
        <v>14</v>
      </c>
      <c r="V708" s="72" t="s">
        <v>1938</v>
      </c>
      <c r="W708" s="72" t="s">
        <v>1945</v>
      </c>
      <c r="X708" s="72" t="s">
        <v>2979</v>
      </c>
      <c r="Y708" s="72" t="s">
        <v>3106</v>
      </c>
      <c r="Z708" s="72" t="s">
        <v>4</v>
      </c>
    </row>
    <row r="709" spans="1:26" ht="18.600000000000001" customHeight="1">
      <c r="A709" s="142" t="str">
        <f>IF(priority(Main[[#This Row],[Comments]])&lt;&gt;0, priority(Main[[#This Row],[Comments]]),"")</f>
        <v/>
      </c>
      <c r="B709" s="90" t="s">
        <v>1558</v>
      </c>
      <c r="C709" s="72" t="s">
        <v>33</v>
      </c>
      <c r="D709" s="73" t="s">
        <v>624</v>
      </c>
      <c r="E709" s="74"/>
      <c r="F709" s="74"/>
      <c r="G709" s="75" t="str">
        <f>IF(stdProdLT(Main[[#This Row],[Comments]])=0.1,"N/A",IF(stdProdLT(Main[[#This Row],[Comments]])=0,"",stdProdLT(Main[[#This Row],[Comments]])))</f>
        <v/>
      </c>
      <c r="H709" s="76" t="str">
        <f>IF(AND(Main[[#This Row],[In Stock Date]]&lt;&gt;"",Main[[#This Row],[Revised Due Date]]&lt;&gt;""),Main[[#This Row],[In Stock Date]]-Main[[#This Row],[Revised Due Date]],"")</f>
        <v/>
      </c>
      <c r="I709" s="72" t="s">
        <v>4</v>
      </c>
      <c r="J709" s="72" t="s">
        <v>4</v>
      </c>
      <c r="K709" s="72" t="s">
        <v>4</v>
      </c>
      <c r="L709" s="74"/>
      <c r="M709" s="77" t="str">
        <f>IF(Main[[#This Row],[Tech Start Date]]&lt;1/1/1990,"",IF(Main[[#This Row],[Class]]="C",WORKDAY(Main[[#This Row],[Tech Start Date]],9),IF(Main[[#This Row],[Class]]="B", WORKDAY(Main[[#This Row],[Tech Start Date]],6),IF(Main[[#This Row],[Class]]="A",WORKDAY(Main[[#This Row],[Tech Start Date]],2),""))))</f>
        <v/>
      </c>
      <c r="N709" s="77" t="str">
        <f>IF(Main[[#This Row],[Tech Start Date]]&lt;1/1/1990,"",IF(Main[[#This Row],[Class]]="C",WORKDAY(Main[[#This Row],[Tech Start Date]],19),IF(Main[[#This Row],[Class]]="B", WORKDAY(Main[[#This Row],[Tech Start Date]],12),IF(Main[[#This Row],[Class]]="A",WORKDAY(Main[[#This Row],[Tech Start Date]],4),""))))</f>
        <v/>
      </c>
      <c r="O709" s="77" t="str">
        <f>IF(Main[[#This Row],[Tech Start Date]]&lt;1/1/1990,"",IF(Main[[#This Row],[Class]]="C",WORKDAY(Main[[#This Row],[Tech Start Date]],23),IF(Main[[#This Row],[Class]]="B", WORKDAY(Main[[#This Row],[Tech Start Date]],15),IF(Main[[#This Row],[Class]]="A",WORKDAY(Main[[#This Row],[Tech Start Date]],5),""))))</f>
        <v/>
      </c>
      <c r="P709" s="77" t="str">
        <f>IF(Main[[#This Row],[Tech Start Date]]&lt;1/1/1990,"",IF(Main[[#This Row],[Class]]="C",WORKDAY(Main[[#This Row],[Tech Start Date]],28),IF(Main[[#This Row],[Class]]="B", WORKDAY(Main[[#This Row],[Tech Start Date]],19),IF(Main[[#This Row],[Class]]="A",WORKDAY(Main[[#This Row],[Tech Start Date]],9),""))))</f>
        <v/>
      </c>
      <c r="Q709" s="74"/>
      <c r="R709" s="74"/>
      <c r="S709" s="72" t="s">
        <v>11</v>
      </c>
      <c r="T709" s="80" t="s">
        <v>4</v>
      </c>
      <c r="U709" s="72" t="s">
        <v>14</v>
      </c>
      <c r="V709" s="72" t="s">
        <v>1938</v>
      </c>
      <c r="W709" s="72" t="s">
        <v>1945</v>
      </c>
      <c r="X709" s="72" t="s">
        <v>2979</v>
      </c>
      <c r="Y709" s="72" t="s">
        <v>3106</v>
      </c>
      <c r="Z709" s="72" t="s">
        <v>4</v>
      </c>
    </row>
    <row r="710" spans="1:26" ht="18.600000000000001" customHeight="1">
      <c r="A710" s="142" t="str">
        <f>IF(priority(Main[[#This Row],[Comments]])&lt;&gt;0, priority(Main[[#This Row],[Comments]]),"")</f>
        <v/>
      </c>
      <c r="B710" s="90" t="s">
        <v>1559</v>
      </c>
      <c r="C710" s="72" t="s">
        <v>4</v>
      </c>
      <c r="D710" s="73" t="s">
        <v>625</v>
      </c>
      <c r="E710" s="74">
        <v>40294.429988425924</v>
      </c>
      <c r="F710" s="74"/>
      <c r="G710" s="75" t="str">
        <f>IF(stdProdLT(Main[[#This Row],[Comments]])=0.1,"N/A",IF(stdProdLT(Main[[#This Row],[Comments]])=0,"",stdProdLT(Main[[#This Row],[Comments]])))</f>
        <v/>
      </c>
      <c r="H710" s="76" t="str">
        <f>IF(AND(Main[[#This Row],[In Stock Date]]&lt;&gt;"",Main[[#This Row],[Revised Due Date]]&lt;&gt;""),Main[[#This Row],[In Stock Date]]-Main[[#This Row],[Revised Due Date]],"")</f>
        <v/>
      </c>
      <c r="I710" s="72" t="s">
        <v>4</v>
      </c>
      <c r="J710" s="72" t="s">
        <v>4</v>
      </c>
      <c r="K710" s="72" t="s">
        <v>4</v>
      </c>
      <c r="L710" s="74"/>
      <c r="M710" s="77" t="str">
        <f>IF(Main[[#This Row],[Tech Start Date]]&lt;1/1/1990,"",IF(Main[[#This Row],[Class]]="C",WORKDAY(Main[[#This Row],[Tech Start Date]],9),IF(Main[[#This Row],[Class]]="B", WORKDAY(Main[[#This Row],[Tech Start Date]],6),IF(Main[[#This Row],[Class]]="A",WORKDAY(Main[[#This Row],[Tech Start Date]],2),""))))</f>
        <v/>
      </c>
      <c r="N710" s="77" t="str">
        <f>IF(Main[[#This Row],[Tech Start Date]]&lt;1/1/1990,"",IF(Main[[#This Row],[Class]]="C",WORKDAY(Main[[#This Row],[Tech Start Date]],19),IF(Main[[#This Row],[Class]]="B", WORKDAY(Main[[#This Row],[Tech Start Date]],12),IF(Main[[#This Row],[Class]]="A",WORKDAY(Main[[#This Row],[Tech Start Date]],4),""))))</f>
        <v/>
      </c>
      <c r="O710" s="77" t="str">
        <f>IF(Main[[#This Row],[Tech Start Date]]&lt;1/1/1990,"",IF(Main[[#This Row],[Class]]="C",WORKDAY(Main[[#This Row],[Tech Start Date]],23),IF(Main[[#This Row],[Class]]="B", WORKDAY(Main[[#This Row],[Tech Start Date]],15),IF(Main[[#This Row],[Class]]="A",WORKDAY(Main[[#This Row],[Tech Start Date]],5),""))))</f>
        <v/>
      </c>
      <c r="P710" s="77" t="str">
        <f>IF(Main[[#This Row],[Tech Start Date]]&lt;1/1/1990,"",IF(Main[[#This Row],[Class]]="C",WORKDAY(Main[[#This Row],[Tech Start Date]],28),IF(Main[[#This Row],[Class]]="B", WORKDAY(Main[[#This Row],[Tech Start Date]],19),IF(Main[[#This Row],[Class]]="A",WORKDAY(Main[[#This Row],[Tech Start Date]],9),""))))</f>
        <v/>
      </c>
      <c r="Q710" s="74">
        <v>40390</v>
      </c>
      <c r="R710" s="74"/>
      <c r="S710" s="72" t="s">
        <v>6</v>
      </c>
      <c r="T710" s="80" t="s">
        <v>4</v>
      </c>
      <c r="U710" s="72" t="s">
        <v>7</v>
      </c>
      <c r="V710" s="72" t="s">
        <v>1937</v>
      </c>
      <c r="W710" s="72" t="s">
        <v>4</v>
      </c>
      <c r="X710" s="72" t="s">
        <v>2971</v>
      </c>
      <c r="Y710" s="72" t="s">
        <v>3090</v>
      </c>
      <c r="Z710" s="72" t="s">
        <v>4</v>
      </c>
    </row>
    <row r="711" spans="1:26" ht="18.600000000000001" customHeight="1">
      <c r="A711" s="142" t="str">
        <f>IF(priority(Main[[#This Row],[Comments]])&lt;&gt;0, priority(Main[[#This Row],[Comments]]),"")</f>
        <v/>
      </c>
      <c r="B711" s="90" t="s">
        <v>1560</v>
      </c>
      <c r="C711" s="72" t="s">
        <v>4</v>
      </c>
      <c r="D711" s="73" t="s">
        <v>626</v>
      </c>
      <c r="E711" s="74"/>
      <c r="F711" s="74"/>
      <c r="G711" s="75" t="str">
        <f>IF(stdProdLT(Main[[#This Row],[Comments]])=0.1,"N/A",IF(stdProdLT(Main[[#This Row],[Comments]])=0,"",stdProdLT(Main[[#This Row],[Comments]])))</f>
        <v/>
      </c>
      <c r="H711" s="76" t="str">
        <f>IF(AND(Main[[#This Row],[In Stock Date]]&lt;&gt;"",Main[[#This Row],[Revised Due Date]]&lt;&gt;""),Main[[#This Row],[In Stock Date]]-Main[[#This Row],[Revised Due Date]],"")</f>
        <v/>
      </c>
      <c r="I711" s="72" t="s">
        <v>4</v>
      </c>
      <c r="J711" s="72" t="s">
        <v>4</v>
      </c>
      <c r="K711" s="72" t="s">
        <v>4</v>
      </c>
      <c r="L711" s="74"/>
      <c r="M711" s="77" t="str">
        <f>IF(Main[[#This Row],[Tech Start Date]]&lt;1/1/1990,"",IF(Main[[#This Row],[Class]]="C",WORKDAY(Main[[#This Row],[Tech Start Date]],9),IF(Main[[#This Row],[Class]]="B", WORKDAY(Main[[#This Row],[Tech Start Date]],6),IF(Main[[#This Row],[Class]]="A",WORKDAY(Main[[#This Row],[Tech Start Date]],2),""))))</f>
        <v/>
      </c>
      <c r="N711" s="77" t="str">
        <f>IF(Main[[#This Row],[Tech Start Date]]&lt;1/1/1990,"",IF(Main[[#This Row],[Class]]="C",WORKDAY(Main[[#This Row],[Tech Start Date]],19),IF(Main[[#This Row],[Class]]="B", WORKDAY(Main[[#This Row],[Tech Start Date]],12),IF(Main[[#This Row],[Class]]="A",WORKDAY(Main[[#This Row],[Tech Start Date]],4),""))))</f>
        <v/>
      </c>
      <c r="O711" s="77" t="str">
        <f>IF(Main[[#This Row],[Tech Start Date]]&lt;1/1/1990,"",IF(Main[[#This Row],[Class]]="C",WORKDAY(Main[[#This Row],[Tech Start Date]],23),IF(Main[[#This Row],[Class]]="B", WORKDAY(Main[[#This Row],[Tech Start Date]],15),IF(Main[[#This Row],[Class]]="A",WORKDAY(Main[[#This Row],[Tech Start Date]],5),""))))</f>
        <v/>
      </c>
      <c r="P711" s="77" t="str">
        <f>IF(Main[[#This Row],[Tech Start Date]]&lt;1/1/1990,"",IF(Main[[#This Row],[Class]]="C",WORKDAY(Main[[#This Row],[Tech Start Date]],28),IF(Main[[#This Row],[Class]]="B", WORKDAY(Main[[#This Row],[Tech Start Date]],19),IF(Main[[#This Row],[Class]]="A",WORKDAY(Main[[#This Row],[Tech Start Date]],9),""))))</f>
        <v/>
      </c>
      <c r="Q711" s="74"/>
      <c r="R711" s="74"/>
      <c r="S711" s="72" t="s">
        <v>11</v>
      </c>
      <c r="T711" s="80" t="s">
        <v>4</v>
      </c>
      <c r="U711" s="72" t="s">
        <v>14</v>
      </c>
      <c r="V711" s="72" t="s">
        <v>1937</v>
      </c>
      <c r="W711" s="72" t="s">
        <v>1941</v>
      </c>
      <c r="X711" s="72" t="s">
        <v>937</v>
      </c>
      <c r="Y711" s="72" t="s">
        <v>3140</v>
      </c>
      <c r="Z711" s="72" t="s">
        <v>4</v>
      </c>
    </row>
    <row r="712" spans="1:26" ht="18.600000000000001" customHeight="1">
      <c r="A712" s="142" t="str">
        <f>IF(priority(Main[[#This Row],[Comments]])&lt;&gt;0, priority(Main[[#This Row],[Comments]]),"")</f>
        <v/>
      </c>
      <c r="B712" s="90" t="s">
        <v>1564</v>
      </c>
      <c r="C712" s="72" t="s">
        <v>4</v>
      </c>
      <c r="D712" s="73" t="s">
        <v>634</v>
      </c>
      <c r="E712" s="74"/>
      <c r="F712" s="74"/>
      <c r="G712" s="75" t="str">
        <f>IF(stdProdLT(Main[[#This Row],[Comments]])=0.1,"N/A",IF(stdProdLT(Main[[#This Row],[Comments]])=0,"",stdProdLT(Main[[#This Row],[Comments]])))</f>
        <v/>
      </c>
      <c r="H712" s="76" t="str">
        <f>IF(AND(Main[[#This Row],[In Stock Date]]&lt;&gt;"",Main[[#This Row],[Revised Due Date]]&lt;&gt;""),Main[[#This Row],[In Stock Date]]-Main[[#This Row],[Revised Due Date]],"")</f>
        <v/>
      </c>
      <c r="I712" s="72" t="s">
        <v>4</v>
      </c>
      <c r="J712" s="72" t="s">
        <v>4</v>
      </c>
      <c r="K712" s="72" t="s">
        <v>4</v>
      </c>
      <c r="L712" s="74"/>
      <c r="M712" s="77" t="str">
        <f>IF(Main[[#This Row],[Tech Start Date]]&lt;1/1/1990,"",IF(Main[[#This Row],[Class]]="C",WORKDAY(Main[[#This Row],[Tech Start Date]],9),IF(Main[[#This Row],[Class]]="B", WORKDAY(Main[[#This Row],[Tech Start Date]],6),IF(Main[[#This Row],[Class]]="A",WORKDAY(Main[[#This Row],[Tech Start Date]],2),""))))</f>
        <v/>
      </c>
      <c r="N712" s="77" t="str">
        <f>IF(Main[[#This Row],[Tech Start Date]]&lt;1/1/1990,"",IF(Main[[#This Row],[Class]]="C",WORKDAY(Main[[#This Row],[Tech Start Date]],19),IF(Main[[#This Row],[Class]]="B", WORKDAY(Main[[#This Row],[Tech Start Date]],12),IF(Main[[#This Row],[Class]]="A",WORKDAY(Main[[#This Row],[Tech Start Date]],4),""))))</f>
        <v/>
      </c>
      <c r="O712" s="77" t="str">
        <f>IF(Main[[#This Row],[Tech Start Date]]&lt;1/1/1990,"",IF(Main[[#This Row],[Class]]="C",WORKDAY(Main[[#This Row],[Tech Start Date]],23),IF(Main[[#This Row],[Class]]="B", WORKDAY(Main[[#This Row],[Tech Start Date]],15),IF(Main[[#This Row],[Class]]="A",WORKDAY(Main[[#This Row],[Tech Start Date]],5),""))))</f>
        <v/>
      </c>
      <c r="P712" s="77" t="str">
        <f>IF(Main[[#This Row],[Tech Start Date]]&lt;1/1/1990,"",IF(Main[[#This Row],[Class]]="C",WORKDAY(Main[[#This Row],[Tech Start Date]],28),IF(Main[[#This Row],[Class]]="B", WORKDAY(Main[[#This Row],[Tech Start Date]],19),IF(Main[[#This Row],[Class]]="A",WORKDAY(Main[[#This Row],[Tech Start Date]],9),""))))</f>
        <v/>
      </c>
      <c r="Q712" s="74"/>
      <c r="R712" s="74"/>
      <c r="S712" s="72" t="s">
        <v>6</v>
      </c>
      <c r="T712" s="80" t="s">
        <v>4</v>
      </c>
      <c r="U712" s="72" t="s">
        <v>12</v>
      </c>
      <c r="V712" s="72" t="s">
        <v>1937</v>
      </c>
      <c r="W712" s="72" t="s">
        <v>4</v>
      </c>
      <c r="X712" s="72" t="s">
        <v>719</v>
      </c>
      <c r="Y712" s="72" t="s">
        <v>3236</v>
      </c>
      <c r="Z712" s="72" t="s">
        <v>4</v>
      </c>
    </row>
    <row r="713" spans="1:26" ht="18.600000000000001" customHeight="1">
      <c r="A713" s="142" t="str">
        <f>IF(priority(Main[[#This Row],[Comments]])&lt;&gt;0, priority(Main[[#This Row],[Comments]]),"")</f>
        <v/>
      </c>
      <c r="B713" s="90" t="s">
        <v>1565</v>
      </c>
      <c r="C713" s="72" t="s">
        <v>93</v>
      </c>
      <c r="D713" s="73" t="s">
        <v>635</v>
      </c>
      <c r="E713" s="74"/>
      <c r="F713" s="74">
        <v>40162</v>
      </c>
      <c r="G713" s="75" t="str">
        <f>IF(stdProdLT(Main[[#This Row],[Comments]])=0.1,"N/A",IF(stdProdLT(Main[[#This Row],[Comments]])=0,"",stdProdLT(Main[[#This Row],[Comments]])))</f>
        <v/>
      </c>
      <c r="H713" s="76" t="str">
        <f>IF(AND(Main[[#This Row],[In Stock Date]]&lt;&gt;"",Main[[#This Row],[Revised Due Date]]&lt;&gt;""),Main[[#This Row],[In Stock Date]]-Main[[#This Row],[Revised Due Date]],"")</f>
        <v/>
      </c>
      <c r="I713" s="72" t="s">
        <v>4</v>
      </c>
      <c r="J713" s="72" t="s">
        <v>4</v>
      </c>
      <c r="K713" s="81" t="s">
        <v>4</v>
      </c>
      <c r="L713" s="74"/>
      <c r="M713" s="77" t="str">
        <f>IF(Main[[#This Row],[Tech Start Date]]&lt;1/1/1990,"",IF(Main[[#This Row],[Class]]="C",WORKDAY(Main[[#This Row],[Tech Start Date]],9),IF(Main[[#This Row],[Class]]="B", WORKDAY(Main[[#This Row],[Tech Start Date]],6),IF(Main[[#This Row],[Class]]="A",WORKDAY(Main[[#This Row],[Tech Start Date]],2),""))))</f>
        <v/>
      </c>
      <c r="N713" s="77" t="str">
        <f>IF(Main[[#This Row],[Tech Start Date]]&lt;1/1/1990,"",IF(Main[[#This Row],[Class]]="C",WORKDAY(Main[[#This Row],[Tech Start Date]],19),IF(Main[[#This Row],[Class]]="B", WORKDAY(Main[[#This Row],[Tech Start Date]],12),IF(Main[[#This Row],[Class]]="A",WORKDAY(Main[[#This Row],[Tech Start Date]],4),""))))</f>
        <v/>
      </c>
      <c r="O713" s="77" t="str">
        <f>IF(Main[[#This Row],[Tech Start Date]]&lt;1/1/1990,"",IF(Main[[#This Row],[Class]]="C",WORKDAY(Main[[#This Row],[Tech Start Date]],23),IF(Main[[#This Row],[Class]]="B", WORKDAY(Main[[#This Row],[Tech Start Date]],15),IF(Main[[#This Row],[Class]]="A",WORKDAY(Main[[#This Row],[Tech Start Date]],5),""))))</f>
        <v/>
      </c>
      <c r="P713" s="77" t="str">
        <f>IF(Main[[#This Row],[Tech Start Date]]&lt;1/1/1990,"",IF(Main[[#This Row],[Class]]="C",WORKDAY(Main[[#This Row],[Tech Start Date]],28),IF(Main[[#This Row],[Class]]="B", WORKDAY(Main[[#This Row],[Tech Start Date]],19),IF(Main[[#This Row],[Class]]="A",WORKDAY(Main[[#This Row],[Tech Start Date]],9),""))))</f>
        <v/>
      </c>
      <c r="Q713" s="74">
        <v>40147</v>
      </c>
      <c r="R713" s="74"/>
      <c r="S713" s="72" t="s">
        <v>11</v>
      </c>
      <c r="T713" s="80" t="s">
        <v>4</v>
      </c>
      <c r="U713" s="72" t="s">
        <v>14</v>
      </c>
      <c r="V713" s="72" t="s">
        <v>1947</v>
      </c>
      <c r="W713" s="72" t="s">
        <v>1943</v>
      </c>
      <c r="X713" s="72" t="s">
        <v>2997</v>
      </c>
      <c r="Y713" s="72" t="s">
        <v>4</v>
      </c>
      <c r="Z713" s="72" t="s">
        <v>4</v>
      </c>
    </row>
    <row r="714" spans="1:26" ht="18.600000000000001" customHeight="1">
      <c r="A714" s="142" t="str">
        <f>IF(priority(Main[[#This Row],[Comments]])&lt;&gt;0, priority(Main[[#This Row],[Comments]]),"")</f>
        <v/>
      </c>
      <c r="B714" s="90" t="s">
        <v>1566</v>
      </c>
      <c r="C714" s="72" t="s">
        <v>4</v>
      </c>
      <c r="D714" s="73" t="s">
        <v>636</v>
      </c>
      <c r="E714" s="74"/>
      <c r="F714" s="74"/>
      <c r="G714" s="75" t="str">
        <f>IF(stdProdLT(Main[[#This Row],[Comments]])=0.1,"N/A",IF(stdProdLT(Main[[#This Row],[Comments]])=0,"",stdProdLT(Main[[#This Row],[Comments]])))</f>
        <v/>
      </c>
      <c r="H714" s="76" t="str">
        <f>IF(AND(Main[[#This Row],[In Stock Date]]&lt;&gt;"",Main[[#This Row],[Revised Due Date]]&lt;&gt;""),Main[[#This Row],[In Stock Date]]-Main[[#This Row],[Revised Due Date]],"")</f>
        <v/>
      </c>
      <c r="I714" s="72" t="s">
        <v>4</v>
      </c>
      <c r="J714" s="72" t="s">
        <v>28</v>
      </c>
      <c r="K714" s="72" t="s">
        <v>1950</v>
      </c>
      <c r="L714" s="74"/>
      <c r="M714" s="77" t="str">
        <f>IF(Main[[#This Row],[Tech Start Date]]&lt;1/1/1990,"",IF(Main[[#This Row],[Class]]="C",WORKDAY(Main[[#This Row],[Tech Start Date]],9),IF(Main[[#This Row],[Class]]="B", WORKDAY(Main[[#This Row],[Tech Start Date]],6),IF(Main[[#This Row],[Class]]="A",WORKDAY(Main[[#This Row],[Tech Start Date]],2),""))))</f>
        <v/>
      </c>
      <c r="N714" s="77" t="str">
        <f>IF(Main[[#This Row],[Tech Start Date]]&lt;1/1/1990,"",IF(Main[[#This Row],[Class]]="C",WORKDAY(Main[[#This Row],[Tech Start Date]],19),IF(Main[[#This Row],[Class]]="B", WORKDAY(Main[[#This Row],[Tech Start Date]],12),IF(Main[[#This Row],[Class]]="A",WORKDAY(Main[[#This Row],[Tech Start Date]],4),""))))</f>
        <v/>
      </c>
      <c r="O714" s="77" t="str">
        <f>IF(Main[[#This Row],[Tech Start Date]]&lt;1/1/1990,"",IF(Main[[#This Row],[Class]]="C",WORKDAY(Main[[#This Row],[Tech Start Date]],23),IF(Main[[#This Row],[Class]]="B", WORKDAY(Main[[#This Row],[Tech Start Date]],15),IF(Main[[#This Row],[Class]]="A",WORKDAY(Main[[#This Row],[Tech Start Date]],5),""))))</f>
        <v/>
      </c>
      <c r="P714" s="77" t="str">
        <f>IF(Main[[#This Row],[Tech Start Date]]&lt;1/1/1990,"",IF(Main[[#This Row],[Class]]="C",WORKDAY(Main[[#This Row],[Tech Start Date]],28),IF(Main[[#This Row],[Class]]="B", WORKDAY(Main[[#This Row],[Tech Start Date]],19),IF(Main[[#This Row],[Class]]="A",WORKDAY(Main[[#This Row],[Tech Start Date]],9),""))))</f>
        <v/>
      </c>
      <c r="Q714" s="74"/>
      <c r="R714" s="74"/>
      <c r="S714" s="72" t="s">
        <v>11</v>
      </c>
      <c r="T714" s="80" t="s">
        <v>4</v>
      </c>
      <c r="U714" s="72" t="s">
        <v>14</v>
      </c>
      <c r="V714" s="72" t="s">
        <v>1937</v>
      </c>
      <c r="W714" s="72" t="s">
        <v>1941</v>
      </c>
      <c r="X714" s="72" t="s">
        <v>2079</v>
      </c>
      <c r="Y714" s="72" t="s">
        <v>3160</v>
      </c>
      <c r="Z714" s="72" t="s">
        <v>129</v>
      </c>
    </row>
    <row r="715" spans="1:26" ht="18.600000000000001" customHeight="1">
      <c r="A715" s="142" t="str">
        <f>IF(priority(Main[[#This Row],[Comments]])&lt;&gt;0, priority(Main[[#This Row],[Comments]]),"")</f>
        <v/>
      </c>
      <c r="B715" s="90" t="s">
        <v>1136</v>
      </c>
      <c r="C715" s="72" t="s">
        <v>4</v>
      </c>
      <c r="D715" s="73" t="s">
        <v>170</v>
      </c>
      <c r="E715" s="74"/>
      <c r="F715" s="74"/>
      <c r="G715" s="75" t="str">
        <f>IF(stdProdLT(Main[[#This Row],[Comments]])=0.1,"N/A",IF(stdProdLT(Main[[#This Row],[Comments]])=0,"",stdProdLT(Main[[#This Row],[Comments]])))</f>
        <v/>
      </c>
      <c r="H715" s="76" t="str">
        <f>IF(AND(Main[[#This Row],[In Stock Date]]&lt;&gt;"",Main[[#This Row],[Revised Due Date]]&lt;&gt;""),Main[[#This Row],[In Stock Date]]-Main[[#This Row],[Revised Due Date]],"")</f>
        <v/>
      </c>
      <c r="I715" s="72" t="s">
        <v>4</v>
      </c>
      <c r="J715" s="72" t="s">
        <v>4</v>
      </c>
      <c r="K715" s="72" t="s">
        <v>4</v>
      </c>
      <c r="L715" s="74"/>
      <c r="M715" s="77" t="str">
        <f>IF(Main[[#This Row],[Tech Start Date]]&lt;1/1/1990,"",IF(Main[[#This Row],[Class]]="C",WORKDAY(Main[[#This Row],[Tech Start Date]],9),IF(Main[[#This Row],[Class]]="B", WORKDAY(Main[[#This Row],[Tech Start Date]],6),IF(Main[[#This Row],[Class]]="A",WORKDAY(Main[[#This Row],[Tech Start Date]],2),""))))</f>
        <v/>
      </c>
      <c r="N715" s="77" t="str">
        <f>IF(Main[[#This Row],[Tech Start Date]]&lt;1/1/1990,"",IF(Main[[#This Row],[Class]]="C",WORKDAY(Main[[#This Row],[Tech Start Date]],19),IF(Main[[#This Row],[Class]]="B", WORKDAY(Main[[#This Row],[Tech Start Date]],12),IF(Main[[#This Row],[Class]]="A",WORKDAY(Main[[#This Row],[Tech Start Date]],4),""))))</f>
        <v/>
      </c>
      <c r="O715" s="77" t="str">
        <f>IF(Main[[#This Row],[Tech Start Date]]&lt;1/1/1990,"",IF(Main[[#This Row],[Class]]="C",WORKDAY(Main[[#This Row],[Tech Start Date]],23),IF(Main[[#This Row],[Class]]="B", WORKDAY(Main[[#This Row],[Tech Start Date]],15),IF(Main[[#This Row],[Class]]="A",WORKDAY(Main[[#This Row],[Tech Start Date]],5),""))))</f>
        <v/>
      </c>
      <c r="P715" s="77" t="str">
        <f>IF(Main[[#This Row],[Tech Start Date]]&lt;1/1/1990,"",IF(Main[[#This Row],[Class]]="C",WORKDAY(Main[[#This Row],[Tech Start Date]],28),IF(Main[[#This Row],[Class]]="B", WORKDAY(Main[[#This Row],[Tech Start Date]],19),IF(Main[[#This Row],[Class]]="A",WORKDAY(Main[[#This Row],[Tech Start Date]],9),""))))</f>
        <v/>
      </c>
      <c r="Q715" s="74">
        <v>40737</v>
      </c>
      <c r="R715" s="74"/>
      <c r="S715" s="72" t="s">
        <v>6</v>
      </c>
      <c r="T715" s="80" t="s">
        <v>4</v>
      </c>
      <c r="U715" s="72" t="s">
        <v>14</v>
      </c>
      <c r="V715" s="72" t="s">
        <v>1940</v>
      </c>
      <c r="W715" s="72" t="s">
        <v>1941</v>
      </c>
      <c r="X715" s="72" t="s">
        <v>2988</v>
      </c>
      <c r="Y715" s="72" t="s">
        <v>3123</v>
      </c>
      <c r="Z715" s="72" t="s">
        <v>4</v>
      </c>
    </row>
    <row r="716" spans="1:26" ht="18.600000000000001" customHeight="1">
      <c r="A716" s="142" t="str">
        <f>IF(priority(Main[[#This Row],[Comments]])&lt;&gt;0, priority(Main[[#This Row],[Comments]]),"")</f>
        <v/>
      </c>
      <c r="B716" s="90" t="s">
        <v>1922</v>
      </c>
      <c r="C716" s="72" t="s">
        <v>72</v>
      </c>
      <c r="D716" s="73" t="s">
        <v>2122</v>
      </c>
      <c r="E716" s="74">
        <v>40469.931226851855</v>
      </c>
      <c r="F716" s="74">
        <v>40487</v>
      </c>
      <c r="G716" s="75" t="str">
        <f>IF(stdProdLT(Main[[#This Row],[Comments]])=0.1,"N/A",IF(stdProdLT(Main[[#This Row],[Comments]])=0,"",stdProdLT(Main[[#This Row],[Comments]])))</f>
        <v/>
      </c>
      <c r="H716" s="76">
        <f>IF(AND(Main[[#This Row],[In Stock Date]]&lt;&gt;"",Main[[#This Row],[Revised Due Date]]&lt;&gt;""),Main[[#This Row],[In Stock Date]]-Main[[#This Row],[Revised Due Date]],"")</f>
        <v>-294</v>
      </c>
      <c r="I716" s="72" t="s">
        <v>2080</v>
      </c>
      <c r="J716" s="72" t="s">
        <v>52</v>
      </c>
      <c r="K716" s="72" t="s">
        <v>1944</v>
      </c>
      <c r="L716" s="74"/>
      <c r="M716" s="77" t="str">
        <f>IF(Main[[#This Row],[Tech Start Date]]&lt;1/1/1990,"",IF(Main[[#This Row],[Class]]="C",WORKDAY(Main[[#This Row],[Tech Start Date]],9),IF(Main[[#This Row],[Class]]="B", WORKDAY(Main[[#This Row],[Tech Start Date]],6),IF(Main[[#This Row],[Class]]="A",WORKDAY(Main[[#This Row],[Tech Start Date]],2),""))))</f>
        <v/>
      </c>
      <c r="N716" s="77" t="str">
        <f>IF(Main[[#This Row],[Tech Start Date]]&lt;1/1/1990,"",IF(Main[[#This Row],[Class]]="C",WORKDAY(Main[[#This Row],[Tech Start Date]],19),IF(Main[[#This Row],[Class]]="B", WORKDAY(Main[[#This Row],[Tech Start Date]],12),IF(Main[[#This Row],[Class]]="A",WORKDAY(Main[[#This Row],[Tech Start Date]],4),""))))</f>
        <v/>
      </c>
      <c r="O716" s="77" t="str">
        <f>IF(Main[[#This Row],[Tech Start Date]]&lt;1/1/1990,"",IF(Main[[#This Row],[Class]]="C",WORKDAY(Main[[#This Row],[Tech Start Date]],23),IF(Main[[#This Row],[Class]]="B", WORKDAY(Main[[#This Row],[Tech Start Date]],15),IF(Main[[#This Row],[Class]]="A",WORKDAY(Main[[#This Row],[Tech Start Date]],5),""))))</f>
        <v/>
      </c>
      <c r="P716" s="77" t="str">
        <f>IF(Main[[#This Row],[Tech Start Date]]&lt;1/1/1990,"",IF(Main[[#This Row],[Class]]="C",WORKDAY(Main[[#This Row],[Tech Start Date]],28),IF(Main[[#This Row],[Class]]="B", WORKDAY(Main[[#This Row],[Tech Start Date]],19),IF(Main[[#This Row],[Class]]="A",WORKDAY(Main[[#This Row],[Tech Start Date]],9),""))))</f>
        <v/>
      </c>
      <c r="Q716" s="74"/>
      <c r="R716" s="74">
        <v>40781</v>
      </c>
      <c r="S716" s="72" t="s">
        <v>6</v>
      </c>
      <c r="T716" s="80" t="s">
        <v>2123</v>
      </c>
      <c r="U716" s="72" t="s">
        <v>29</v>
      </c>
      <c r="V716" s="72" t="s">
        <v>1938</v>
      </c>
      <c r="W716" s="72" t="s">
        <v>1939</v>
      </c>
      <c r="X716" s="72" t="s">
        <v>3053</v>
      </c>
      <c r="Y716" s="72" t="s">
        <v>3237</v>
      </c>
      <c r="Z716" s="72" t="s">
        <v>108</v>
      </c>
    </row>
    <row r="717" spans="1:26" ht="18.600000000000001" customHeight="1">
      <c r="A717" s="142" t="str">
        <f>IF(priority(Main[[#This Row],[Comments]])&lt;&gt;0, priority(Main[[#This Row],[Comments]]),"")</f>
        <v/>
      </c>
      <c r="B717" s="90" t="s">
        <v>1567</v>
      </c>
      <c r="C717" s="72" t="s">
        <v>4</v>
      </c>
      <c r="D717" s="73" t="s">
        <v>39</v>
      </c>
      <c r="E717" s="74"/>
      <c r="F717" s="74"/>
      <c r="G717" s="75" t="str">
        <f>IF(stdProdLT(Main[[#This Row],[Comments]])=0.1,"N/A",IF(stdProdLT(Main[[#This Row],[Comments]])=0,"",stdProdLT(Main[[#This Row],[Comments]])))</f>
        <v/>
      </c>
      <c r="H717" s="76" t="str">
        <f>IF(AND(Main[[#This Row],[In Stock Date]]&lt;&gt;"",Main[[#This Row],[Revised Due Date]]&lt;&gt;""),Main[[#This Row],[In Stock Date]]-Main[[#This Row],[Revised Due Date]],"")</f>
        <v/>
      </c>
      <c r="I717" s="72" t="s">
        <v>4</v>
      </c>
      <c r="J717" s="72" t="s">
        <v>4</v>
      </c>
      <c r="K717" s="72" t="s">
        <v>4</v>
      </c>
      <c r="L717" s="74"/>
      <c r="M717" s="77" t="str">
        <f>IF(Main[[#This Row],[Tech Start Date]]&lt;1/1/1990,"",IF(Main[[#This Row],[Class]]="C",WORKDAY(Main[[#This Row],[Tech Start Date]],9),IF(Main[[#This Row],[Class]]="B", WORKDAY(Main[[#This Row],[Tech Start Date]],6),IF(Main[[#This Row],[Class]]="A",WORKDAY(Main[[#This Row],[Tech Start Date]],2),""))))</f>
        <v/>
      </c>
      <c r="N717" s="77" t="str">
        <f>IF(Main[[#This Row],[Tech Start Date]]&lt;1/1/1990,"",IF(Main[[#This Row],[Class]]="C",WORKDAY(Main[[#This Row],[Tech Start Date]],19),IF(Main[[#This Row],[Class]]="B", WORKDAY(Main[[#This Row],[Tech Start Date]],12),IF(Main[[#This Row],[Class]]="A",WORKDAY(Main[[#This Row],[Tech Start Date]],4),""))))</f>
        <v/>
      </c>
      <c r="O717" s="77" t="str">
        <f>IF(Main[[#This Row],[Tech Start Date]]&lt;1/1/1990,"",IF(Main[[#This Row],[Class]]="C",WORKDAY(Main[[#This Row],[Tech Start Date]],23),IF(Main[[#This Row],[Class]]="B", WORKDAY(Main[[#This Row],[Tech Start Date]],15),IF(Main[[#This Row],[Class]]="A",WORKDAY(Main[[#This Row],[Tech Start Date]],5),""))))</f>
        <v/>
      </c>
      <c r="P717" s="77" t="str">
        <f>IF(Main[[#This Row],[Tech Start Date]]&lt;1/1/1990,"",IF(Main[[#This Row],[Class]]="C",WORKDAY(Main[[#This Row],[Tech Start Date]],28),IF(Main[[#This Row],[Class]]="B", WORKDAY(Main[[#This Row],[Tech Start Date]],19),IF(Main[[#This Row],[Class]]="A",WORKDAY(Main[[#This Row],[Tech Start Date]],9),""))))</f>
        <v/>
      </c>
      <c r="Q717" s="74">
        <v>40669</v>
      </c>
      <c r="R717" s="74"/>
      <c r="S717" s="72" t="s">
        <v>6</v>
      </c>
      <c r="T717" s="80" t="s">
        <v>4</v>
      </c>
      <c r="U717" s="72" t="s">
        <v>14</v>
      </c>
      <c r="V717" s="72" t="s">
        <v>1940</v>
      </c>
      <c r="W717" s="72" t="s">
        <v>4</v>
      </c>
      <c r="X717" s="72" t="s">
        <v>2970</v>
      </c>
      <c r="Y717" s="72" t="s">
        <v>3087</v>
      </c>
      <c r="Z717" s="72" t="s">
        <v>4</v>
      </c>
    </row>
    <row r="718" spans="1:26" ht="18.600000000000001" customHeight="1">
      <c r="A718" s="142" t="str">
        <f>IF(priority(Main[[#This Row],[Comments]])&lt;&gt;0, priority(Main[[#This Row],[Comments]]),"")</f>
        <v/>
      </c>
      <c r="B718" s="90" t="s">
        <v>2815</v>
      </c>
      <c r="C718" s="72" t="s">
        <v>4</v>
      </c>
      <c r="D718" s="73" t="s">
        <v>3485</v>
      </c>
      <c r="E718" s="74">
        <v>40917.478506944448</v>
      </c>
      <c r="F718" s="74"/>
      <c r="G718" s="75" t="str">
        <f>IF(stdProdLT(Main[[#This Row],[Comments]])=0.1,"N/A",IF(stdProdLT(Main[[#This Row],[Comments]])=0,"",stdProdLT(Main[[#This Row],[Comments]])))</f>
        <v/>
      </c>
      <c r="H718" s="76" t="str">
        <f>IF(AND(Main[[#This Row],[In Stock Date]]&lt;&gt;"",Main[[#This Row],[Revised Due Date]]&lt;&gt;""),Main[[#This Row],[In Stock Date]]-Main[[#This Row],[Revised Due Date]],"")</f>
        <v/>
      </c>
      <c r="I718" s="72" t="s">
        <v>4</v>
      </c>
      <c r="J718" s="72" t="s">
        <v>4</v>
      </c>
      <c r="K718" s="72" t="s">
        <v>4</v>
      </c>
      <c r="L718" s="74"/>
      <c r="M718" s="77" t="str">
        <f>IF(Main[[#This Row],[Tech Start Date]]&lt;1/1/1990,"",IF(Main[[#This Row],[Class]]="C",WORKDAY(Main[[#This Row],[Tech Start Date]],9),IF(Main[[#This Row],[Class]]="B", WORKDAY(Main[[#This Row],[Tech Start Date]],6),IF(Main[[#This Row],[Class]]="A",WORKDAY(Main[[#This Row],[Tech Start Date]],2),""))))</f>
        <v/>
      </c>
      <c r="N718" s="77" t="str">
        <f>IF(Main[[#This Row],[Tech Start Date]]&lt;1/1/1990,"",IF(Main[[#This Row],[Class]]="C",WORKDAY(Main[[#This Row],[Tech Start Date]],19),IF(Main[[#This Row],[Class]]="B", WORKDAY(Main[[#This Row],[Tech Start Date]],12),IF(Main[[#This Row],[Class]]="A",WORKDAY(Main[[#This Row],[Tech Start Date]],4),""))))</f>
        <v/>
      </c>
      <c r="O718" s="77" t="str">
        <f>IF(Main[[#This Row],[Tech Start Date]]&lt;1/1/1990,"",IF(Main[[#This Row],[Class]]="C",WORKDAY(Main[[#This Row],[Tech Start Date]],23),IF(Main[[#This Row],[Class]]="B", WORKDAY(Main[[#This Row],[Tech Start Date]],15),IF(Main[[#This Row],[Class]]="A",WORKDAY(Main[[#This Row],[Tech Start Date]],5),""))))</f>
        <v/>
      </c>
      <c r="P718" s="77" t="str">
        <f>IF(Main[[#This Row],[Tech Start Date]]&lt;1/1/1990,"",IF(Main[[#This Row],[Class]]="C",WORKDAY(Main[[#This Row],[Tech Start Date]],28),IF(Main[[#This Row],[Class]]="B", WORKDAY(Main[[#This Row],[Tech Start Date]],19),IF(Main[[#This Row],[Class]]="A",WORKDAY(Main[[#This Row],[Tech Start Date]],9),""))))</f>
        <v/>
      </c>
      <c r="Q718" s="74"/>
      <c r="R718" s="74"/>
      <c r="S718" s="72" t="s">
        <v>6</v>
      </c>
      <c r="T718" s="80" t="s">
        <v>4</v>
      </c>
      <c r="U718" s="72" t="s">
        <v>7</v>
      </c>
      <c r="V718" s="72" t="s">
        <v>1937</v>
      </c>
      <c r="W718" s="72" t="s">
        <v>1941</v>
      </c>
      <c r="X718" s="72" t="s">
        <v>102</v>
      </c>
      <c r="Y718" s="72" t="s">
        <v>3238</v>
      </c>
      <c r="Z718" s="72" t="s">
        <v>4</v>
      </c>
    </row>
    <row r="719" spans="1:26" ht="18.600000000000001" customHeight="1">
      <c r="A719" s="142" t="str">
        <f>IF(priority(Main[[#This Row],[Comments]])&lt;&gt;0, priority(Main[[#This Row],[Comments]]),"")</f>
        <v/>
      </c>
      <c r="B719" s="90" t="s">
        <v>1569</v>
      </c>
      <c r="C719" s="72" t="s">
        <v>4</v>
      </c>
      <c r="D719" s="73" t="s">
        <v>637</v>
      </c>
      <c r="E719" s="74">
        <v>40371.35765046296</v>
      </c>
      <c r="F719" s="74"/>
      <c r="G719" s="75" t="str">
        <f>IF(stdProdLT(Main[[#This Row],[Comments]])=0.1,"N/A",IF(stdProdLT(Main[[#This Row],[Comments]])=0,"",stdProdLT(Main[[#This Row],[Comments]])))</f>
        <v/>
      </c>
      <c r="H719" s="76" t="str">
        <f>IF(AND(Main[[#This Row],[In Stock Date]]&lt;&gt;"",Main[[#This Row],[Revised Due Date]]&lt;&gt;""),Main[[#This Row],[In Stock Date]]-Main[[#This Row],[Revised Due Date]],"")</f>
        <v/>
      </c>
      <c r="I719" s="72" t="s">
        <v>4</v>
      </c>
      <c r="J719" s="72" t="s">
        <v>4</v>
      </c>
      <c r="K719" s="72" t="s">
        <v>4</v>
      </c>
      <c r="L719" s="74"/>
      <c r="M719" s="77" t="str">
        <f>IF(Main[[#This Row],[Tech Start Date]]&lt;1/1/1990,"",IF(Main[[#This Row],[Class]]="C",WORKDAY(Main[[#This Row],[Tech Start Date]],9),IF(Main[[#This Row],[Class]]="B", WORKDAY(Main[[#This Row],[Tech Start Date]],6),IF(Main[[#This Row],[Class]]="A",WORKDAY(Main[[#This Row],[Tech Start Date]],2),""))))</f>
        <v/>
      </c>
      <c r="N719" s="77" t="str">
        <f>IF(Main[[#This Row],[Tech Start Date]]&lt;1/1/1990,"",IF(Main[[#This Row],[Class]]="C",WORKDAY(Main[[#This Row],[Tech Start Date]],19),IF(Main[[#This Row],[Class]]="B", WORKDAY(Main[[#This Row],[Tech Start Date]],12),IF(Main[[#This Row],[Class]]="A",WORKDAY(Main[[#This Row],[Tech Start Date]],4),""))))</f>
        <v/>
      </c>
      <c r="O719" s="77" t="str">
        <f>IF(Main[[#This Row],[Tech Start Date]]&lt;1/1/1990,"",IF(Main[[#This Row],[Class]]="C",WORKDAY(Main[[#This Row],[Tech Start Date]],23),IF(Main[[#This Row],[Class]]="B", WORKDAY(Main[[#This Row],[Tech Start Date]],15),IF(Main[[#This Row],[Class]]="A",WORKDAY(Main[[#This Row],[Tech Start Date]],5),""))))</f>
        <v/>
      </c>
      <c r="P719" s="77" t="str">
        <f>IF(Main[[#This Row],[Tech Start Date]]&lt;1/1/1990,"",IF(Main[[#This Row],[Class]]="C",WORKDAY(Main[[#This Row],[Tech Start Date]],28),IF(Main[[#This Row],[Class]]="B", WORKDAY(Main[[#This Row],[Tech Start Date]],19),IF(Main[[#This Row],[Class]]="A",WORKDAY(Main[[#This Row],[Tech Start Date]],9),""))))</f>
        <v/>
      </c>
      <c r="Q719" s="74">
        <v>40385</v>
      </c>
      <c r="R719" s="74"/>
      <c r="S719" s="72" t="s">
        <v>6</v>
      </c>
      <c r="T719" s="80" t="s">
        <v>4</v>
      </c>
      <c r="U719" s="72" t="s">
        <v>7</v>
      </c>
      <c r="V719" s="72" t="s">
        <v>1937</v>
      </c>
      <c r="W719" s="72" t="s">
        <v>1939</v>
      </c>
      <c r="X719" s="72" t="s">
        <v>102</v>
      </c>
      <c r="Y719" s="72" t="s">
        <v>3190</v>
      </c>
      <c r="Z719" s="72" t="s">
        <v>4</v>
      </c>
    </row>
    <row r="720" spans="1:26" ht="18.600000000000001" customHeight="1">
      <c r="A720" s="142" t="str">
        <f>IF(priority(Main[[#This Row],[Comments]])&lt;&gt;0, priority(Main[[#This Row],[Comments]]),"")</f>
        <v/>
      </c>
      <c r="B720" s="90" t="s">
        <v>1570</v>
      </c>
      <c r="C720" s="72" t="s">
        <v>4</v>
      </c>
      <c r="D720" s="73" t="s">
        <v>638</v>
      </c>
      <c r="E720" s="74">
        <v>40371.37263888889</v>
      </c>
      <c r="F720" s="74"/>
      <c r="G720" s="75" t="str">
        <f>IF(stdProdLT(Main[[#This Row],[Comments]])=0.1,"N/A",IF(stdProdLT(Main[[#This Row],[Comments]])=0,"",stdProdLT(Main[[#This Row],[Comments]])))</f>
        <v/>
      </c>
      <c r="H720" s="76" t="str">
        <f>IF(AND(Main[[#This Row],[In Stock Date]]&lt;&gt;"",Main[[#This Row],[Revised Due Date]]&lt;&gt;""),Main[[#This Row],[In Stock Date]]-Main[[#This Row],[Revised Due Date]],"")</f>
        <v/>
      </c>
      <c r="I720" s="72" t="s">
        <v>4</v>
      </c>
      <c r="J720" s="72" t="s">
        <v>4</v>
      </c>
      <c r="K720" s="72" t="s">
        <v>4</v>
      </c>
      <c r="L720" s="74"/>
      <c r="M720" s="77" t="str">
        <f>IF(Main[[#This Row],[Tech Start Date]]&lt;1/1/1990,"",IF(Main[[#This Row],[Class]]="C",WORKDAY(Main[[#This Row],[Tech Start Date]],9),IF(Main[[#This Row],[Class]]="B", WORKDAY(Main[[#This Row],[Tech Start Date]],6),IF(Main[[#This Row],[Class]]="A",WORKDAY(Main[[#This Row],[Tech Start Date]],2),""))))</f>
        <v/>
      </c>
      <c r="N720" s="77" t="str">
        <f>IF(Main[[#This Row],[Tech Start Date]]&lt;1/1/1990,"",IF(Main[[#This Row],[Class]]="C",WORKDAY(Main[[#This Row],[Tech Start Date]],19),IF(Main[[#This Row],[Class]]="B", WORKDAY(Main[[#This Row],[Tech Start Date]],12),IF(Main[[#This Row],[Class]]="A",WORKDAY(Main[[#This Row],[Tech Start Date]],4),""))))</f>
        <v/>
      </c>
      <c r="O720" s="77" t="str">
        <f>IF(Main[[#This Row],[Tech Start Date]]&lt;1/1/1990,"",IF(Main[[#This Row],[Class]]="C",WORKDAY(Main[[#This Row],[Tech Start Date]],23),IF(Main[[#This Row],[Class]]="B", WORKDAY(Main[[#This Row],[Tech Start Date]],15),IF(Main[[#This Row],[Class]]="A",WORKDAY(Main[[#This Row],[Tech Start Date]],5),""))))</f>
        <v/>
      </c>
      <c r="P720" s="77" t="str">
        <f>IF(Main[[#This Row],[Tech Start Date]]&lt;1/1/1990,"",IF(Main[[#This Row],[Class]]="C",WORKDAY(Main[[#This Row],[Tech Start Date]],28),IF(Main[[#This Row],[Class]]="B", WORKDAY(Main[[#This Row],[Tech Start Date]],19),IF(Main[[#This Row],[Class]]="A",WORKDAY(Main[[#This Row],[Tech Start Date]],9),""))))</f>
        <v/>
      </c>
      <c r="Q720" s="74">
        <v>40385</v>
      </c>
      <c r="R720" s="74"/>
      <c r="S720" s="72" t="s">
        <v>6</v>
      </c>
      <c r="T720" s="80" t="s">
        <v>4</v>
      </c>
      <c r="U720" s="72" t="s">
        <v>7</v>
      </c>
      <c r="V720" s="72" t="s">
        <v>1937</v>
      </c>
      <c r="W720" s="72" t="s">
        <v>1939</v>
      </c>
      <c r="X720" s="72" t="s">
        <v>102</v>
      </c>
      <c r="Y720" s="72" t="s">
        <v>3190</v>
      </c>
      <c r="Z720" s="72" t="s">
        <v>4</v>
      </c>
    </row>
    <row r="721" spans="1:26" ht="18.600000000000001" customHeight="1">
      <c r="A721" s="142" t="str">
        <f>IF(priority(Main[[#This Row],[Comments]])&lt;&gt;0, priority(Main[[#This Row],[Comments]]),"")</f>
        <v/>
      </c>
      <c r="B721" s="90" t="s">
        <v>1369</v>
      </c>
      <c r="C721" s="72" t="s">
        <v>4</v>
      </c>
      <c r="D721" s="73" t="s">
        <v>446</v>
      </c>
      <c r="E721" s="74">
        <v>40389.394756944443</v>
      </c>
      <c r="F721" s="74"/>
      <c r="G721" s="75" t="str">
        <f>IF(stdProdLT(Main[[#This Row],[Comments]])=0.1,"N/A",IF(stdProdLT(Main[[#This Row],[Comments]])=0,"",stdProdLT(Main[[#This Row],[Comments]])))</f>
        <v/>
      </c>
      <c r="H721" s="76" t="str">
        <f>IF(AND(Main[[#This Row],[In Stock Date]]&lt;&gt;"",Main[[#This Row],[Revised Due Date]]&lt;&gt;""),Main[[#This Row],[In Stock Date]]-Main[[#This Row],[Revised Due Date]],"")</f>
        <v/>
      </c>
      <c r="I721" s="72" t="s">
        <v>4</v>
      </c>
      <c r="J721" s="72" t="s">
        <v>28</v>
      </c>
      <c r="K721" s="72" t="s">
        <v>1949</v>
      </c>
      <c r="L721" s="74"/>
      <c r="M721" s="77" t="str">
        <f>IF(Main[[#This Row],[Tech Start Date]]&lt;1/1/1990,"",IF(Main[[#This Row],[Class]]="C",WORKDAY(Main[[#This Row],[Tech Start Date]],9),IF(Main[[#This Row],[Class]]="B", WORKDAY(Main[[#This Row],[Tech Start Date]],6),IF(Main[[#This Row],[Class]]="A",WORKDAY(Main[[#This Row],[Tech Start Date]],2),""))))</f>
        <v/>
      </c>
      <c r="N721" s="77" t="str">
        <f>IF(Main[[#This Row],[Tech Start Date]]&lt;1/1/1990,"",IF(Main[[#This Row],[Class]]="C",WORKDAY(Main[[#This Row],[Tech Start Date]],19),IF(Main[[#This Row],[Class]]="B", WORKDAY(Main[[#This Row],[Tech Start Date]],12),IF(Main[[#This Row],[Class]]="A",WORKDAY(Main[[#This Row],[Tech Start Date]],4),""))))</f>
        <v/>
      </c>
      <c r="O721" s="77" t="str">
        <f>IF(Main[[#This Row],[Tech Start Date]]&lt;1/1/1990,"",IF(Main[[#This Row],[Class]]="C",WORKDAY(Main[[#This Row],[Tech Start Date]],23),IF(Main[[#This Row],[Class]]="B", WORKDAY(Main[[#This Row],[Tech Start Date]],15),IF(Main[[#This Row],[Class]]="A",WORKDAY(Main[[#This Row],[Tech Start Date]],5),""))))</f>
        <v/>
      </c>
      <c r="P721" s="77" t="str">
        <f>IF(Main[[#This Row],[Tech Start Date]]&lt;1/1/1990,"",IF(Main[[#This Row],[Class]]="C",WORKDAY(Main[[#This Row],[Tech Start Date]],28),IF(Main[[#This Row],[Class]]="B", WORKDAY(Main[[#This Row],[Tech Start Date]],19),IF(Main[[#This Row],[Class]]="A",WORKDAY(Main[[#This Row],[Tech Start Date]],9),""))))</f>
        <v/>
      </c>
      <c r="Q721" s="74">
        <v>40451</v>
      </c>
      <c r="R721" s="74"/>
      <c r="S721" s="72" t="s">
        <v>17</v>
      </c>
      <c r="T721" s="80" t="s">
        <v>4</v>
      </c>
      <c r="U721" s="72" t="s">
        <v>7</v>
      </c>
      <c r="V721" s="72" t="s">
        <v>1937</v>
      </c>
      <c r="W721" s="72" t="s">
        <v>1942</v>
      </c>
      <c r="X721" s="72" t="s">
        <v>129</v>
      </c>
      <c r="Y721" s="72" t="s">
        <v>3117</v>
      </c>
      <c r="Z721" s="72" t="s">
        <v>2980</v>
      </c>
    </row>
    <row r="722" spans="1:26" ht="18.600000000000001" customHeight="1">
      <c r="A722" s="142" t="str">
        <f>IF(priority(Main[[#This Row],[Comments]])&lt;&gt;0, priority(Main[[#This Row],[Comments]]),"")</f>
        <v/>
      </c>
      <c r="B722" s="90" t="s">
        <v>1408</v>
      </c>
      <c r="C722" s="72" t="s">
        <v>72</v>
      </c>
      <c r="D722" s="73" t="s">
        <v>483</v>
      </c>
      <c r="E722" s="74"/>
      <c r="F722" s="74">
        <v>40031</v>
      </c>
      <c r="G722" s="75" t="str">
        <f>IF(stdProdLT(Main[[#This Row],[Comments]])=0.1,"N/A",IF(stdProdLT(Main[[#This Row],[Comments]])=0,"",stdProdLT(Main[[#This Row],[Comments]])))</f>
        <v/>
      </c>
      <c r="H722" s="76" t="str">
        <f>IF(AND(Main[[#This Row],[In Stock Date]]&lt;&gt;"",Main[[#This Row],[Revised Due Date]]&lt;&gt;""),Main[[#This Row],[In Stock Date]]-Main[[#This Row],[Revised Due Date]],"")</f>
        <v/>
      </c>
      <c r="I722" s="72" t="s">
        <v>4</v>
      </c>
      <c r="J722" s="72" t="s">
        <v>4</v>
      </c>
      <c r="K722" s="72" t="s">
        <v>4</v>
      </c>
      <c r="L722" s="74"/>
      <c r="M722" s="77" t="str">
        <f>IF(Main[[#This Row],[Tech Start Date]]&lt;1/1/1990,"",IF(Main[[#This Row],[Class]]="C",WORKDAY(Main[[#This Row],[Tech Start Date]],9),IF(Main[[#This Row],[Class]]="B", WORKDAY(Main[[#This Row],[Tech Start Date]],6),IF(Main[[#This Row],[Class]]="A",WORKDAY(Main[[#This Row],[Tech Start Date]],2),""))))</f>
        <v/>
      </c>
      <c r="N722" s="77" t="str">
        <f>IF(Main[[#This Row],[Tech Start Date]]&lt;1/1/1990,"",IF(Main[[#This Row],[Class]]="C",WORKDAY(Main[[#This Row],[Tech Start Date]],19),IF(Main[[#This Row],[Class]]="B", WORKDAY(Main[[#This Row],[Tech Start Date]],12),IF(Main[[#This Row],[Class]]="A",WORKDAY(Main[[#This Row],[Tech Start Date]],4),""))))</f>
        <v/>
      </c>
      <c r="O722" s="77" t="str">
        <f>IF(Main[[#This Row],[Tech Start Date]]&lt;1/1/1990,"",IF(Main[[#This Row],[Class]]="C",WORKDAY(Main[[#This Row],[Tech Start Date]],23),IF(Main[[#This Row],[Class]]="B", WORKDAY(Main[[#This Row],[Tech Start Date]],15),IF(Main[[#This Row],[Class]]="A",WORKDAY(Main[[#This Row],[Tech Start Date]],5),""))))</f>
        <v/>
      </c>
      <c r="P722" s="77" t="str">
        <f>IF(Main[[#This Row],[Tech Start Date]]&lt;1/1/1990,"",IF(Main[[#This Row],[Class]]="C",WORKDAY(Main[[#This Row],[Tech Start Date]],28),IF(Main[[#This Row],[Class]]="B", WORKDAY(Main[[#This Row],[Tech Start Date]],19),IF(Main[[#This Row],[Class]]="A",WORKDAY(Main[[#This Row],[Tech Start Date]],9),""))))</f>
        <v/>
      </c>
      <c r="Q722" s="74">
        <v>39976</v>
      </c>
      <c r="R722" s="74"/>
      <c r="S722" s="72" t="s">
        <v>11</v>
      </c>
      <c r="T722" s="80" t="s">
        <v>4</v>
      </c>
      <c r="U722" s="72" t="s">
        <v>14</v>
      </c>
      <c r="V722" s="72" t="s">
        <v>1938</v>
      </c>
      <c r="W722" s="72" t="s">
        <v>1945</v>
      </c>
      <c r="X722" s="72" t="s">
        <v>2976</v>
      </c>
      <c r="Y722" s="72" t="s">
        <v>3101</v>
      </c>
      <c r="Z722" s="72" t="s">
        <v>4</v>
      </c>
    </row>
    <row r="723" spans="1:26" ht="18.600000000000001" customHeight="1">
      <c r="A723" s="142" t="str">
        <f>IF(priority(Main[[#This Row],[Comments]])&lt;&gt;0, priority(Main[[#This Row],[Comments]]),"")</f>
        <v/>
      </c>
      <c r="B723" s="90" t="s">
        <v>1409</v>
      </c>
      <c r="C723" s="72" t="s">
        <v>83</v>
      </c>
      <c r="D723" s="73" t="s">
        <v>484</v>
      </c>
      <c r="E723" s="74"/>
      <c r="F723" s="74"/>
      <c r="G723" s="75" t="str">
        <f>IF(stdProdLT(Main[[#This Row],[Comments]])=0.1,"N/A",IF(stdProdLT(Main[[#This Row],[Comments]])=0,"",stdProdLT(Main[[#This Row],[Comments]])))</f>
        <v/>
      </c>
      <c r="H723" s="76" t="str">
        <f>IF(AND(Main[[#This Row],[In Stock Date]]&lt;&gt;"",Main[[#This Row],[Revised Due Date]]&lt;&gt;""),Main[[#This Row],[In Stock Date]]-Main[[#This Row],[Revised Due Date]],"")</f>
        <v/>
      </c>
      <c r="I723" s="72" t="s">
        <v>4</v>
      </c>
      <c r="J723" s="72" t="s">
        <v>4</v>
      </c>
      <c r="K723" s="72" t="s">
        <v>4</v>
      </c>
      <c r="L723" s="74"/>
      <c r="M723" s="77" t="str">
        <f>IF(Main[[#This Row],[Tech Start Date]]&lt;1/1/1990,"",IF(Main[[#This Row],[Class]]="C",WORKDAY(Main[[#This Row],[Tech Start Date]],9),IF(Main[[#This Row],[Class]]="B", WORKDAY(Main[[#This Row],[Tech Start Date]],6),IF(Main[[#This Row],[Class]]="A",WORKDAY(Main[[#This Row],[Tech Start Date]],2),""))))</f>
        <v/>
      </c>
      <c r="N723" s="77" t="str">
        <f>IF(Main[[#This Row],[Tech Start Date]]&lt;1/1/1990,"",IF(Main[[#This Row],[Class]]="C",WORKDAY(Main[[#This Row],[Tech Start Date]],19),IF(Main[[#This Row],[Class]]="B", WORKDAY(Main[[#This Row],[Tech Start Date]],12),IF(Main[[#This Row],[Class]]="A",WORKDAY(Main[[#This Row],[Tech Start Date]],4),""))))</f>
        <v/>
      </c>
      <c r="O723" s="77" t="str">
        <f>IF(Main[[#This Row],[Tech Start Date]]&lt;1/1/1990,"",IF(Main[[#This Row],[Class]]="C",WORKDAY(Main[[#This Row],[Tech Start Date]],23),IF(Main[[#This Row],[Class]]="B", WORKDAY(Main[[#This Row],[Tech Start Date]],15),IF(Main[[#This Row],[Class]]="A",WORKDAY(Main[[#This Row],[Tech Start Date]],5),""))))</f>
        <v/>
      </c>
      <c r="P723" s="77" t="str">
        <f>IF(Main[[#This Row],[Tech Start Date]]&lt;1/1/1990,"",IF(Main[[#This Row],[Class]]="C",WORKDAY(Main[[#This Row],[Tech Start Date]],28),IF(Main[[#This Row],[Class]]="B", WORKDAY(Main[[#This Row],[Tech Start Date]],19),IF(Main[[#This Row],[Class]]="A",WORKDAY(Main[[#This Row],[Tech Start Date]],9),""))))</f>
        <v/>
      </c>
      <c r="Q723" s="74">
        <v>40137</v>
      </c>
      <c r="R723" s="74"/>
      <c r="S723" s="72" t="s">
        <v>11</v>
      </c>
      <c r="T723" s="80" t="s">
        <v>4</v>
      </c>
      <c r="U723" s="72" t="s">
        <v>14</v>
      </c>
      <c r="V723" s="72" t="s">
        <v>1937</v>
      </c>
      <c r="W723" s="72" t="s">
        <v>1948</v>
      </c>
      <c r="X723" s="72" t="s">
        <v>2969</v>
      </c>
      <c r="Y723" s="72" t="s">
        <v>4</v>
      </c>
      <c r="Z723" s="72" t="s">
        <v>4</v>
      </c>
    </row>
    <row r="724" spans="1:26" ht="18.600000000000001" customHeight="1">
      <c r="A724" s="142" t="str">
        <f>IF(priority(Main[[#This Row],[Comments]])&lt;&gt;0, priority(Main[[#This Row],[Comments]]),"")</f>
        <v/>
      </c>
      <c r="B724" s="90" t="s">
        <v>1410</v>
      </c>
      <c r="C724" s="72" t="s">
        <v>95</v>
      </c>
      <c r="D724" s="73" t="s">
        <v>485</v>
      </c>
      <c r="E724" s="74"/>
      <c r="F724" s="74">
        <v>40196</v>
      </c>
      <c r="G724" s="75" t="str">
        <f>IF(stdProdLT(Main[[#This Row],[Comments]])=0.1,"N/A",IF(stdProdLT(Main[[#This Row],[Comments]])=0,"",stdProdLT(Main[[#This Row],[Comments]])))</f>
        <v/>
      </c>
      <c r="H724" s="76" t="str">
        <f>IF(AND(Main[[#This Row],[In Stock Date]]&lt;&gt;"",Main[[#This Row],[Revised Due Date]]&lt;&gt;""),Main[[#This Row],[In Stock Date]]-Main[[#This Row],[Revised Due Date]],"")</f>
        <v/>
      </c>
      <c r="I724" s="72" t="s">
        <v>4</v>
      </c>
      <c r="J724" s="72" t="s">
        <v>4</v>
      </c>
      <c r="K724" s="72" t="s">
        <v>4</v>
      </c>
      <c r="L724" s="74"/>
      <c r="M724" s="77" t="str">
        <f>IF(Main[[#This Row],[Tech Start Date]]&lt;1/1/1990,"",IF(Main[[#This Row],[Class]]="C",WORKDAY(Main[[#This Row],[Tech Start Date]],9),IF(Main[[#This Row],[Class]]="B", WORKDAY(Main[[#This Row],[Tech Start Date]],6),IF(Main[[#This Row],[Class]]="A",WORKDAY(Main[[#This Row],[Tech Start Date]],2),""))))</f>
        <v/>
      </c>
      <c r="N724" s="77" t="str">
        <f>IF(Main[[#This Row],[Tech Start Date]]&lt;1/1/1990,"",IF(Main[[#This Row],[Class]]="C",WORKDAY(Main[[#This Row],[Tech Start Date]],19),IF(Main[[#This Row],[Class]]="B", WORKDAY(Main[[#This Row],[Tech Start Date]],12),IF(Main[[#This Row],[Class]]="A",WORKDAY(Main[[#This Row],[Tech Start Date]],4),""))))</f>
        <v/>
      </c>
      <c r="O724" s="77" t="str">
        <f>IF(Main[[#This Row],[Tech Start Date]]&lt;1/1/1990,"",IF(Main[[#This Row],[Class]]="C",WORKDAY(Main[[#This Row],[Tech Start Date]],23),IF(Main[[#This Row],[Class]]="B", WORKDAY(Main[[#This Row],[Tech Start Date]],15),IF(Main[[#This Row],[Class]]="A",WORKDAY(Main[[#This Row],[Tech Start Date]],5),""))))</f>
        <v/>
      </c>
      <c r="P724" s="77" t="str">
        <f>IF(Main[[#This Row],[Tech Start Date]]&lt;1/1/1990,"",IF(Main[[#This Row],[Class]]="C",WORKDAY(Main[[#This Row],[Tech Start Date]],28),IF(Main[[#This Row],[Class]]="B", WORKDAY(Main[[#This Row],[Tech Start Date]],19),IF(Main[[#This Row],[Class]]="A",WORKDAY(Main[[#This Row],[Tech Start Date]],9),""))))</f>
        <v/>
      </c>
      <c r="Q724" s="74">
        <v>40077</v>
      </c>
      <c r="R724" s="74"/>
      <c r="S724" s="72" t="s">
        <v>11</v>
      </c>
      <c r="T724" s="80" t="s">
        <v>4</v>
      </c>
      <c r="U724" s="72" t="s">
        <v>14</v>
      </c>
      <c r="V724" s="72" t="s">
        <v>1940</v>
      </c>
      <c r="W724" s="72" t="s">
        <v>1945</v>
      </c>
      <c r="X724" s="72" t="s">
        <v>3028</v>
      </c>
      <c r="Y724" s="72" t="s">
        <v>4</v>
      </c>
      <c r="Z724" s="72" t="s">
        <v>4</v>
      </c>
    </row>
    <row r="725" spans="1:26" ht="18.600000000000001" customHeight="1">
      <c r="A725" s="142" t="str">
        <f>IF(priority(Main[[#This Row],[Comments]])&lt;&gt;0, priority(Main[[#This Row],[Comments]]),"")</f>
        <v/>
      </c>
      <c r="B725" s="90" t="s">
        <v>1522</v>
      </c>
      <c r="C725" s="72" t="s">
        <v>58</v>
      </c>
      <c r="D725" s="73" t="s">
        <v>583</v>
      </c>
      <c r="E725" s="74"/>
      <c r="F725" s="74">
        <v>40697</v>
      </c>
      <c r="G725" s="75" t="str">
        <f>IF(stdProdLT(Main[[#This Row],[Comments]])=0.1,"N/A",IF(stdProdLT(Main[[#This Row],[Comments]])=0,"",stdProdLT(Main[[#This Row],[Comments]])))</f>
        <v/>
      </c>
      <c r="H725" s="76" t="str">
        <f>IF(AND(Main[[#This Row],[In Stock Date]]&lt;&gt;"",Main[[#This Row],[Revised Due Date]]&lt;&gt;""),Main[[#This Row],[In Stock Date]]-Main[[#This Row],[Revised Due Date]],"")</f>
        <v/>
      </c>
      <c r="I725" s="72" t="s">
        <v>423</v>
      </c>
      <c r="J725" s="72" t="s">
        <v>75</v>
      </c>
      <c r="K725" s="72" t="s">
        <v>1944</v>
      </c>
      <c r="L725" s="74"/>
      <c r="M725" s="77" t="str">
        <f>IF(Main[[#This Row],[Tech Start Date]]&lt;1/1/1990,"",IF(Main[[#This Row],[Class]]="C",WORKDAY(Main[[#This Row],[Tech Start Date]],9),IF(Main[[#This Row],[Class]]="B", WORKDAY(Main[[#This Row],[Tech Start Date]],6),IF(Main[[#This Row],[Class]]="A",WORKDAY(Main[[#This Row],[Tech Start Date]],2),""))))</f>
        <v/>
      </c>
      <c r="N725" s="77" t="str">
        <f>IF(Main[[#This Row],[Tech Start Date]]&lt;1/1/1990,"",IF(Main[[#This Row],[Class]]="C",WORKDAY(Main[[#This Row],[Tech Start Date]],19),IF(Main[[#This Row],[Class]]="B", WORKDAY(Main[[#This Row],[Tech Start Date]],12),IF(Main[[#This Row],[Class]]="A",WORKDAY(Main[[#This Row],[Tech Start Date]],4),""))))</f>
        <v/>
      </c>
      <c r="O725" s="77" t="str">
        <f>IF(Main[[#This Row],[Tech Start Date]]&lt;1/1/1990,"",IF(Main[[#This Row],[Class]]="C",WORKDAY(Main[[#This Row],[Tech Start Date]],23),IF(Main[[#This Row],[Class]]="B", WORKDAY(Main[[#This Row],[Tech Start Date]],15),IF(Main[[#This Row],[Class]]="A",WORKDAY(Main[[#This Row],[Tech Start Date]],5),""))))</f>
        <v/>
      </c>
      <c r="P725" s="77" t="str">
        <f>IF(Main[[#This Row],[Tech Start Date]]&lt;1/1/1990,"",IF(Main[[#This Row],[Class]]="C",WORKDAY(Main[[#This Row],[Tech Start Date]],28),IF(Main[[#This Row],[Class]]="B", WORKDAY(Main[[#This Row],[Tech Start Date]],19),IF(Main[[#This Row],[Class]]="A",WORKDAY(Main[[#This Row],[Tech Start Date]],9),""))))</f>
        <v/>
      </c>
      <c r="Q725" s="74">
        <v>40539</v>
      </c>
      <c r="R725" s="74"/>
      <c r="S725" s="72" t="s">
        <v>11</v>
      </c>
      <c r="T725" s="80" t="s">
        <v>4</v>
      </c>
      <c r="U725" s="72" t="s">
        <v>14</v>
      </c>
      <c r="V725" s="72" t="s">
        <v>1947</v>
      </c>
      <c r="W725" s="72" t="s">
        <v>1943</v>
      </c>
      <c r="X725" s="72" t="s">
        <v>2981</v>
      </c>
      <c r="Y725" s="72" t="s">
        <v>3109</v>
      </c>
      <c r="Z725" s="72" t="s">
        <v>311</v>
      </c>
    </row>
    <row r="726" spans="1:26" ht="18.600000000000001" customHeight="1">
      <c r="A726" s="142" t="str">
        <f>IF(priority(Main[[#This Row],[Comments]])&lt;&gt;0, priority(Main[[#This Row],[Comments]]),"")</f>
        <v/>
      </c>
      <c r="B726" s="90" t="s">
        <v>1524</v>
      </c>
      <c r="C726" s="72" t="s">
        <v>585</v>
      </c>
      <c r="D726" s="73" t="s">
        <v>586</v>
      </c>
      <c r="E726" s="74"/>
      <c r="F726" s="74">
        <v>40596</v>
      </c>
      <c r="G726" s="75" t="str">
        <f>IF(stdProdLT(Main[[#This Row],[Comments]])=0.1,"N/A",IF(stdProdLT(Main[[#This Row],[Comments]])=0,"",stdProdLT(Main[[#This Row],[Comments]])))</f>
        <v/>
      </c>
      <c r="H726" s="76" t="str">
        <f>IF(AND(Main[[#This Row],[In Stock Date]]&lt;&gt;"",Main[[#This Row],[Revised Due Date]]&lt;&gt;""),Main[[#This Row],[In Stock Date]]-Main[[#This Row],[Revised Due Date]],"")</f>
        <v/>
      </c>
      <c r="I726" s="72" t="s">
        <v>4</v>
      </c>
      <c r="J726" s="72" t="s">
        <v>28</v>
      </c>
      <c r="K726" s="72" t="s">
        <v>4</v>
      </c>
      <c r="L726" s="74"/>
      <c r="M726" s="77" t="str">
        <f>IF(Main[[#This Row],[Tech Start Date]]&lt;1/1/1990,"",IF(Main[[#This Row],[Class]]="C",WORKDAY(Main[[#This Row],[Tech Start Date]],9),IF(Main[[#This Row],[Class]]="B", WORKDAY(Main[[#This Row],[Tech Start Date]],6),IF(Main[[#This Row],[Class]]="A",WORKDAY(Main[[#This Row],[Tech Start Date]],2),""))))</f>
        <v/>
      </c>
      <c r="N726" s="77" t="str">
        <f>IF(Main[[#This Row],[Tech Start Date]]&lt;1/1/1990,"",IF(Main[[#This Row],[Class]]="C",WORKDAY(Main[[#This Row],[Tech Start Date]],19),IF(Main[[#This Row],[Class]]="B", WORKDAY(Main[[#This Row],[Tech Start Date]],12),IF(Main[[#This Row],[Class]]="A",WORKDAY(Main[[#This Row],[Tech Start Date]],4),""))))</f>
        <v/>
      </c>
      <c r="O726" s="77" t="str">
        <f>IF(Main[[#This Row],[Tech Start Date]]&lt;1/1/1990,"",IF(Main[[#This Row],[Class]]="C",WORKDAY(Main[[#This Row],[Tech Start Date]],23),IF(Main[[#This Row],[Class]]="B", WORKDAY(Main[[#This Row],[Tech Start Date]],15),IF(Main[[#This Row],[Class]]="A",WORKDAY(Main[[#This Row],[Tech Start Date]],5),""))))</f>
        <v/>
      </c>
      <c r="P726" s="77" t="str">
        <f>IF(Main[[#This Row],[Tech Start Date]]&lt;1/1/1990,"",IF(Main[[#This Row],[Class]]="C",WORKDAY(Main[[#This Row],[Tech Start Date]],28),IF(Main[[#This Row],[Class]]="B", WORKDAY(Main[[#This Row],[Tech Start Date]],19),IF(Main[[#This Row],[Class]]="A",WORKDAY(Main[[#This Row],[Tech Start Date]],9),""))))</f>
        <v/>
      </c>
      <c r="Q726" s="74">
        <v>40414</v>
      </c>
      <c r="R726" s="74"/>
      <c r="S726" s="72" t="s">
        <v>11</v>
      </c>
      <c r="T726" s="80" t="s">
        <v>4</v>
      </c>
      <c r="U726" s="72" t="s">
        <v>14</v>
      </c>
      <c r="V726" s="72" t="s">
        <v>1940</v>
      </c>
      <c r="W726" s="72" t="s">
        <v>1942</v>
      </c>
      <c r="X726" s="72" t="s">
        <v>2978</v>
      </c>
      <c r="Y726" s="72" t="s">
        <v>3104</v>
      </c>
      <c r="Z726" s="72" t="s">
        <v>536</v>
      </c>
    </row>
    <row r="727" spans="1:26" ht="18.600000000000001" customHeight="1">
      <c r="A727" s="142" t="str">
        <f>IF(priority(Main[[#This Row],[Comments]])&lt;&gt;0, priority(Main[[#This Row],[Comments]]),"")</f>
        <v/>
      </c>
      <c r="B727" s="90" t="s">
        <v>1525</v>
      </c>
      <c r="C727" s="72" t="s">
        <v>587</v>
      </c>
      <c r="D727" s="73" t="s">
        <v>588</v>
      </c>
      <c r="E727" s="74"/>
      <c r="F727" s="74"/>
      <c r="G727" s="75" t="str">
        <f>IF(stdProdLT(Main[[#This Row],[Comments]])=0.1,"N/A",IF(stdProdLT(Main[[#This Row],[Comments]])=0,"",stdProdLT(Main[[#This Row],[Comments]])))</f>
        <v/>
      </c>
      <c r="H727" s="76" t="str">
        <f>IF(AND(Main[[#This Row],[In Stock Date]]&lt;&gt;"",Main[[#This Row],[Revised Due Date]]&lt;&gt;""),Main[[#This Row],[In Stock Date]]-Main[[#This Row],[Revised Due Date]],"")</f>
        <v/>
      </c>
      <c r="I727" s="72" t="s">
        <v>4</v>
      </c>
      <c r="J727" s="72" t="s">
        <v>4</v>
      </c>
      <c r="K727" s="72" t="s">
        <v>4</v>
      </c>
      <c r="L727" s="74"/>
      <c r="M727" s="77" t="str">
        <f>IF(Main[[#This Row],[Tech Start Date]]&lt;1/1/1990,"",IF(Main[[#This Row],[Class]]="C",WORKDAY(Main[[#This Row],[Tech Start Date]],9),IF(Main[[#This Row],[Class]]="B", WORKDAY(Main[[#This Row],[Tech Start Date]],6),IF(Main[[#This Row],[Class]]="A",WORKDAY(Main[[#This Row],[Tech Start Date]],2),""))))</f>
        <v/>
      </c>
      <c r="N727" s="77" t="str">
        <f>IF(Main[[#This Row],[Tech Start Date]]&lt;1/1/1990,"",IF(Main[[#This Row],[Class]]="C",WORKDAY(Main[[#This Row],[Tech Start Date]],19),IF(Main[[#This Row],[Class]]="B", WORKDAY(Main[[#This Row],[Tech Start Date]],12),IF(Main[[#This Row],[Class]]="A",WORKDAY(Main[[#This Row],[Tech Start Date]],4),""))))</f>
        <v/>
      </c>
      <c r="O727" s="77" t="str">
        <f>IF(Main[[#This Row],[Tech Start Date]]&lt;1/1/1990,"",IF(Main[[#This Row],[Class]]="C",WORKDAY(Main[[#This Row],[Tech Start Date]],23),IF(Main[[#This Row],[Class]]="B", WORKDAY(Main[[#This Row],[Tech Start Date]],15),IF(Main[[#This Row],[Class]]="A",WORKDAY(Main[[#This Row],[Tech Start Date]],5),""))))</f>
        <v/>
      </c>
      <c r="P727" s="77" t="str">
        <f>IF(Main[[#This Row],[Tech Start Date]]&lt;1/1/1990,"",IF(Main[[#This Row],[Class]]="C",WORKDAY(Main[[#This Row],[Tech Start Date]],28),IF(Main[[#This Row],[Class]]="B", WORKDAY(Main[[#This Row],[Tech Start Date]],19),IF(Main[[#This Row],[Class]]="A",WORKDAY(Main[[#This Row],[Tech Start Date]],9),""))))</f>
        <v/>
      </c>
      <c r="Q727" s="74">
        <v>40476</v>
      </c>
      <c r="R727" s="74"/>
      <c r="S727" s="72" t="s">
        <v>11</v>
      </c>
      <c r="T727" s="80" t="s">
        <v>4</v>
      </c>
      <c r="U727" s="72" t="s">
        <v>14</v>
      </c>
      <c r="V727" s="72" t="s">
        <v>1937</v>
      </c>
      <c r="W727" s="72" t="s">
        <v>1945</v>
      </c>
      <c r="X727" s="72" t="s">
        <v>3031</v>
      </c>
      <c r="Y727" s="72" t="s">
        <v>3185</v>
      </c>
      <c r="Z727" s="72" t="s">
        <v>4</v>
      </c>
    </row>
    <row r="728" spans="1:26" ht="18.600000000000001" customHeight="1">
      <c r="A728" s="142" t="str">
        <f>IF(priority(Main[[#This Row],[Comments]])&lt;&gt;0, priority(Main[[#This Row],[Comments]]),"")</f>
        <v/>
      </c>
      <c r="B728" s="90" t="s">
        <v>1526</v>
      </c>
      <c r="C728" s="72" t="s">
        <v>31</v>
      </c>
      <c r="D728" s="73" t="s">
        <v>589</v>
      </c>
      <c r="E728" s="74"/>
      <c r="F728" s="74">
        <v>40330</v>
      </c>
      <c r="G728" s="75" t="str">
        <f>IF(stdProdLT(Main[[#This Row],[Comments]])=0.1,"N/A",IF(stdProdLT(Main[[#This Row],[Comments]])=0,"",stdProdLT(Main[[#This Row],[Comments]])))</f>
        <v/>
      </c>
      <c r="H728" s="76" t="str">
        <f>IF(AND(Main[[#This Row],[In Stock Date]]&lt;&gt;"",Main[[#This Row],[Revised Due Date]]&lt;&gt;""),Main[[#This Row],[In Stock Date]]-Main[[#This Row],[Revised Due Date]],"")</f>
        <v/>
      </c>
      <c r="I728" s="72" t="s">
        <v>4</v>
      </c>
      <c r="J728" s="72" t="s">
        <v>4</v>
      </c>
      <c r="K728" s="81" t="s">
        <v>4</v>
      </c>
      <c r="L728" s="74"/>
      <c r="M728" s="77" t="str">
        <f>IF(Main[[#This Row],[Tech Start Date]]&lt;1/1/1990,"",IF(Main[[#This Row],[Class]]="C",WORKDAY(Main[[#This Row],[Tech Start Date]],9),IF(Main[[#This Row],[Class]]="B", WORKDAY(Main[[#This Row],[Tech Start Date]],6),IF(Main[[#This Row],[Class]]="A",WORKDAY(Main[[#This Row],[Tech Start Date]],2),""))))</f>
        <v/>
      </c>
      <c r="N728" s="77" t="str">
        <f>IF(Main[[#This Row],[Tech Start Date]]&lt;1/1/1990,"",IF(Main[[#This Row],[Class]]="C",WORKDAY(Main[[#This Row],[Tech Start Date]],19),IF(Main[[#This Row],[Class]]="B", WORKDAY(Main[[#This Row],[Tech Start Date]],12),IF(Main[[#This Row],[Class]]="A",WORKDAY(Main[[#This Row],[Tech Start Date]],4),""))))</f>
        <v/>
      </c>
      <c r="O728" s="77" t="str">
        <f>IF(Main[[#This Row],[Tech Start Date]]&lt;1/1/1990,"",IF(Main[[#This Row],[Class]]="C",WORKDAY(Main[[#This Row],[Tech Start Date]],23),IF(Main[[#This Row],[Class]]="B", WORKDAY(Main[[#This Row],[Tech Start Date]],15),IF(Main[[#This Row],[Class]]="A",WORKDAY(Main[[#This Row],[Tech Start Date]],5),""))))</f>
        <v/>
      </c>
      <c r="P728" s="77" t="str">
        <f>IF(Main[[#This Row],[Tech Start Date]]&lt;1/1/1990,"",IF(Main[[#This Row],[Class]]="C",WORKDAY(Main[[#This Row],[Tech Start Date]],28),IF(Main[[#This Row],[Class]]="B", WORKDAY(Main[[#This Row],[Tech Start Date]],19),IF(Main[[#This Row],[Class]]="A",WORKDAY(Main[[#This Row],[Tech Start Date]],9),""))))</f>
        <v/>
      </c>
      <c r="Q728" s="74">
        <v>40210</v>
      </c>
      <c r="R728" s="74"/>
      <c r="S728" s="72" t="s">
        <v>11</v>
      </c>
      <c r="T728" s="80" t="s">
        <v>4</v>
      </c>
      <c r="U728" s="72" t="s">
        <v>14</v>
      </c>
      <c r="V728" s="72" t="s">
        <v>1938</v>
      </c>
      <c r="W728" s="72" t="s">
        <v>1943</v>
      </c>
      <c r="X728" s="72" t="s">
        <v>2976</v>
      </c>
      <c r="Y728" s="72" t="s">
        <v>3101</v>
      </c>
      <c r="Z728" s="72" t="s">
        <v>4</v>
      </c>
    </row>
    <row r="729" spans="1:26" ht="18.600000000000001" customHeight="1">
      <c r="A729" s="142" t="str">
        <f>IF(priority(Main[[#This Row],[Comments]])&lt;&gt;0, priority(Main[[#This Row],[Comments]]),"")</f>
        <v/>
      </c>
      <c r="B729" s="90" t="s">
        <v>1527</v>
      </c>
      <c r="C729" s="72" t="s">
        <v>4</v>
      </c>
      <c r="D729" s="73" t="s">
        <v>590</v>
      </c>
      <c r="E729" s="74"/>
      <c r="F729" s="74"/>
      <c r="G729" s="75" t="str">
        <f>IF(stdProdLT(Main[[#This Row],[Comments]])=0.1,"N/A",IF(stdProdLT(Main[[#This Row],[Comments]])=0,"",stdProdLT(Main[[#This Row],[Comments]])))</f>
        <v/>
      </c>
      <c r="H729" s="76" t="str">
        <f>IF(AND(Main[[#This Row],[In Stock Date]]&lt;&gt;"",Main[[#This Row],[Revised Due Date]]&lt;&gt;""),Main[[#This Row],[In Stock Date]]-Main[[#This Row],[Revised Due Date]],"")</f>
        <v/>
      </c>
      <c r="I729" s="72" t="s">
        <v>4</v>
      </c>
      <c r="J729" s="72" t="s">
        <v>4</v>
      </c>
      <c r="K729" s="72" t="s">
        <v>4</v>
      </c>
      <c r="L729" s="74"/>
      <c r="M729" s="77" t="str">
        <f>IF(Main[[#This Row],[Tech Start Date]]&lt;1/1/1990,"",IF(Main[[#This Row],[Class]]="C",WORKDAY(Main[[#This Row],[Tech Start Date]],9),IF(Main[[#This Row],[Class]]="B", WORKDAY(Main[[#This Row],[Tech Start Date]],6),IF(Main[[#This Row],[Class]]="A",WORKDAY(Main[[#This Row],[Tech Start Date]],2),""))))</f>
        <v/>
      </c>
      <c r="N729" s="77" t="str">
        <f>IF(Main[[#This Row],[Tech Start Date]]&lt;1/1/1990,"",IF(Main[[#This Row],[Class]]="C",WORKDAY(Main[[#This Row],[Tech Start Date]],19),IF(Main[[#This Row],[Class]]="B", WORKDAY(Main[[#This Row],[Tech Start Date]],12),IF(Main[[#This Row],[Class]]="A",WORKDAY(Main[[#This Row],[Tech Start Date]],4),""))))</f>
        <v/>
      </c>
      <c r="O729" s="77" t="str">
        <f>IF(Main[[#This Row],[Tech Start Date]]&lt;1/1/1990,"",IF(Main[[#This Row],[Class]]="C",WORKDAY(Main[[#This Row],[Tech Start Date]],23),IF(Main[[#This Row],[Class]]="B", WORKDAY(Main[[#This Row],[Tech Start Date]],15),IF(Main[[#This Row],[Class]]="A",WORKDAY(Main[[#This Row],[Tech Start Date]],5),""))))</f>
        <v/>
      </c>
      <c r="P729" s="77" t="str">
        <f>IF(Main[[#This Row],[Tech Start Date]]&lt;1/1/1990,"",IF(Main[[#This Row],[Class]]="C",WORKDAY(Main[[#This Row],[Tech Start Date]],28),IF(Main[[#This Row],[Class]]="B", WORKDAY(Main[[#This Row],[Tech Start Date]],19),IF(Main[[#This Row],[Class]]="A",WORKDAY(Main[[#This Row],[Tech Start Date]],9),""))))</f>
        <v/>
      </c>
      <c r="Q729" s="74">
        <v>40543</v>
      </c>
      <c r="R729" s="74"/>
      <c r="S729" s="72" t="s">
        <v>17</v>
      </c>
      <c r="T729" s="80" t="s">
        <v>4</v>
      </c>
      <c r="U729" s="72" t="s">
        <v>14</v>
      </c>
      <c r="V729" s="72" t="s">
        <v>1952</v>
      </c>
      <c r="W729" s="72" t="s">
        <v>1939</v>
      </c>
      <c r="X729" s="72" t="s">
        <v>129</v>
      </c>
      <c r="Y729" s="72" t="s">
        <v>3091</v>
      </c>
      <c r="Z729" s="72" t="s">
        <v>4</v>
      </c>
    </row>
    <row r="730" spans="1:26" ht="18.600000000000001" customHeight="1">
      <c r="A730" s="142" t="str">
        <f>IF(priority(Main[[#This Row],[Comments]])&lt;&gt;0, priority(Main[[#This Row],[Comments]]),"")</f>
        <v/>
      </c>
      <c r="B730" s="90" t="s">
        <v>1528</v>
      </c>
      <c r="C730" s="72" t="s">
        <v>383</v>
      </c>
      <c r="D730" s="73" t="s">
        <v>591</v>
      </c>
      <c r="E730" s="74"/>
      <c r="F730" s="74">
        <v>40228</v>
      </c>
      <c r="G730" s="75" t="str">
        <f>IF(stdProdLT(Main[[#This Row],[Comments]])=0.1,"N/A",IF(stdProdLT(Main[[#This Row],[Comments]])=0,"",stdProdLT(Main[[#This Row],[Comments]])))</f>
        <v/>
      </c>
      <c r="H730" s="76" t="str">
        <f>IF(AND(Main[[#This Row],[In Stock Date]]&lt;&gt;"",Main[[#This Row],[Revised Due Date]]&lt;&gt;""),Main[[#This Row],[In Stock Date]]-Main[[#This Row],[Revised Due Date]],"")</f>
        <v/>
      </c>
      <c r="I730" s="72" t="s">
        <v>4</v>
      </c>
      <c r="J730" s="72" t="s">
        <v>4</v>
      </c>
      <c r="K730" s="72" t="s">
        <v>4</v>
      </c>
      <c r="L730" s="74"/>
      <c r="M730" s="77" t="str">
        <f>IF(Main[[#This Row],[Tech Start Date]]&lt;1/1/1990,"",IF(Main[[#This Row],[Class]]="C",WORKDAY(Main[[#This Row],[Tech Start Date]],9),IF(Main[[#This Row],[Class]]="B", WORKDAY(Main[[#This Row],[Tech Start Date]],6),IF(Main[[#This Row],[Class]]="A",WORKDAY(Main[[#This Row],[Tech Start Date]],2),""))))</f>
        <v/>
      </c>
      <c r="N730" s="77" t="str">
        <f>IF(Main[[#This Row],[Tech Start Date]]&lt;1/1/1990,"",IF(Main[[#This Row],[Class]]="C",WORKDAY(Main[[#This Row],[Tech Start Date]],19),IF(Main[[#This Row],[Class]]="B", WORKDAY(Main[[#This Row],[Tech Start Date]],12),IF(Main[[#This Row],[Class]]="A",WORKDAY(Main[[#This Row],[Tech Start Date]],4),""))))</f>
        <v/>
      </c>
      <c r="O730" s="77" t="str">
        <f>IF(Main[[#This Row],[Tech Start Date]]&lt;1/1/1990,"",IF(Main[[#This Row],[Class]]="C",WORKDAY(Main[[#This Row],[Tech Start Date]],23),IF(Main[[#This Row],[Class]]="B", WORKDAY(Main[[#This Row],[Tech Start Date]],15),IF(Main[[#This Row],[Class]]="A",WORKDAY(Main[[#This Row],[Tech Start Date]],5),""))))</f>
        <v/>
      </c>
      <c r="P730" s="77" t="str">
        <f>IF(Main[[#This Row],[Tech Start Date]]&lt;1/1/1990,"",IF(Main[[#This Row],[Class]]="C",WORKDAY(Main[[#This Row],[Tech Start Date]],28),IF(Main[[#This Row],[Class]]="B", WORKDAY(Main[[#This Row],[Tech Start Date]],19),IF(Main[[#This Row],[Class]]="A",WORKDAY(Main[[#This Row],[Tech Start Date]],9),""))))</f>
        <v/>
      </c>
      <c r="Q730" s="74">
        <v>40153</v>
      </c>
      <c r="R730" s="74"/>
      <c r="S730" s="72" t="s">
        <v>11</v>
      </c>
      <c r="T730" s="80" t="s">
        <v>4</v>
      </c>
      <c r="U730" s="72" t="s">
        <v>14</v>
      </c>
      <c r="V730" s="72" t="s">
        <v>1940</v>
      </c>
      <c r="W730" s="72" t="s">
        <v>1945</v>
      </c>
      <c r="X730" s="72" t="s">
        <v>3015</v>
      </c>
      <c r="Y730" s="72" t="s">
        <v>4</v>
      </c>
      <c r="Z730" s="72" t="s">
        <v>4</v>
      </c>
    </row>
    <row r="731" spans="1:26" ht="18.600000000000001" customHeight="1">
      <c r="A731" s="142" t="str">
        <f>IF(priority(Main[[#This Row],[Comments]])&lt;&gt;0, priority(Main[[#This Row],[Comments]]),"")</f>
        <v/>
      </c>
      <c r="B731" s="90" t="s">
        <v>1529</v>
      </c>
      <c r="C731" s="72" t="s">
        <v>280</v>
      </c>
      <c r="D731" s="73" t="s">
        <v>592</v>
      </c>
      <c r="E731" s="74"/>
      <c r="F731" s="74">
        <v>40186</v>
      </c>
      <c r="G731" s="75" t="str">
        <f>IF(stdProdLT(Main[[#This Row],[Comments]])=0.1,"N/A",IF(stdProdLT(Main[[#This Row],[Comments]])=0,"",stdProdLT(Main[[#This Row],[Comments]])))</f>
        <v/>
      </c>
      <c r="H731" s="76" t="str">
        <f>IF(AND(Main[[#This Row],[In Stock Date]]&lt;&gt;"",Main[[#This Row],[Revised Due Date]]&lt;&gt;""),Main[[#This Row],[In Stock Date]]-Main[[#This Row],[Revised Due Date]],"")</f>
        <v/>
      </c>
      <c r="I731" s="72" t="s">
        <v>4</v>
      </c>
      <c r="J731" s="72" t="s">
        <v>4</v>
      </c>
      <c r="K731" s="72" t="s">
        <v>4</v>
      </c>
      <c r="L731" s="74"/>
      <c r="M731" s="77" t="str">
        <f>IF(Main[[#This Row],[Tech Start Date]]&lt;1/1/1990,"",IF(Main[[#This Row],[Class]]="C",WORKDAY(Main[[#This Row],[Tech Start Date]],9),IF(Main[[#This Row],[Class]]="B", WORKDAY(Main[[#This Row],[Tech Start Date]],6),IF(Main[[#This Row],[Class]]="A",WORKDAY(Main[[#This Row],[Tech Start Date]],2),""))))</f>
        <v/>
      </c>
      <c r="N731" s="77" t="str">
        <f>IF(Main[[#This Row],[Tech Start Date]]&lt;1/1/1990,"",IF(Main[[#This Row],[Class]]="C",WORKDAY(Main[[#This Row],[Tech Start Date]],19),IF(Main[[#This Row],[Class]]="B", WORKDAY(Main[[#This Row],[Tech Start Date]],12),IF(Main[[#This Row],[Class]]="A",WORKDAY(Main[[#This Row],[Tech Start Date]],4),""))))</f>
        <v/>
      </c>
      <c r="O731" s="77" t="str">
        <f>IF(Main[[#This Row],[Tech Start Date]]&lt;1/1/1990,"",IF(Main[[#This Row],[Class]]="C",WORKDAY(Main[[#This Row],[Tech Start Date]],23),IF(Main[[#This Row],[Class]]="B", WORKDAY(Main[[#This Row],[Tech Start Date]],15),IF(Main[[#This Row],[Class]]="A",WORKDAY(Main[[#This Row],[Tech Start Date]],5),""))))</f>
        <v/>
      </c>
      <c r="P731" s="77" t="str">
        <f>IF(Main[[#This Row],[Tech Start Date]]&lt;1/1/1990,"",IF(Main[[#This Row],[Class]]="C",WORKDAY(Main[[#This Row],[Tech Start Date]],28),IF(Main[[#This Row],[Class]]="B", WORKDAY(Main[[#This Row],[Tech Start Date]],19),IF(Main[[#This Row],[Class]]="A",WORKDAY(Main[[#This Row],[Tech Start Date]],9),""))))</f>
        <v/>
      </c>
      <c r="Q731" s="74">
        <v>40186</v>
      </c>
      <c r="R731" s="74"/>
      <c r="S731" s="72" t="s">
        <v>11</v>
      </c>
      <c r="T731" s="80" t="s">
        <v>4</v>
      </c>
      <c r="U731" s="72" t="s">
        <v>14</v>
      </c>
      <c r="V731" s="72" t="s">
        <v>1940</v>
      </c>
      <c r="W731" s="72" t="s">
        <v>1945</v>
      </c>
      <c r="X731" s="72" t="s">
        <v>2994</v>
      </c>
      <c r="Y731" s="72" t="s">
        <v>4</v>
      </c>
      <c r="Z731" s="72" t="s">
        <v>4</v>
      </c>
    </row>
    <row r="732" spans="1:26" ht="18.600000000000001" customHeight="1">
      <c r="A732" s="142" t="str">
        <f>IF(priority(Main[[#This Row],[Comments]])&lt;&gt;0, priority(Main[[#This Row],[Comments]]),"")</f>
        <v/>
      </c>
      <c r="B732" s="90" t="s">
        <v>2292</v>
      </c>
      <c r="C732" s="72" t="s">
        <v>2288</v>
      </c>
      <c r="D732" s="73" t="s">
        <v>2289</v>
      </c>
      <c r="E732" s="74"/>
      <c r="F732" s="74"/>
      <c r="G732" s="75" t="str">
        <f>IF(stdProdLT(Main[[#This Row],[Comments]])=0.1,"N/A",IF(stdProdLT(Main[[#This Row],[Comments]])=0,"",stdProdLT(Main[[#This Row],[Comments]])))</f>
        <v/>
      </c>
      <c r="H732" s="76" t="str">
        <f>IF(AND(Main[[#This Row],[In Stock Date]]&lt;&gt;"",Main[[#This Row],[Revised Due Date]]&lt;&gt;""),Main[[#This Row],[In Stock Date]]-Main[[#This Row],[Revised Due Date]],"")</f>
        <v/>
      </c>
      <c r="I732" s="72" t="s">
        <v>4</v>
      </c>
      <c r="J732" s="72" t="s">
        <v>4</v>
      </c>
      <c r="K732" s="72" t="s">
        <v>4</v>
      </c>
      <c r="L732" s="74"/>
      <c r="M732" s="77" t="str">
        <f>IF(Main[[#This Row],[Tech Start Date]]&lt;1/1/1990,"",IF(Main[[#This Row],[Class]]="C",WORKDAY(Main[[#This Row],[Tech Start Date]],9),IF(Main[[#This Row],[Class]]="B", WORKDAY(Main[[#This Row],[Tech Start Date]],6),IF(Main[[#This Row],[Class]]="A",WORKDAY(Main[[#This Row],[Tech Start Date]],2),""))))</f>
        <v/>
      </c>
      <c r="N732" s="77" t="str">
        <f>IF(Main[[#This Row],[Tech Start Date]]&lt;1/1/1990,"",IF(Main[[#This Row],[Class]]="C",WORKDAY(Main[[#This Row],[Tech Start Date]],19),IF(Main[[#This Row],[Class]]="B", WORKDAY(Main[[#This Row],[Tech Start Date]],12),IF(Main[[#This Row],[Class]]="A",WORKDAY(Main[[#This Row],[Tech Start Date]],4),""))))</f>
        <v/>
      </c>
      <c r="O732" s="77" t="str">
        <f>IF(Main[[#This Row],[Tech Start Date]]&lt;1/1/1990,"",IF(Main[[#This Row],[Class]]="C",WORKDAY(Main[[#This Row],[Tech Start Date]],23),IF(Main[[#This Row],[Class]]="B", WORKDAY(Main[[#This Row],[Tech Start Date]],15),IF(Main[[#This Row],[Class]]="A",WORKDAY(Main[[#This Row],[Tech Start Date]],5),""))))</f>
        <v/>
      </c>
      <c r="P732" s="77" t="str">
        <f>IF(Main[[#This Row],[Tech Start Date]]&lt;1/1/1990,"",IF(Main[[#This Row],[Class]]="C",WORKDAY(Main[[#This Row],[Tech Start Date]],28),IF(Main[[#This Row],[Class]]="B", WORKDAY(Main[[#This Row],[Tech Start Date]],19),IF(Main[[#This Row],[Class]]="A",WORKDAY(Main[[#This Row],[Tech Start Date]],9),""))))</f>
        <v/>
      </c>
      <c r="Q732" s="74">
        <v>40806</v>
      </c>
      <c r="R732" s="74"/>
      <c r="S732" s="72" t="s">
        <v>6</v>
      </c>
      <c r="T732" s="80" t="s">
        <v>4</v>
      </c>
      <c r="U732" s="72" t="s">
        <v>12</v>
      </c>
      <c r="V732" s="72" t="s">
        <v>1938</v>
      </c>
      <c r="W732" s="72" t="s">
        <v>1945</v>
      </c>
      <c r="X732" s="72" t="s">
        <v>3031</v>
      </c>
      <c r="Y732" s="72" t="s">
        <v>3185</v>
      </c>
      <c r="Z732" s="72" t="s">
        <v>4</v>
      </c>
    </row>
    <row r="733" spans="1:26" ht="18.600000000000001" customHeight="1">
      <c r="A733" s="142" t="str">
        <f>IF(priority(Main[[#This Row],[Comments]])&lt;&gt;0, priority(Main[[#This Row],[Comments]]),"")</f>
        <v/>
      </c>
      <c r="B733" s="90" t="s">
        <v>1530</v>
      </c>
      <c r="C733" s="72" t="s">
        <v>93</v>
      </c>
      <c r="D733" s="73" t="s">
        <v>593</v>
      </c>
      <c r="E733" s="74"/>
      <c r="F733" s="74">
        <v>40302</v>
      </c>
      <c r="G733" s="75" t="str">
        <f>IF(stdProdLT(Main[[#This Row],[Comments]])=0.1,"N/A",IF(stdProdLT(Main[[#This Row],[Comments]])=0,"",stdProdLT(Main[[#This Row],[Comments]])))</f>
        <v/>
      </c>
      <c r="H733" s="76" t="str">
        <f>IF(AND(Main[[#This Row],[In Stock Date]]&lt;&gt;"",Main[[#This Row],[Revised Due Date]]&lt;&gt;""),Main[[#This Row],[In Stock Date]]-Main[[#This Row],[Revised Due Date]],"")</f>
        <v/>
      </c>
      <c r="I733" s="72" t="s">
        <v>4</v>
      </c>
      <c r="J733" s="72" t="s">
        <v>4</v>
      </c>
      <c r="K733" s="72" t="s">
        <v>4</v>
      </c>
      <c r="L733" s="74"/>
      <c r="M733" s="77" t="str">
        <f>IF(Main[[#This Row],[Tech Start Date]]&lt;1/1/1990,"",IF(Main[[#This Row],[Class]]="C",WORKDAY(Main[[#This Row],[Tech Start Date]],9),IF(Main[[#This Row],[Class]]="B", WORKDAY(Main[[#This Row],[Tech Start Date]],6),IF(Main[[#This Row],[Class]]="A",WORKDAY(Main[[#This Row],[Tech Start Date]],2),""))))</f>
        <v/>
      </c>
      <c r="N733" s="77" t="str">
        <f>IF(Main[[#This Row],[Tech Start Date]]&lt;1/1/1990,"",IF(Main[[#This Row],[Class]]="C",WORKDAY(Main[[#This Row],[Tech Start Date]],19),IF(Main[[#This Row],[Class]]="B", WORKDAY(Main[[#This Row],[Tech Start Date]],12),IF(Main[[#This Row],[Class]]="A",WORKDAY(Main[[#This Row],[Tech Start Date]],4),""))))</f>
        <v/>
      </c>
      <c r="O733" s="77" t="str">
        <f>IF(Main[[#This Row],[Tech Start Date]]&lt;1/1/1990,"",IF(Main[[#This Row],[Class]]="C",WORKDAY(Main[[#This Row],[Tech Start Date]],23),IF(Main[[#This Row],[Class]]="B", WORKDAY(Main[[#This Row],[Tech Start Date]],15),IF(Main[[#This Row],[Class]]="A",WORKDAY(Main[[#This Row],[Tech Start Date]],5),""))))</f>
        <v/>
      </c>
      <c r="P733" s="77" t="str">
        <f>IF(Main[[#This Row],[Tech Start Date]]&lt;1/1/1990,"",IF(Main[[#This Row],[Class]]="C",WORKDAY(Main[[#This Row],[Tech Start Date]],28),IF(Main[[#This Row],[Class]]="B", WORKDAY(Main[[#This Row],[Tech Start Date]],19),IF(Main[[#This Row],[Class]]="A",WORKDAY(Main[[#This Row],[Tech Start Date]],9),""))))</f>
        <v/>
      </c>
      <c r="Q733" s="74">
        <v>40190</v>
      </c>
      <c r="R733" s="74"/>
      <c r="S733" s="72" t="s">
        <v>11</v>
      </c>
      <c r="T733" s="80" t="s">
        <v>4</v>
      </c>
      <c r="U733" s="72" t="s">
        <v>12</v>
      </c>
      <c r="V733" s="72" t="s">
        <v>1947</v>
      </c>
      <c r="W733" s="72" t="s">
        <v>1943</v>
      </c>
      <c r="X733" s="72" t="s">
        <v>3050</v>
      </c>
      <c r="Y733" s="72" t="s">
        <v>4</v>
      </c>
      <c r="Z733" s="72" t="s">
        <v>4</v>
      </c>
    </row>
    <row r="734" spans="1:26" ht="18.600000000000001" customHeight="1">
      <c r="A734" s="142" t="str">
        <f>IF(priority(Main[[#This Row],[Comments]])&lt;&gt;0, priority(Main[[#This Row],[Comments]]),"")</f>
        <v/>
      </c>
      <c r="B734" s="90" t="s">
        <v>1531</v>
      </c>
      <c r="C734" s="72" t="s">
        <v>4</v>
      </c>
      <c r="D734" s="73" t="s">
        <v>594</v>
      </c>
      <c r="E734" s="74"/>
      <c r="F734" s="74">
        <v>40330</v>
      </c>
      <c r="G734" s="75" t="str">
        <f>IF(stdProdLT(Main[[#This Row],[Comments]])=0.1,"N/A",IF(stdProdLT(Main[[#This Row],[Comments]])=0,"",stdProdLT(Main[[#This Row],[Comments]])))</f>
        <v/>
      </c>
      <c r="H734" s="76" t="str">
        <f>IF(AND(Main[[#This Row],[In Stock Date]]&lt;&gt;"",Main[[#This Row],[Revised Due Date]]&lt;&gt;""),Main[[#This Row],[In Stock Date]]-Main[[#This Row],[Revised Due Date]],"")</f>
        <v/>
      </c>
      <c r="I734" s="72" t="s">
        <v>4</v>
      </c>
      <c r="J734" s="72" t="s">
        <v>4</v>
      </c>
      <c r="K734" s="72" t="s">
        <v>4</v>
      </c>
      <c r="L734" s="74"/>
      <c r="M734" s="77" t="str">
        <f>IF(Main[[#This Row],[Tech Start Date]]&lt;1/1/1990,"",IF(Main[[#This Row],[Class]]="C",WORKDAY(Main[[#This Row],[Tech Start Date]],9),IF(Main[[#This Row],[Class]]="B", WORKDAY(Main[[#This Row],[Tech Start Date]],6),IF(Main[[#This Row],[Class]]="A",WORKDAY(Main[[#This Row],[Tech Start Date]],2),""))))</f>
        <v/>
      </c>
      <c r="N734" s="77" t="str">
        <f>IF(Main[[#This Row],[Tech Start Date]]&lt;1/1/1990,"",IF(Main[[#This Row],[Class]]="C",WORKDAY(Main[[#This Row],[Tech Start Date]],19),IF(Main[[#This Row],[Class]]="B", WORKDAY(Main[[#This Row],[Tech Start Date]],12),IF(Main[[#This Row],[Class]]="A",WORKDAY(Main[[#This Row],[Tech Start Date]],4),""))))</f>
        <v/>
      </c>
      <c r="O734" s="77" t="str">
        <f>IF(Main[[#This Row],[Tech Start Date]]&lt;1/1/1990,"",IF(Main[[#This Row],[Class]]="C",WORKDAY(Main[[#This Row],[Tech Start Date]],23),IF(Main[[#This Row],[Class]]="B", WORKDAY(Main[[#This Row],[Tech Start Date]],15),IF(Main[[#This Row],[Class]]="A",WORKDAY(Main[[#This Row],[Tech Start Date]],5),""))))</f>
        <v/>
      </c>
      <c r="P734" s="77" t="str">
        <f>IF(Main[[#This Row],[Tech Start Date]]&lt;1/1/1990,"",IF(Main[[#This Row],[Class]]="C",WORKDAY(Main[[#This Row],[Tech Start Date]],28),IF(Main[[#This Row],[Class]]="B", WORKDAY(Main[[#This Row],[Tech Start Date]],19),IF(Main[[#This Row],[Class]]="A",WORKDAY(Main[[#This Row],[Tech Start Date]],9),""))))</f>
        <v/>
      </c>
      <c r="Q734" s="74">
        <v>40210</v>
      </c>
      <c r="R734" s="74"/>
      <c r="S734" s="72" t="s">
        <v>11</v>
      </c>
      <c r="T734" s="80" t="s">
        <v>4</v>
      </c>
      <c r="U734" s="72" t="s">
        <v>12</v>
      </c>
      <c r="V734" s="72" t="s">
        <v>1938</v>
      </c>
      <c r="W734" s="72" t="s">
        <v>1943</v>
      </c>
      <c r="X734" s="72" t="s">
        <v>2976</v>
      </c>
      <c r="Y734" s="72" t="s">
        <v>3101</v>
      </c>
      <c r="Z734" s="72" t="s">
        <v>4</v>
      </c>
    </row>
    <row r="735" spans="1:26" ht="18.600000000000001" customHeight="1">
      <c r="A735" s="142" t="str">
        <f>IF(priority(Main[[#This Row],[Comments]])&lt;&gt;0, priority(Main[[#This Row],[Comments]]),"")</f>
        <v/>
      </c>
      <c r="B735" s="90" t="s">
        <v>1532</v>
      </c>
      <c r="C735" s="72" t="s">
        <v>4</v>
      </c>
      <c r="D735" s="73" t="s">
        <v>595</v>
      </c>
      <c r="E735" s="74">
        <v>40217.626817129632</v>
      </c>
      <c r="F735" s="74"/>
      <c r="G735" s="75" t="str">
        <f>IF(stdProdLT(Main[[#This Row],[Comments]])=0.1,"N/A",IF(stdProdLT(Main[[#This Row],[Comments]])=0,"",stdProdLT(Main[[#This Row],[Comments]])))</f>
        <v/>
      </c>
      <c r="H735" s="76" t="str">
        <f>IF(AND(Main[[#This Row],[In Stock Date]]&lt;&gt;"",Main[[#This Row],[Revised Due Date]]&lt;&gt;""),Main[[#This Row],[In Stock Date]]-Main[[#This Row],[Revised Due Date]],"")</f>
        <v/>
      </c>
      <c r="I735" s="72" t="s">
        <v>4</v>
      </c>
      <c r="J735" s="72" t="s">
        <v>4</v>
      </c>
      <c r="K735" s="72" t="s">
        <v>4</v>
      </c>
      <c r="L735" s="74"/>
      <c r="M735" s="77" t="str">
        <f>IF(Main[[#This Row],[Tech Start Date]]&lt;1/1/1990,"",IF(Main[[#This Row],[Class]]="C",WORKDAY(Main[[#This Row],[Tech Start Date]],9),IF(Main[[#This Row],[Class]]="B", WORKDAY(Main[[#This Row],[Tech Start Date]],6),IF(Main[[#This Row],[Class]]="A",WORKDAY(Main[[#This Row],[Tech Start Date]],2),""))))</f>
        <v/>
      </c>
      <c r="N735" s="77" t="str">
        <f>IF(Main[[#This Row],[Tech Start Date]]&lt;1/1/1990,"",IF(Main[[#This Row],[Class]]="C",WORKDAY(Main[[#This Row],[Tech Start Date]],19),IF(Main[[#This Row],[Class]]="B", WORKDAY(Main[[#This Row],[Tech Start Date]],12),IF(Main[[#This Row],[Class]]="A",WORKDAY(Main[[#This Row],[Tech Start Date]],4),""))))</f>
        <v/>
      </c>
      <c r="O735" s="77" t="str">
        <f>IF(Main[[#This Row],[Tech Start Date]]&lt;1/1/1990,"",IF(Main[[#This Row],[Class]]="C",WORKDAY(Main[[#This Row],[Tech Start Date]],23),IF(Main[[#This Row],[Class]]="B", WORKDAY(Main[[#This Row],[Tech Start Date]],15),IF(Main[[#This Row],[Class]]="A",WORKDAY(Main[[#This Row],[Tech Start Date]],5),""))))</f>
        <v/>
      </c>
      <c r="P735" s="77" t="str">
        <f>IF(Main[[#This Row],[Tech Start Date]]&lt;1/1/1990,"",IF(Main[[#This Row],[Class]]="C",WORKDAY(Main[[#This Row],[Tech Start Date]],28),IF(Main[[#This Row],[Class]]="B", WORKDAY(Main[[#This Row],[Tech Start Date]],19),IF(Main[[#This Row],[Class]]="A",WORKDAY(Main[[#This Row],[Tech Start Date]],9),""))))</f>
        <v/>
      </c>
      <c r="Q735" s="74">
        <v>40229</v>
      </c>
      <c r="R735" s="74"/>
      <c r="S735" s="72" t="s">
        <v>6</v>
      </c>
      <c r="T735" s="80" t="s">
        <v>4</v>
      </c>
      <c r="U735" s="72" t="s">
        <v>7</v>
      </c>
      <c r="V735" s="72" t="s">
        <v>1937</v>
      </c>
      <c r="W735" s="72" t="s">
        <v>1941</v>
      </c>
      <c r="X735" s="72" t="s">
        <v>2973</v>
      </c>
      <c r="Y735" s="72" t="s">
        <v>3094</v>
      </c>
      <c r="Z735" s="72" t="s">
        <v>4</v>
      </c>
    </row>
    <row r="736" spans="1:26" ht="18.600000000000001" customHeight="1">
      <c r="A736" s="142" t="str">
        <f>IF(priority(Main[[#This Row],[Comments]])&lt;&gt;0, priority(Main[[#This Row],[Comments]]),"")</f>
        <v/>
      </c>
      <c r="B736" s="90" t="s">
        <v>1741</v>
      </c>
      <c r="C736" s="72" t="s">
        <v>4</v>
      </c>
      <c r="D736" s="73" t="s">
        <v>787</v>
      </c>
      <c r="E736" s="74"/>
      <c r="F736" s="74"/>
      <c r="G736" s="75" t="str">
        <f>IF(stdProdLT(Main[[#This Row],[Comments]])=0.1,"N/A",IF(stdProdLT(Main[[#This Row],[Comments]])=0,"",stdProdLT(Main[[#This Row],[Comments]])))</f>
        <v/>
      </c>
      <c r="H736" s="76" t="str">
        <f>IF(AND(Main[[#This Row],[In Stock Date]]&lt;&gt;"",Main[[#This Row],[Revised Due Date]]&lt;&gt;""),Main[[#This Row],[In Stock Date]]-Main[[#This Row],[Revised Due Date]],"")</f>
        <v/>
      </c>
      <c r="I736" s="72" t="s">
        <v>4</v>
      </c>
      <c r="J736" s="72" t="s">
        <v>4</v>
      </c>
      <c r="K736" s="72" t="s">
        <v>4</v>
      </c>
      <c r="L736" s="74"/>
      <c r="M736" s="77" t="str">
        <f>IF(Main[[#This Row],[Tech Start Date]]&lt;1/1/1990,"",IF(Main[[#This Row],[Class]]="C",WORKDAY(Main[[#This Row],[Tech Start Date]],9),IF(Main[[#This Row],[Class]]="B", WORKDAY(Main[[#This Row],[Tech Start Date]],6),IF(Main[[#This Row],[Class]]="A",WORKDAY(Main[[#This Row],[Tech Start Date]],2),""))))</f>
        <v/>
      </c>
      <c r="N736" s="77" t="str">
        <f>IF(Main[[#This Row],[Tech Start Date]]&lt;1/1/1990,"",IF(Main[[#This Row],[Class]]="C",WORKDAY(Main[[#This Row],[Tech Start Date]],19),IF(Main[[#This Row],[Class]]="B", WORKDAY(Main[[#This Row],[Tech Start Date]],12),IF(Main[[#This Row],[Class]]="A",WORKDAY(Main[[#This Row],[Tech Start Date]],4),""))))</f>
        <v/>
      </c>
      <c r="O736" s="77" t="str">
        <f>IF(Main[[#This Row],[Tech Start Date]]&lt;1/1/1990,"",IF(Main[[#This Row],[Class]]="C",WORKDAY(Main[[#This Row],[Tech Start Date]],23),IF(Main[[#This Row],[Class]]="B", WORKDAY(Main[[#This Row],[Tech Start Date]],15),IF(Main[[#This Row],[Class]]="A",WORKDAY(Main[[#This Row],[Tech Start Date]],5),""))))</f>
        <v/>
      </c>
      <c r="P736" s="77" t="str">
        <f>IF(Main[[#This Row],[Tech Start Date]]&lt;1/1/1990,"",IF(Main[[#This Row],[Class]]="C",WORKDAY(Main[[#This Row],[Tech Start Date]],28),IF(Main[[#This Row],[Class]]="B", WORKDAY(Main[[#This Row],[Tech Start Date]],19),IF(Main[[#This Row],[Class]]="A",WORKDAY(Main[[#This Row],[Tech Start Date]],9),""))))</f>
        <v/>
      </c>
      <c r="Q736" s="74"/>
      <c r="R736" s="74"/>
      <c r="S736" s="72" t="s">
        <v>4</v>
      </c>
      <c r="T736" s="80" t="s">
        <v>4</v>
      </c>
      <c r="U736" s="72" t="s">
        <v>14</v>
      </c>
      <c r="V736" s="72" t="s">
        <v>1940</v>
      </c>
      <c r="W736" s="72" t="s">
        <v>4</v>
      </c>
      <c r="X736" s="72" t="s">
        <v>50</v>
      </c>
      <c r="Y736" s="72" t="s">
        <v>4</v>
      </c>
      <c r="Z736" s="72" t="s">
        <v>4</v>
      </c>
    </row>
    <row r="737" spans="1:26" ht="18.600000000000001" customHeight="1">
      <c r="A737" s="142" t="str">
        <f>IF(priority(Main[[#This Row],[Comments]])&lt;&gt;0, priority(Main[[#This Row],[Comments]]),"")</f>
        <v/>
      </c>
      <c r="B737" s="90" t="s">
        <v>1586</v>
      </c>
      <c r="C737" s="72" t="s">
        <v>72</v>
      </c>
      <c r="D737" s="73" t="s">
        <v>653</v>
      </c>
      <c r="E737" s="74"/>
      <c r="F737" s="74"/>
      <c r="G737" s="75" t="str">
        <f>IF(stdProdLT(Main[[#This Row],[Comments]])=0.1,"N/A",IF(stdProdLT(Main[[#This Row],[Comments]])=0,"",stdProdLT(Main[[#This Row],[Comments]])))</f>
        <v/>
      </c>
      <c r="H737" s="76" t="str">
        <f>IF(AND(Main[[#This Row],[In Stock Date]]&lt;&gt;"",Main[[#This Row],[Revised Due Date]]&lt;&gt;""),Main[[#This Row],[In Stock Date]]-Main[[#This Row],[Revised Due Date]],"")</f>
        <v/>
      </c>
      <c r="I737" s="72" t="s">
        <v>4</v>
      </c>
      <c r="J737" s="72" t="s">
        <v>4</v>
      </c>
      <c r="K737" s="72" t="s">
        <v>4</v>
      </c>
      <c r="L737" s="74"/>
      <c r="M737" s="77" t="str">
        <f>IF(Main[[#This Row],[Tech Start Date]]&lt;1/1/1990,"",IF(Main[[#This Row],[Class]]="C",WORKDAY(Main[[#This Row],[Tech Start Date]],9),IF(Main[[#This Row],[Class]]="B", WORKDAY(Main[[#This Row],[Tech Start Date]],6),IF(Main[[#This Row],[Class]]="A",WORKDAY(Main[[#This Row],[Tech Start Date]],2),""))))</f>
        <v/>
      </c>
      <c r="N737" s="77" t="str">
        <f>IF(Main[[#This Row],[Tech Start Date]]&lt;1/1/1990,"",IF(Main[[#This Row],[Class]]="C",WORKDAY(Main[[#This Row],[Tech Start Date]],19),IF(Main[[#This Row],[Class]]="B", WORKDAY(Main[[#This Row],[Tech Start Date]],12),IF(Main[[#This Row],[Class]]="A",WORKDAY(Main[[#This Row],[Tech Start Date]],4),""))))</f>
        <v/>
      </c>
      <c r="O737" s="77" t="str">
        <f>IF(Main[[#This Row],[Tech Start Date]]&lt;1/1/1990,"",IF(Main[[#This Row],[Class]]="C",WORKDAY(Main[[#This Row],[Tech Start Date]],23),IF(Main[[#This Row],[Class]]="B", WORKDAY(Main[[#This Row],[Tech Start Date]],15),IF(Main[[#This Row],[Class]]="A",WORKDAY(Main[[#This Row],[Tech Start Date]],5),""))))</f>
        <v/>
      </c>
      <c r="P737" s="77" t="str">
        <f>IF(Main[[#This Row],[Tech Start Date]]&lt;1/1/1990,"",IF(Main[[#This Row],[Class]]="C",WORKDAY(Main[[#This Row],[Tech Start Date]],28),IF(Main[[#This Row],[Class]]="B", WORKDAY(Main[[#This Row],[Tech Start Date]],19),IF(Main[[#This Row],[Class]]="A",WORKDAY(Main[[#This Row],[Tech Start Date]],9),""))))</f>
        <v/>
      </c>
      <c r="Q737" s="74"/>
      <c r="R737" s="74"/>
      <c r="S737" s="72" t="s">
        <v>49</v>
      </c>
      <c r="T737" s="80" t="s">
        <v>4</v>
      </c>
      <c r="U737" s="72" t="s">
        <v>12</v>
      </c>
      <c r="V737" s="72" t="s">
        <v>1938</v>
      </c>
      <c r="W737" s="72" t="s">
        <v>1939</v>
      </c>
      <c r="X737" s="72" t="s">
        <v>3053</v>
      </c>
      <c r="Y737" s="72" t="s">
        <v>3237</v>
      </c>
      <c r="Z737" s="72" t="s">
        <v>4</v>
      </c>
    </row>
    <row r="738" spans="1:26" ht="18.600000000000001" customHeight="1">
      <c r="A738" s="142" t="str">
        <f>IF(priority(Main[[#This Row],[Comments]])&lt;&gt;0, priority(Main[[#This Row],[Comments]]),"")</f>
        <v/>
      </c>
      <c r="B738" s="90" t="s">
        <v>1587</v>
      </c>
      <c r="C738" s="72" t="s">
        <v>72</v>
      </c>
      <c r="D738" s="73" t="s">
        <v>654</v>
      </c>
      <c r="E738" s="74"/>
      <c r="F738" s="74">
        <v>40313</v>
      </c>
      <c r="G738" s="75" t="str">
        <f>IF(stdProdLT(Main[[#This Row],[Comments]])=0.1,"N/A",IF(stdProdLT(Main[[#This Row],[Comments]])=0,"",stdProdLT(Main[[#This Row],[Comments]])))</f>
        <v/>
      </c>
      <c r="H738" s="76" t="str">
        <f>IF(AND(Main[[#This Row],[In Stock Date]]&lt;&gt;"",Main[[#This Row],[Revised Due Date]]&lt;&gt;""),Main[[#This Row],[In Stock Date]]-Main[[#This Row],[Revised Due Date]],"")</f>
        <v/>
      </c>
      <c r="I738" s="72" t="s">
        <v>4</v>
      </c>
      <c r="J738" s="72" t="s">
        <v>4</v>
      </c>
      <c r="K738" s="72" t="s">
        <v>4</v>
      </c>
      <c r="L738" s="74"/>
      <c r="M738" s="77" t="str">
        <f>IF(Main[[#This Row],[Tech Start Date]]&lt;1/1/1990,"",IF(Main[[#This Row],[Class]]="C",WORKDAY(Main[[#This Row],[Tech Start Date]],9),IF(Main[[#This Row],[Class]]="B", WORKDAY(Main[[#This Row],[Tech Start Date]],6),IF(Main[[#This Row],[Class]]="A",WORKDAY(Main[[#This Row],[Tech Start Date]],2),""))))</f>
        <v/>
      </c>
      <c r="N738" s="77" t="str">
        <f>IF(Main[[#This Row],[Tech Start Date]]&lt;1/1/1990,"",IF(Main[[#This Row],[Class]]="C",WORKDAY(Main[[#This Row],[Tech Start Date]],19),IF(Main[[#This Row],[Class]]="B", WORKDAY(Main[[#This Row],[Tech Start Date]],12),IF(Main[[#This Row],[Class]]="A",WORKDAY(Main[[#This Row],[Tech Start Date]],4),""))))</f>
        <v/>
      </c>
      <c r="O738" s="77" t="str">
        <f>IF(Main[[#This Row],[Tech Start Date]]&lt;1/1/1990,"",IF(Main[[#This Row],[Class]]="C",WORKDAY(Main[[#This Row],[Tech Start Date]],23),IF(Main[[#This Row],[Class]]="B", WORKDAY(Main[[#This Row],[Tech Start Date]],15),IF(Main[[#This Row],[Class]]="A",WORKDAY(Main[[#This Row],[Tech Start Date]],5),""))))</f>
        <v/>
      </c>
      <c r="P738" s="77" t="str">
        <f>IF(Main[[#This Row],[Tech Start Date]]&lt;1/1/1990,"",IF(Main[[#This Row],[Class]]="C",WORKDAY(Main[[#This Row],[Tech Start Date]],28),IF(Main[[#This Row],[Class]]="B", WORKDAY(Main[[#This Row],[Tech Start Date]],19),IF(Main[[#This Row],[Class]]="A",WORKDAY(Main[[#This Row],[Tech Start Date]],9),""))))</f>
        <v/>
      </c>
      <c r="Q738" s="74">
        <v>40233</v>
      </c>
      <c r="R738" s="74"/>
      <c r="S738" s="72" t="s">
        <v>11</v>
      </c>
      <c r="T738" s="80" t="s">
        <v>4</v>
      </c>
      <c r="U738" s="72" t="s">
        <v>14</v>
      </c>
      <c r="V738" s="72" t="s">
        <v>1940</v>
      </c>
      <c r="W738" s="72" t="s">
        <v>1945</v>
      </c>
      <c r="X738" s="72" t="s">
        <v>2976</v>
      </c>
      <c r="Y738" s="72" t="s">
        <v>3101</v>
      </c>
      <c r="Z738" s="72" t="s">
        <v>4</v>
      </c>
    </row>
    <row r="739" spans="1:26" ht="18.600000000000001" customHeight="1">
      <c r="A739" s="142" t="str">
        <f>IF(priority(Main[[#This Row],[Comments]])&lt;&gt;0, priority(Main[[#This Row],[Comments]]),"")</f>
        <v/>
      </c>
      <c r="B739" s="90" t="s">
        <v>1588</v>
      </c>
      <c r="C739" s="72" t="s">
        <v>160</v>
      </c>
      <c r="D739" s="73" t="s">
        <v>655</v>
      </c>
      <c r="E739" s="74"/>
      <c r="F739" s="74">
        <v>40513</v>
      </c>
      <c r="G739" s="75" t="str">
        <f>IF(stdProdLT(Main[[#This Row],[Comments]])=0.1,"N/A",IF(stdProdLT(Main[[#This Row],[Comments]])=0,"",stdProdLT(Main[[#This Row],[Comments]])))</f>
        <v/>
      </c>
      <c r="H739" s="76" t="str">
        <f>IF(AND(Main[[#This Row],[In Stock Date]]&lt;&gt;"",Main[[#This Row],[Revised Due Date]]&lt;&gt;""),Main[[#This Row],[In Stock Date]]-Main[[#This Row],[Revised Due Date]],"")</f>
        <v/>
      </c>
      <c r="I739" s="72" t="s">
        <v>4</v>
      </c>
      <c r="J739" s="72" t="s">
        <v>28</v>
      </c>
      <c r="K739" s="81" t="s">
        <v>4</v>
      </c>
      <c r="L739" s="74"/>
      <c r="M739" s="77" t="str">
        <f>IF(Main[[#This Row],[Tech Start Date]]&lt;1/1/1990,"",IF(Main[[#This Row],[Class]]="C",WORKDAY(Main[[#This Row],[Tech Start Date]],9),IF(Main[[#This Row],[Class]]="B", WORKDAY(Main[[#This Row],[Tech Start Date]],6),IF(Main[[#This Row],[Class]]="A",WORKDAY(Main[[#This Row],[Tech Start Date]],2),""))))</f>
        <v/>
      </c>
      <c r="N739" s="77" t="str">
        <f>IF(Main[[#This Row],[Tech Start Date]]&lt;1/1/1990,"",IF(Main[[#This Row],[Class]]="C",WORKDAY(Main[[#This Row],[Tech Start Date]],19),IF(Main[[#This Row],[Class]]="B", WORKDAY(Main[[#This Row],[Tech Start Date]],12),IF(Main[[#This Row],[Class]]="A",WORKDAY(Main[[#This Row],[Tech Start Date]],4),""))))</f>
        <v/>
      </c>
      <c r="O739" s="77" t="str">
        <f>IF(Main[[#This Row],[Tech Start Date]]&lt;1/1/1990,"",IF(Main[[#This Row],[Class]]="C",WORKDAY(Main[[#This Row],[Tech Start Date]],23),IF(Main[[#This Row],[Class]]="B", WORKDAY(Main[[#This Row],[Tech Start Date]],15),IF(Main[[#This Row],[Class]]="A",WORKDAY(Main[[#This Row],[Tech Start Date]],5),""))))</f>
        <v/>
      </c>
      <c r="P739" s="77" t="str">
        <f>IF(Main[[#This Row],[Tech Start Date]]&lt;1/1/1990,"",IF(Main[[#This Row],[Class]]="C",WORKDAY(Main[[#This Row],[Tech Start Date]],28),IF(Main[[#This Row],[Class]]="B", WORKDAY(Main[[#This Row],[Tech Start Date]],19),IF(Main[[#This Row],[Class]]="A",WORKDAY(Main[[#This Row],[Tech Start Date]],9),""))))</f>
        <v/>
      </c>
      <c r="Q739" s="74">
        <v>40382</v>
      </c>
      <c r="R739" s="74"/>
      <c r="S739" s="72" t="s">
        <v>11</v>
      </c>
      <c r="T739" s="80" t="s">
        <v>4</v>
      </c>
      <c r="U739" s="72" t="s">
        <v>14</v>
      </c>
      <c r="V739" s="72" t="s">
        <v>1937</v>
      </c>
      <c r="W739" s="72" t="s">
        <v>1945</v>
      </c>
      <c r="X739" s="72" t="s">
        <v>3007</v>
      </c>
      <c r="Y739" s="72" t="s">
        <v>3152</v>
      </c>
      <c r="Z739" s="72" t="s">
        <v>129</v>
      </c>
    </row>
    <row r="740" spans="1:26" ht="18.600000000000001" customHeight="1">
      <c r="A740" s="142" t="str">
        <f>IF(priority(Main[[#This Row],[Comments]])&lt;&gt;0, priority(Main[[#This Row],[Comments]]),"")</f>
        <v/>
      </c>
      <c r="B740" s="90" t="s">
        <v>1589</v>
      </c>
      <c r="C740" s="72" t="s">
        <v>4</v>
      </c>
      <c r="D740" s="73" t="s">
        <v>656</v>
      </c>
      <c r="E740" s="74">
        <v>40477.486574074072</v>
      </c>
      <c r="F740" s="74"/>
      <c r="G740" s="75" t="str">
        <f>IF(stdProdLT(Main[[#This Row],[Comments]])=0.1,"N/A",IF(stdProdLT(Main[[#This Row],[Comments]])=0,"",stdProdLT(Main[[#This Row],[Comments]])))</f>
        <v/>
      </c>
      <c r="H740" s="76" t="str">
        <f>IF(AND(Main[[#This Row],[In Stock Date]]&lt;&gt;"",Main[[#This Row],[Revised Due Date]]&lt;&gt;""),Main[[#This Row],[In Stock Date]]-Main[[#This Row],[Revised Due Date]],"")</f>
        <v/>
      </c>
      <c r="I740" s="72" t="s">
        <v>4</v>
      </c>
      <c r="J740" s="72" t="s">
        <v>4</v>
      </c>
      <c r="K740" s="81" t="s">
        <v>4</v>
      </c>
      <c r="L740" s="74"/>
      <c r="M740" s="77" t="str">
        <f>IF(Main[[#This Row],[Tech Start Date]]&lt;1/1/1990,"",IF(Main[[#This Row],[Class]]="C",WORKDAY(Main[[#This Row],[Tech Start Date]],9),IF(Main[[#This Row],[Class]]="B", WORKDAY(Main[[#This Row],[Tech Start Date]],6),IF(Main[[#This Row],[Class]]="A",WORKDAY(Main[[#This Row],[Tech Start Date]],2),""))))</f>
        <v/>
      </c>
      <c r="N740" s="77" t="str">
        <f>IF(Main[[#This Row],[Tech Start Date]]&lt;1/1/1990,"",IF(Main[[#This Row],[Class]]="C",WORKDAY(Main[[#This Row],[Tech Start Date]],19),IF(Main[[#This Row],[Class]]="B", WORKDAY(Main[[#This Row],[Tech Start Date]],12),IF(Main[[#This Row],[Class]]="A",WORKDAY(Main[[#This Row],[Tech Start Date]],4),""))))</f>
        <v/>
      </c>
      <c r="O740" s="77" t="str">
        <f>IF(Main[[#This Row],[Tech Start Date]]&lt;1/1/1990,"",IF(Main[[#This Row],[Class]]="C",WORKDAY(Main[[#This Row],[Tech Start Date]],23),IF(Main[[#This Row],[Class]]="B", WORKDAY(Main[[#This Row],[Tech Start Date]],15),IF(Main[[#This Row],[Class]]="A",WORKDAY(Main[[#This Row],[Tech Start Date]],5),""))))</f>
        <v/>
      </c>
      <c r="P740" s="77" t="str">
        <f>IF(Main[[#This Row],[Tech Start Date]]&lt;1/1/1990,"",IF(Main[[#This Row],[Class]]="C",WORKDAY(Main[[#This Row],[Tech Start Date]],28),IF(Main[[#This Row],[Class]]="B", WORKDAY(Main[[#This Row],[Tech Start Date]],19),IF(Main[[#This Row],[Class]]="A",WORKDAY(Main[[#This Row],[Tech Start Date]],9),""))))</f>
        <v/>
      </c>
      <c r="Q740" s="74">
        <v>40511</v>
      </c>
      <c r="R740" s="74"/>
      <c r="S740" s="72" t="s">
        <v>6</v>
      </c>
      <c r="T740" s="80" t="s">
        <v>4</v>
      </c>
      <c r="U740" s="72" t="s">
        <v>7</v>
      </c>
      <c r="V740" s="72" t="s">
        <v>1937</v>
      </c>
      <c r="W740" s="72" t="s">
        <v>4</v>
      </c>
      <c r="X740" s="72" t="s">
        <v>2970</v>
      </c>
      <c r="Y740" s="72" t="s">
        <v>3087</v>
      </c>
      <c r="Z740" s="72" t="s">
        <v>4</v>
      </c>
    </row>
    <row r="741" spans="1:26" ht="18.600000000000001" customHeight="1">
      <c r="A741" s="142" t="str">
        <f>IF(priority(Main[[#This Row],[Comments]])&lt;&gt;0, priority(Main[[#This Row],[Comments]]),"")</f>
        <v/>
      </c>
      <c r="B741" s="90" t="s">
        <v>1590</v>
      </c>
      <c r="C741" s="72" t="s">
        <v>4</v>
      </c>
      <c r="D741" s="73" t="s">
        <v>657</v>
      </c>
      <c r="E741" s="74"/>
      <c r="F741" s="74"/>
      <c r="G741" s="75" t="str">
        <f>IF(stdProdLT(Main[[#This Row],[Comments]])=0.1,"N/A",IF(stdProdLT(Main[[#This Row],[Comments]])=0,"",stdProdLT(Main[[#This Row],[Comments]])))</f>
        <v/>
      </c>
      <c r="H741" s="76" t="str">
        <f>IF(AND(Main[[#This Row],[In Stock Date]]&lt;&gt;"",Main[[#This Row],[Revised Due Date]]&lt;&gt;""),Main[[#This Row],[In Stock Date]]-Main[[#This Row],[Revised Due Date]],"")</f>
        <v/>
      </c>
      <c r="I741" s="72" t="s">
        <v>4</v>
      </c>
      <c r="J741" s="72" t="s">
        <v>4</v>
      </c>
      <c r="K741" s="72" t="s">
        <v>4</v>
      </c>
      <c r="L741" s="74"/>
      <c r="M741" s="77" t="str">
        <f>IF(Main[[#This Row],[Tech Start Date]]&lt;1/1/1990,"",IF(Main[[#This Row],[Class]]="C",WORKDAY(Main[[#This Row],[Tech Start Date]],9),IF(Main[[#This Row],[Class]]="B", WORKDAY(Main[[#This Row],[Tech Start Date]],6),IF(Main[[#This Row],[Class]]="A",WORKDAY(Main[[#This Row],[Tech Start Date]],2),""))))</f>
        <v/>
      </c>
      <c r="N741" s="77" t="str">
        <f>IF(Main[[#This Row],[Tech Start Date]]&lt;1/1/1990,"",IF(Main[[#This Row],[Class]]="C",WORKDAY(Main[[#This Row],[Tech Start Date]],19),IF(Main[[#This Row],[Class]]="B", WORKDAY(Main[[#This Row],[Tech Start Date]],12),IF(Main[[#This Row],[Class]]="A",WORKDAY(Main[[#This Row],[Tech Start Date]],4),""))))</f>
        <v/>
      </c>
      <c r="O741" s="77" t="str">
        <f>IF(Main[[#This Row],[Tech Start Date]]&lt;1/1/1990,"",IF(Main[[#This Row],[Class]]="C",WORKDAY(Main[[#This Row],[Tech Start Date]],23),IF(Main[[#This Row],[Class]]="B", WORKDAY(Main[[#This Row],[Tech Start Date]],15),IF(Main[[#This Row],[Class]]="A",WORKDAY(Main[[#This Row],[Tech Start Date]],5),""))))</f>
        <v/>
      </c>
      <c r="P741" s="77" t="str">
        <f>IF(Main[[#This Row],[Tech Start Date]]&lt;1/1/1990,"",IF(Main[[#This Row],[Class]]="C",WORKDAY(Main[[#This Row],[Tech Start Date]],28),IF(Main[[#This Row],[Class]]="B", WORKDAY(Main[[#This Row],[Tech Start Date]],19),IF(Main[[#This Row],[Class]]="A",WORKDAY(Main[[#This Row],[Tech Start Date]],9),""))))</f>
        <v/>
      </c>
      <c r="Q741" s="74">
        <v>40619</v>
      </c>
      <c r="R741" s="74"/>
      <c r="S741" s="72" t="s">
        <v>6</v>
      </c>
      <c r="T741" s="80" t="s">
        <v>4</v>
      </c>
      <c r="U741" s="72" t="s">
        <v>14</v>
      </c>
      <c r="V741" s="72" t="s">
        <v>1947</v>
      </c>
      <c r="W741" s="72" t="s">
        <v>4</v>
      </c>
      <c r="X741" s="72" t="s">
        <v>3055</v>
      </c>
      <c r="Y741" s="72" t="s">
        <v>3241</v>
      </c>
      <c r="Z741" s="72" t="s">
        <v>4</v>
      </c>
    </row>
    <row r="742" spans="1:26" ht="18.600000000000001" customHeight="1">
      <c r="A742" s="142" t="str">
        <f>IF(priority(Main[[#This Row],[Comments]])&lt;&gt;0, priority(Main[[#This Row],[Comments]]),"")</f>
        <v/>
      </c>
      <c r="B742" s="90" t="s">
        <v>2134</v>
      </c>
      <c r="C742" s="72" t="s">
        <v>4</v>
      </c>
      <c r="D742" s="73" t="s">
        <v>2135</v>
      </c>
      <c r="E742" s="74">
        <v>40772.421967592592</v>
      </c>
      <c r="F742" s="74"/>
      <c r="G742" s="75" t="str">
        <f>IF(stdProdLT(Main[[#This Row],[Comments]])=0.1,"N/A",IF(stdProdLT(Main[[#This Row],[Comments]])=0,"",stdProdLT(Main[[#This Row],[Comments]])))</f>
        <v/>
      </c>
      <c r="H742" s="76" t="str">
        <f>IF(AND(Main[[#This Row],[In Stock Date]]&lt;&gt;"",Main[[#This Row],[Revised Due Date]]&lt;&gt;""),Main[[#This Row],[In Stock Date]]-Main[[#This Row],[Revised Due Date]],"")</f>
        <v/>
      </c>
      <c r="I742" s="72" t="s">
        <v>927</v>
      </c>
      <c r="J742" s="72" t="s">
        <v>52</v>
      </c>
      <c r="K742" s="72" t="s">
        <v>4</v>
      </c>
      <c r="L742" s="74"/>
      <c r="M742" s="77" t="str">
        <f>IF(Main[[#This Row],[Tech Start Date]]&lt;1/1/1990,"",IF(Main[[#This Row],[Class]]="C",WORKDAY(Main[[#This Row],[Tech Start Date]],9),IF(Main[[#This Row],[Class]]="B", WORKDAY(Main[[#This Row],[Tech Start Date]],6),IF(Main[[#This Row],[Class]]="A",WORKDAY(Main[[#This Row],[Tech Start Date]],2),""))))</f>
        <v/>
      </c>
      <c r="N742" s="77" t="str">
        <f>IF(Main[[#This Row],[Tech Start Date]]&lt;1/1/1990,"",IF(Main[[#This Row],[Class]]="C",WORKDAY(Main[[#This Row],[Tech Start Date]],19),IF(Main[[#This Row],[Class]]="B", WORKDAY(Main[[#This Row],[Tech Start Date]],12),IF(Main[[#This Row],[Class]]="A",WORKDAY(Main[[#This Row],[Tech Start Date]],4),""))))</f>
        <v/>
      </c>
      <c r="O742" s="77" t="str">
        <f>IF(Main[[#This Row],[Tech Start Date]]&lt;1/1/1990,"",IF(Main[[#This Row],[Class]]="C",WORKDAY(Main[[#This Row],[Tech Start Date]],23),IF(Main[[#This Row],[Class]]="B", WORKDAY(Main[[#This Row],[Tech Start Date]],15),IF(Main[[#This Row],[Class]]="A",WORKDAY(Main[[#This Row],[Tech Start Date]],5),""))))</f>
        <v/>
      </c>
      <c r="P742" s="77" t="str">
        <f>IF(Main[[#This Row],[Tech Start Date]]&lt;1/1/1990,"",IF(Main[[#This Row],[Class]]="C",WORKDAY(Main[[#This Row],[Tech Start Date]],28),IF(Main[[#This Row],[Class]]="B", WORKDAY(Main[[#This Row],[Tech Start Date]],19),IF(Main[[#This Row],[Class]]="A",WORKDAY(Main[[#This Row],[Tech Start Date]],9),""))))</f>
        <v/>
      </c>
      <c r="Q742" s="74"/>
      <c r="R742" s="74"/>
      <c r="S742" s="72" t="s">
        <v>6</v>
      </c>
      <c r="T742" s="80" t="s">
        <v>4</v>
      </c>
      <c r="U742" s="72" t="s">
        <v>29</v>
      </c>
      <c r="V742" s="72" t="s">
        <v>1937</v>
      </c>
      <c r="W742" s="72" t="s">
        <v>1941</v>
      </c>
      <c r="X742" s="72" t="s">
        <v>953</v>
      </c>
      <c r="Y742" s="72" t="s">
        <v>3142</v>
      </c>
      <c r="Z742" s="72" t="s">
        <v>129</v>
      </c>
    </row>
    <row r="743" spans="1:26" ht="18.600000000000001" customHeight="1">
      <c r="A743" s="142" t="str">
        <f>IF(priority(Main[[#This Row],[Comments]])&lt;&gt;0, priority(Main[[#This Row],[Comments]]),"")</f>
        <v/>
      </c>
      <c r="B743" s="90" t="s">
        <v>1592</v>
      </c>
      <c r="C743" s="72" t="s">
        <v>4</v>
      </c>
      <c r="D743" s="73" t="s">
        <v>661</v>
      </c>
      <c r="E743" s="74">
        <v>40626.478437500002</v>
      </c>
      <c r="F743" s="74"/>
      <c r="G743" s="75" t="str">
        <f>IF(stdProdLT(Main[[#This Row],[Comments]])=0.1,"N/A",IF(stdProdLT(Main[[#This Row],[Comments]])=0,"",stdProdLT(Main[[#This Row],[Comments]])))</f>
        <v/>
      </c>
      <c r="H743" s="76" t="str">
        <f>IF(AND(Main[[#This Row],[In Stock Date]]&lt;&gt;"",Main[[#This Row],[Revised Due Date]]&lt;&gt;""),Main[[#This Row],[In Stock Date]]-Main[[#This Row],[Revised Due Date]],"")</f>
        <v/>
      </c>
      <c r="I743" s="72" t="s">
        <v>375</v>
      </c>
      <c r="J743" s="72" t="s">
        <v>28</v>
      </c>
      <c r="K743" s="72" t="s">
        <v>1946</v>
      </c>
      <c r="L743" s="74"/>
      <c r="M743" s="77" t="str">
        <f>IF(Main[[#This Row],[Tech Start Date]]&lt;1/1/1990,"",IF(Main[[#This Row],[Class]]="C",WORKDAY(Main[[#This Row],[Tech Start Date]],9),IF(Main[[#This Row],[Class]]="B", WORKDAY(Main[[#This Row],[Tech Start Date]],6),IF(Main[[#This Row],[Class]]="A",WORKDAY(Main[[#This Row],[Tech Start Date]],2),""))))</f>
        <v/>
      </c>
      <c r="N743" s="77" t="str">
        <f>IF(Main[[#This Row],[Tech Start Date]]&lt;1/1/1990,"",IF(Main[[#This Row],[Class]]="C",WORKDAY(Main[[#This Row],[Tech Start Date]],19),IF(Main[[#This Row],[Class]]="B", WORKDAY(Main[[#This Row],[Tech Start Date]],12),IF(Main[[#This Row],[Class]]="A",WORKDAY(Main[[#This Row],[Tech Start Date]],4),""))))</f>
        <v/>
      </c>
      <c r="O743" s="77" t="str">
        <f>IF(Main[[#This Row],[Tech Start Date]]&lt;1/1/1990,"",IF(Main[[#This Row],[Class]]="C",WORKDAY(Main[[#This Row],[Tech Start Date]],23),IF(Main[[#This Row],[Class]]="B", WORKDAY(Main[[#This Row],[Tech Start Date]],15),IF(Main[[#This Row],[Class]]="A",WORKDAY(Main[[#This Row],[Tech Start Date]],5),""))))</f>
        <v/>
      </c>
      <c r="P743" s="77" t="str">
        <f>IF(Main[[#This Row],[Tech Start Date]]&lt;1/1/1990,"",IF(Main[[#This Row],[Class]]="C",WORKDAY(Main[[#This Row],[Tech Start Date]],28),IF(Main[[#This Row],[Class]]="B", WORKDAY(Main[[#This Row],[Tech Start Date]],19),IF(Main[[#This Row],[Class]]="A",WORKDAY(Main[[#This Row],[Tech Start Date]],9),""))))</f>
        <v/>
      </c>
      <c r="Q743" s="74"/>
      <c r="R743" s="74"/>
      <c r="S743" s="72" t="s">
        <v>6</v>
      </c>
      <c r="T743" s="80" t="s">
        <v>4</v>
      </c>
      <c r="U743" s="72" t="s">
        <v>29</v>
      </c>
      <c r="V743" s="72" t="s">
        <v>1940</v>
      </c>
      <c r="W743" s="72" t="s">
        <v>1941</v>
      </c>
      <c r="X743" s="72" t="s">
        <v>74</v>
      </c>
      <c r="Y743" s="72" t="s">
        <v>3189</v>
      </c>
      <c r="Z743" s="72" t="s">
        <v>421</v>
      </c>
    </row>
    <row r="744" spans="1:26" ht="18.600000000000001" customHeight="1">
      <c r="A744" s="142" t="str">
        <f>IF(priority(Main[[#This Row],[Comments]])&lt;&gt;0, priority(Main[[#This Row],[Comments]]),"")</f>
        <v/>
      </c>
      <c r="B744" s="90" t="s">
        <v>2425</v>
      </c>
      <c r="C744" s="72" t="s">
        <v>47</v>
      </c>
      <c r="D744" s="73" t="s">
        <v>2426</v>
      </c>
      <c r="E744" s="74">
        <v>40847.703090277777</v>
      </c>
      <c r="F744" s="74"/>
      <c r="G744" s="75" t="str">
        <f>IF(stdProdLT(Main[[#This Row],[Comments]])=0.1,"N/A",IF(stdProdLT(Main[[#This Row],[Comments]])=0,"",stdProdLT(Main[[#This Row],[Comments]])))</f>
        <v/>
      </c>
      <c r="H744" s="76" t="str">
        <f>IF(AND(Main[[#This Row],[In Stock Date]]&lt;&gt;"",Main[[#This Row],[Revised Due Date]]&lt;&gt;""),Main[[#This Row],[In Stock Date]]-Main[[#This Row],[Revised Due Date]],"")</f>
        <v/>
      </c>
      <c r="I744" s="72" t="s">
        <v>69</v>
      </c>
      <c r="J744" s="72" t="s">
        <v>28</v>
      </c>
      <c r="K744" s="72" t="s">
        <v>1946</v>
      </c>
      <c r="L744" s="74"/>
      <c r="M744" s="77" t="str">
        <f>IF(Main[[#This Row],[Tech Start Date]]&lt;1/1/1990,"",IF(Main[[#This Row],[Class]]="C",WORKDAY(Main[[#This Row],[Tech Start Date]],9),IF(Main[[#This Row],[Class]]="B", WORKDAY(Main[[#This Row],[Tech Start Date]],6),IF(Main[[#This Row],[Class]]="A",WORKDAY(Main[[#This Row],[Tech Start Date]],2),""))))</f>
        <v/>
      </c>
      <c r="N744" s="77" t="str">
        <f>IF(Main[[#This Row],[Tech Start Date]]&lt;1/1/1990,"",IF(Main[[#This Row],[Class]]="C",WORKDAY(Main[[#This Row],[Tech Start Date]],19),IF(Main[[#This Row],[Class]]="B", WORKDAY(Main[[#This Row],[Tech Start Date]],12),IF(Main[[#This Row],[Class]]="A",WORKDAY(Main[[#This Row],[Tech Start Date]],4),""))))</f>
        <v/>
      </c>
      <c r="O744" s="77" t="str">
        <f>IF(Main[[#This Row],[Tech Start Date]]&lt;1/1/1990,"",IF(Main[[#This Row],[Class]]="C",WORKDAY(Main[[#This Row],[Tech Start Date]],23),IF(Main[[#This Row],[Class]]="B", WORKDAY(Main[[#This Row],[Tech Start Date]],15),IF(Main[[#This Row],[Class]]="A",WORKDAY(Main[[#This Row],[Tech Start Date]],5),""))))</f>
        <v/>
      </c>
      <c r="P744" s="77" t="str">
        <f>IF(Main[[#This Row],[Tech Start Date]]&lt;1/1/1990,"",IF(Main[[#This Row],[Class]]="C",WORKDAY(Main[[#This Row],[Tech Start Date]],28),IF(Main[[#This Row],[Class]]="B", WORKDAY(Main[[#This Row],[Tech Start Date]],19),IF(Main[[#This Row],[Class]]="A",WORKDAY(Main[[#This Row],[Tech Start Date]],9),""))))</f>
        <v/>
      </c>
      <c r="Q744" s="74">
        <v>40862</v>
      </c>
      <c r="R744" s="74"/>
      <c r="S744" s="72" t="s">
        <v>6</v>
      </c>
      <c r="T744" s="80" t="s">
        <v>4</v>
      </c>
      <c r="U744" s="72" t="s">
        <v>29</v>
      </c>
      <c r="V744" s="72" t="s">
        <v>1940</v>
      </c>
      <c r="W744" s="72" t="s">
        <v>1941</v>
      </c>
      <c r="X744" s="72" t="s">
        <v>3017</v>
      </c>
      <c r="Y744" s="72" t="s">
        <v>3168</v>
      </c>
      <c r="Z744" s="72" t="s">
        <v>30</v>
      </c>
    </row>
    <row r="745" spans="1:26" ht="18.600000000000001" customHeight="1">
      <c r="A745" s="142" t="str">
        <f>IF(priority(Main[[#This Row],[Comments]])&lt;&gt;0, priority(Main[[#This Row],[Comments]]),"")</f>
        <v/>
      </c>
      <c r="B745" s="90" t="s">
        <v>1656</v>
      </c>
      <c r="C745" s="72" t="s">
        <v>4</v>
      </c>
      <c r="D745" s="73" t="s">
        <v>2144</v>
      </c>
      <c r="E745" s="74">
        <v>40696.439942129633</v>
      </c>
      <c r="F745" s="74"/>
      <c r="G745" s="75" t="str">
        <f>IF(stdProdLT(Main[[#This Row],[Comments]])=0.1,"N/A",IF(stdProdLT(Main[[#This Row],[Comments]])=0,"",stdProdLT(Main[[#This Row],[Comments]])))</f>
        <v/>
      </c>
      <c r="H745" s="76" t="str">
        <f>IF(AND(Main[[#This Row],[In Stock Date]]&lt;&gt;"",Main[[#This Row],[Revised Due Date]]&lt;&gt;""),Main[[#This Row],[In Stock Date]]-Main[[#This Row],[Revised Due Date]],"")</f>
        <v/>
      </c>
      <c r="I745" s="72" t="s">
        <v>957</v>
      </c>
      <c r="J745" s="72" t="s">
        <v>4</v>
      </c>
      <c r="K745" s="72" t="s">
        <v>4</v>
      </c>
      <c r="L745" s="74"/>
      <c r="M745" s="77" t="str">
        <f>IF(Main[[#This Row],[Tech Start Date]]&lt;1/1/1990,"",IF(Main[[#This Row],[Class]]="C",WORKDAY(Main[[#This Row],[Tech Start Date]],9),IF(Main[[#This Row],[Class]]="B", WORKDAY(Main[[#This Row],[Tech Start Date]],6),IF(Main[[#This Row],[Class]]="A",WORKDAY(Main[[#This Row],[Tech Start Date]],2),""))))</f>
        <v/>
      </c>
      <c r="N745" s="77" t="str">
        <f>IF(Main[[#This Row],[Tech Start Date]]&lt;1/1/1990,"",IF(Main[[#This Row],[Class]]="C",WORKDAY(Main[[#This Row],[Tech Start Date]],19),IF(Main[[#This Row],[Class]]="B", WORKDAY(Main[[#This Row],[Tech Start Date]],12),IF(Main[[#This Row],[Class]]="A",WORKDAY(Main[[#This Row],[Tech Start Date]],4),""))))</f>
        <v/>
      </c>
      <c r="O745" s="77" t="str">
        <f>IF(Main[[#This Row],[Tech Start Date]]&lt;1/1/1990,"",IF(Main[[#This Row],[Class]]="C",WORKDAY(Main[[#This Row],[Tech Start Date]],23),IF(Main[[#This Row],[Class]]="B", WORKDAY(Main[[#This Row],[Tech Start Date]],15),IF(Main[[#This Row],[Class]]="A",WORKDAY(Main[[#This Row],[Tech Start Date]],5),""))))</f>
        <v/>
      </c>
      <c r="P745" s="77" t="str">
        <f>IF(Main[[#This Row],[Tech Start Date]]&lt;1/1/1990,"",IF(Main[[#This Row],[Class]]="C",WORKDAY(Main[[#This Row],[Tech Start Date]],28),IF(Main[[#This Row],[Class]]="B", WORKDAY(Main[[#This Row],[Tech Start Date]],19),IF(Main[[#This Row],[Class]]="A",WORKDAY(Main[[#This Row],[Tech Start Date]],9),""))))</f>
        <v/>
      </c>
      <c r="Q745" s="74"/>
      <c r="R745" s="74">
        <v>40815</v>
      </c>
      <c r="S745" s="72" t="s">
        <v>6</v>
      </c>
      <c r="T745" s="80" t="s">
        <v>4</v>
      </c>
      <c r="U745" s="72" t="s">
        <v>29</v>
      </c>
      <c r="V745" s="72" t="s">
        <v>1938</v>
      </c>
      <c r="W745" s="72" t="s">
        <v>1945</v>
      </c>
      <c r="X745" s="72" t="s">
        <v>957</v>
      </c>
      <c r="Y745" s="72" t="s">
        <v>3153</v>
      </c>
      <c r="Z745" s="72" t="s">
        <v>2080</v>
      </c>
    </row>
    <row r="746" spans="1:26" ht="18.600000000000001" customHeight="1">
      <c r="A746" s="142" t="str">
        <f>IF(priority(Main[[#This Row],[Comments]])&lt;&gt;0, priority(Main[[#This Row],[Comments]]),"")</f>
        <v/>
      </c>
      <c r="B746" s="90" t="s">
        <v>1444</v>
      </c>
      <c r="C746" s="72" t="s">
        <v>4</v>
      </c>
      <c r="D746" s="73" t="s">
        <v>2427</v>
      </c>
      <c r="E746" s="74">
        <v>40561.285520833335</v>
      </c>
      <c r="F746" s="74"/>
      <c r="G746" s="75" t="str">
        <f>IF(stdProdLT(Main[[#This Row],[Comments]])=0.1,"N/A",IF(stdProdLT(Main[[#This Row],[Comments]])=0,"",stdProdLT(Main[[#This Row],[Comments]])))</f>
        <v/>
      </c>
      <c r="H746" s="76" t="str">
        <f>IF(AND(Main[[#This Row],[In Stock Date]]&lt;&gt;"",Main[[#This Row],[Revised Due Date]]&lt;&gt;""),Main[[#This Row],[In Stock Date]]-Main[[#This Row],[Revised Due Date]],"")</f>
        <v/>
      </c>
      <c r="I746" s="72" t="s">
        <v>927</v>
      </c>
      <c r="J746" s="72" t="s">
        <v>52</v>
      </c>
      <c r="K746" s="72" t="s">
        <v>1944</v>
      </c>
      <c r="L746" s="74"/>
      <c r="M746" s="77" t="str">
        <f>IF(Main[[#This Row],[Tech Start Date]]&lt;1/1/1990,"",IF(Main[[#This Row],[Class]]="C",WORKDAY(Main[[#This Row],[Tech Start Date]],9),IF(Main[[#This Row],[Class]]="B", WORKDAY(Main[[#This Row],[Tech Start Date]],6),IF(Main[[#This Row],[Class]]="A",WORKDAY(Main[[#This Row],[Tech Start Date]],2),""))))</f>
        <v/>
      </c>
      <c r="N746" s="77" t="str">
        <f>IF(Main[[#This Row],[Tech Start Date]]&lt;1/1/1990,"",IF(Main[[#This Row],[Class]]="C",WORKDAY(Main[[#This Row],[Tech Start Date]],19),IF(Main[[#This Row],[Class]]="B", WORKDAY(Main[[#This Row],[Tech Start Date]],12),IF(Main[[#This Row],[Class]]="A",WORKDAY(Main[[#This Row],[Tech Start Date]],4),""))))</f>
        <v/>
      </c>
      <c r="O746" s="77" t="str">
        <f>IF(Main[[#This Row],[Tech Start Date]]&lt;1/1/1990,"",IF(Main[[#This Row],[Class]]="C",WORKDAY(Main[[#This Row],[Tech Start Date]],23),IF(Main[[#This Row],[Class]]="B", WORKDAY(Main[[#This Row],[Tech Start Date]],15),IF(Main[[#This Row],[Class]]="A",WORKDAY(Main[[#This Row],[Tech Start Date]],5),""))))</f>
        <v/>
      </c>
      <c r="P746" s="77" t="str">
        <f>IF(Main[[#This Row],[Tech Start Date]]&lt;1/1/1990,"",IF(Main[[#This Row],[Class]]="C",WORKDAY(Main[[#This Row],[Tech Start Date]],28),IF(Main[[#This Row],[Class]]="B", WORKDAY(Main[[#This Row],[Tech Start Date]],19),IF(Main[[#This Row],[Class]]="A",WORKDAY(Main[[#This Row],[Tech Start Date]],9),""))))</f>
        <v/>
      </c>
      <c r="Q746" s="74">
        <v>40595</v>
      </c>
      <c r="R746" s="74"/>
      <c r="S746" s="72" t="s">
        <v>6</v>
      </c>
      <c r="T746" s="80" t="s">
        <v>4</v>
      </c>
      <c r="U746" s="72" t="s">
        <v>29</v>
      </c>
      <c r="V746" s="72" t="s">
        <v>1937</v>
      </c>
      <c r="W746" s="72" t="s">
        <v>1939</v>
      </c>
      <c r="X746" s="72" t="s">
        <v>2974</v>
      </c>
      <c r="Y746" s="72" t="s">
        <v>3096</v>
      </c>
      <c r="Z746" s="72" t="s">
        <v>129</v>
      </c>
    </row>
    <row r="747" spans="1:26" ht="18.600000000000001" customHeight="1">
      <c r="A747" s="142" t="str">
        <f>IF(priority(Main[[#This Row],[Comments]])&lt;&gt;0, priority(Main[[#This Row],[Comments]]),"")</f>
        <v/>
      </c>
      <c r="B747" s="90" t="s">
        <v>1595</v>
      </c>
      <c r="C747" s="72" t="s">
        <v>4</v>
      </c>
      <c r="D747" s="73" t="s">
        <v>663</v>
      </c>
      <c r="E747" s="74"/>
      <c r="F747" s="74"/>
      <c r="G747" s="75" t="str">
        <f>IF(stdProdLT(Main[[#This Row],[Comments]])=0.1,"N/A",IF(stdProdLT(Main[[#This Row],[Comments]])=0,"",stdProdLT(Main[[#This Row],[Comments]])))</f>
        <v/>
      </c>
      <c r="H747" s="76" t="str">
        <f>IF(AND(Main[[#This Row],[In Stock Date]]&lt;&gt;"",Main[[#This Row],[Revised Due Date]]&lt;&gt;""),Main[[#This Row],[In Stock Date]]-Main[[#This Row],[Revised Due Date]],"")</f>
        <v/>
      </c>
      <c r="I747" s="72" t="s">
        <v>4</v>
      </c>
      <c r="J747" s="72" t="s">
        <v>4</v>
      </c>
      <c r="K747" s="72" t="s">
        <v>4</v>
      </c>
      <c r="L747" s="74"/>
      <c r="M747" s="77" t="str">
        <f>IF(Main[[#This Row],[Tech Start Date]]&lt;1/1/1990,"",IF(Main[[#This Row],[Class]]="C",WORKDAY(Main[[#This Row],[Tech Start Date]],9),IF(Main[[#This Row],[Class]]="B", WORKDAY(Main[[#This Row],[Tech Start Date]],6),IF(Main[[#This Row],[Class]]="A",WORKDAY(Main[[#This Row],[Tech Start Date]],2),""))))</f>
        <v/>
      </c>
      <c r="N747" s="77" t="str">
        <f>IF(Main[[#This Row],[Tech Start Date]]&lt;1/1/1990,"",IF(Main[[#This Row],[Class]]="C",WORKDAY(Main[[#This Row],[Tech Start Date]],19),IF(Main[[#This Row],[Class]]="B", WORKDAY(Main[[#This Row],[Tech Start Date]],12),IF(Main[[#This Row],[Class]]="A",WORKDAY(Main[[#This Row],[Tech Start Date]],4),""))))</f>
        <v/>
      </c>
      <c r="O747" s="77" t="str">
        <f>IF(Main[[#This Row],[Tech Start Date]]&lt;1/1/1990,"",IF(Main[[#This Row],[Class]]="C",WORKDAY(Main[[#This Row],[Tech Start Date]],23),IF(Main[[#This Row],[Class]]="B", WORKDAY(Main[[#This Row],[Tech Start Date]],15),IF(Main[[#This Row],[Class]]="A",WORKDAY(Main[[#This Row],[Tech Start Date]],5),""))))</f>
        <v/>
      </c>
      <c r="P747" s="77" t="str">
        <f>IF(Main[[#This Row],[Tech Start Date]]&lt;1/1/1990,"",IF(Main[[#This Row],[Class]]="C",WORKDAY(Main[[#This Row],[Tech Start Date]],28),IF(Main[[#This Row],[Class]]="B", WORKDAY(Main[[#This Row],[Tech Start Date]],19),IF(Main[[#This Row],[Class]]="A",WORKDAY(Main[[#This Row],[Tech Start Date]],9),""))))</f>
        <v/>
      </c>
      <c r="Q747" s="74"/>
      <c r="R747" s="74"/>
      <c r="S747" s="72" t="s">
        <v>6</v>
      </c>
      <c r="T747" s="80" t="s">
        <v>4</v>
      </c>
      <c r="U747" s="72" t="s">
        <v>12</v>
      </c>
      <c r="V747" s="72" t="s">
        <v>1937</v>
      </c>
      <c r="W747" s="72" t="s">
        <v>4</v>
      </c>
      <c r="X747" s="72" t="s">
        <v>719</v>
      </c>
      <c r="Y747" s="72" t="s">
        <v>3228</v>
      </c>
      <c r="Z747" s="72" t="s">
        <v>4</v>
      </c>
    </row>
    <row r="748" spans="1:26" ht="18.600000000000001" customHeight="1">
      <c r="A748" s="142" t="str">
        <f>IF(priority(Main[[#This Row],[Comments]])&lt;&gt;0, priority(Main[[#This Row],[Comments]]),"")</f>
        <v/>
      </c>
      <c r="B748" s="90" t="s">
        <v>1596</v>
      </c>
      <c r="C748" s="72" t="s">
        <v>4</v>
      </c>
      <c r="D748" s="73" t="s">
        <v>664</v>
      </c>
      <c r="E748" s="74"/>
      <c r="F748" s="74"/>
      <c r="G748" s="75" t="str">
        <f>IF(stdProdLT(Main[[#This Row],[Comments]])=0.1,"N/A",IF(stdProdLT(Main[[#This Row],[Comments]])=0,"",stdProdLT(Main[[#This Row],[Comments]])))</f>
        <v/>
      </c>
      <c r="H748" s="76" t="str">
        <f>IF(AND(Main[[#This Row],[In Stock Date]]&lt;&gt;"",Main[[#This Row],[Revised Due Date]]&lt;&gt;""),Main[[#This Row],[In Stock Date]]-Main[[#This Row],[Revised Due Date]],"")</f>
        <v/>
      </c>
      <c r="I748" s="72" t="s">
        <v>4</v>
      </c>
      <c r="J748" s="72" t="s">
        <v>4</v>
      </c>
      <c r="K748" s="72" t="s">
        <v>4</v>
      </c>
      <c r="L748" s="74"/>
      <c r="M748" s="77" t="str">
        <f>IF(Main[[#This Row],[Tech Start Date]]&lt;1/1/1990,"",IF(Main[[#This Row],[Class]]="C",WORKDAY(Main[[#This Row],[Tech Start Date]],9),IF(Main[[#This Row],[Class]]="B", WORKDAY(Main[[#This Row],[Tech Start Date]],6),IF(Main[[#This Row],[Class]]="A",WORKDAY(Main[[#This Row],[Tech Start Date]],2),""))))</f>
        <v/>
      </c>
      <c r="N748" s="77" t="str">
        <f>IF(Main[[#This Row],[Tech Start Date]]&lt;1/1/1990,"",IF(Main[[#This Row],[Class]]="C",WORKDAY(Main[[#This Row],[Tech Start Date]],19),IF(Main[[#This Row],[Class]]="B", WORKDAY(Main[[#This Row],[Tech Start Date]],12),IF(Main[[#This Row],[Class]]="A",WORKDAY(Main[[#This Row],[Tech Start Date]],4),""))))</f>
        <v/>
      </c>
      <c r="O748" s="77" t="str">
        <f>IF(Main[[#This Row],[Tech Start Date]]&lt;1/1/1990,"",IF(Main[[#This Row],[Class]]="C",WORKDAY(Main[[#This Row],[Tech Start Date]],23),IF(Main[[#This Row],[Class]]="B", WORKDAY(Main[[#This Row],[Tech Start Date]],15),IF(Main[[#This Row],[Class]]="A",WORKDAY(Main[[#This Row],[Tech Start Date]],5),""))))</f>
        <v/>
      </c>
      <c r="P748" s="77" t="str">
        <f>IF(Main[[#This Row],[Tech Start Date]]&lt;1/1/1990,"",IF(Main[[#This Row],[Class]]="C",WORKDAY(Main[[#This Row],[Tech Start Date]],28),IF(Main[[#This Row],[Class]]="B", WORKDAY(Main[[#This Row],[Tech Start Date]],19),IF(Main[[#This Row],[Class]]="A",WORKDAY(Main[[#This Row],[Tech Start Date]],9),""))))</f>
        <v/>
      </c>
      <c r="Q748" s="74"/>
      <c r="R748" s="74"/>
      <c r="S748" s="72" t="s">
        <v>6</v>
      </c>
      <c r="T748" s="80" t="s">
        <v>4</v>
      </c>
      <c r="U748" s="72" t="s">
        <v>14</v>
      </c>
      <c r="V748" s="72" t="s">
        <v>1937</v>
      </c>
      <c r="W748" s="72" t="s">
        <v>1945</v>
      </c>
      <c r="X748" s="72" t="s">
        <v>719</v>
      </c>
      <c r="Y748" s="72" t="s">
        <v>3242</v>
      </c>
      <c r="Z748" s="72" t="s">
        <v>4</v>
      </c>
    </row>
    <row r="749" spans="1:26" ht="18.600000000000001" customHeight="1">
      <c r="A749" s="142" t="str">
        <f>IF(priority(Main[[#This Row],[Comments]])&lt;&gt;0, priority(Main[[#This Row],[Comments]]),"")</f>
        <v/>
      </c>
      <c r="B749" s="90" t="s">
        <v>1597</v>
      </c>
      <c r="C749" s="72" t="s">
        <v>4</v>
      </c>
      <c r="D749" s="73" t="s">
        <v>665</v>
      </c>
      <c r="E749" s="74"/>
      <c r="F749" s="74"/>
      <c r="G749" s="75" t="str">
        <f>IF(stdProdLT(Main[[#This Row],[Comments]])=0.1,"N/A",IF(stdProdLT(Main[[#This Row],[Comments]])=0,"",stdProdLT(Main[[#This Row],[Comments]])))</f>
        <v/>
      </c>
      <c r="H749" s="76" t="str">
        <f>IF(AND(Main[[#This Row],[In Stock Date]]&lt;&gt;"",Main[[#This Row],[Revised Due Date]]&lt;&gt;""),Main[[#This Row],[In Stock Date]]-Main[[#This Row],[Revised Due Date]],"")</f>
        <v/>
      </c>
      <c r="I749" s="72" t="s">
        <v>4</v>
      </c>
      <c r="J749" s="72" t="s">
        <v>4</v>
      </c>
      <c r="K749" s="72" t="s">
        <v>4</v>
      </c>
      <c r="L749" s="74"/>
      <c r="M749" s="77" t="str">
        <f>IF(Main[[#This Row],[Tech Start Date]]&lt;1/1/1990,"",IF(Main[[#This Row],[Class]]="C",WORKDAY(Main[[#This Row],[Tech Start Date]],9),IF(Main[[#This Row],[Class]]="B", WORKDAY(Main[[#This Row],[Tech Start Date]],6),IF(Main[[#This Row],[Class]]="A",WORKDAY(Main[[#This Row],[Tech Start Date]],2),""))))</f>
        <v/>
      </c>
      <c r="N749" s="77" t="str">
        <f>IF(Main[[#This Row],[Tech Start Date]]&lt;1/1/1990,"",IF(Main[[#This Row],[Class]]="C",WORKDAY(Main[[#This Row],[Tech Start Date]],19),IF(Main[[#This Row],[Class]]="B", WORKDAY(Main[[#This Row],[Tech Start Date]],12),IF(Main[[#This Row],[Class]]="A",WORKDAY(Main[[#This Row],[Tech Start Date]],4),""))))</f>
        <v/>
      </c>
      <c r="O749" s="77" t="str">
        <f>IF(Main[[#This Row],[Tech Start Date]]&lt;1/1/1990,"",IF(Main[[#This Row],[Class]]="C",WORKDAY(Main[[#This Row],[Tech Start Date]],23),IF(Main[[#This Row],[Class]]="B", WORKDAY(Main[[#This Row],[Tech Start Date]],15),IF(Main[[#This Row],[Class]]="A",WORKDAY(Main[[#This Row],[Tech Start Date]],5),""))))</f>
        <v/>
      </c>
      <c r="P749" s="77" t="str">
        <f>IF(Main[[#This Row],[Tech Start Date]]&lt;1/1/1990,"",IF(Main[[#This Row],[Class]]="C",WORKDAY(Main[[#This Row],[Tech Start Date]],28),IF(Main[[#This Row],[Class]]="B", WORKDAY(Main[[#This Row],[Tech Start Date]],19),IF(Main[[#This Row],[Class]]="A",WORKDAY(Main[[#This Row],[Tech Start Date]],9),""))))</f>
        <v/>
      </c>
      <c r="Q749" s="74"/>
      <c r="R749" s="74"/>
      <c r="S749" s="72" t="s">
        <v>11</v>
      </c>
      <c r="T749" s="80" t="s">
        <v>4</v>
      </c>
      <c r="U749" s="72" t="s">
        <v>12</v>
      </c>
      <c r="V749" s="72" t="s">
        <v>1937</v>
      </c>
      <c r="W749" s="72" t="s">
        <v>1941</v>
      </c>
      <c r="X749" s="72" t="s">
        <v>937</v>
      </c>
      <c r="Y749" s="72" t="s">
        <v>3150</v>
      </c>
      <c r="Z749" s="72" t="s">
        <v>4</v>
      </c>
    </row>
    <row r="750" spans="1:26" ht="18.600000000000001" customHeight="1">
      <c r="A750" s="142" t="str">
        <f>IF(priority(Main[[#This Row],[Comments]])&lt;&gt;0, priority(Main[[#This Row],[Comments]]),"")</f>
        <v/>
      </c>
      <c r="B750" s="90" t="s">
        <v>1598</v>
      </c>
      <c r="C750" s="72" t="s">
        <v>4</v>
      </c>
      <c r="D750" s="73" t="s">
        <v>97</v>
      </c>
      <c r="E750" s="74"/>
      <c r="F750" s="74"/>
      <c r="G750" s="75" t="str">
        <f>IF(stdProdLT(Main[[#This Row],[Comments]])=0.1,"N/A",IF(stdProdLT(Main[[#This Row],[Comments]])=0,"",stdProdLT(Main[[#This Row],[Comments]])))</f>
        <v/>
      </c>
      <c r="H750" s="76" t="str">
        <f>IF(AND(Main[[#This Row],[In Stock Date]]&lt;&gt;"",Main[[#This Row],[Revised Due Date]]&lt;&gt;""),Main[[#This Row],[In Stock Date]]-Main[[#This Row],[Revised Due Date]],"")</f>
        <v/>
      </c>
      <c r="I750" s="72" t="s">
        <v>4</v>
      </c>
      <c r="J750" s="72" t="s">
        <v>4</v>
      </c>
      <c r="K750" s="81" t="s">
        <v>4</v>
      </c>
      <c r="L750" s="74"/>
      <c r="M750" s="77" t="str">
        <f>IF(Main[[#This Row],[Tech Start Date]]&lt;1/1/1990,"",IF(Main[[#This Row],[Class]]="C",WORKDAY(Main[[#This Row],[Tech Start Date]],9),IF(Main[[#This Row],[Class]]="B", WORKDAY(Main[[#This Row],[Tech Start Date]],6),IF(Main[[#This Row],[Class]]="A",WORKDAY(Main[[#This Row],[Tech Start Date]],2),""))))</f>
        <v/>
      </c>
      <c r="N750" s="77" t="str">
        <f>IF(Main[[#This Row],[Tech Start Date]]&lt;1/1/1990,"",IF(Main[[#This Row],[Class]]="C",WORKDAY(Main[[#This Row],[Tech Start Date]],19),IF(Main[[#This Row],[Class]]="B", WORKDAY(Main[[#This Row],[Tech Start Date]],12),IF(Main[[#This Row],[Class]]="A",WORKDAY(Main[[#This Row],[Tech Start Date]],4),""))))</f>
        <v/>
      </c>
      <c r="O750" s="77" t="str">
        <f>IF(Main[[#This Row],[Tech Start Date]]&lt;1/1/1990,"",IF(Main[[#This Row],[Class]]="C",WORKDAY(Main[[#This Row],[Tech Start Date]],23),IF(Main[[#This Row],[Class]]="B", WORKDAY(Main[[#This Row],[Tech Start Date]],15),IF(Main[[#This Row],[Class]]="A",WORKDAY(Main[[#This Row],[Tech Start Date]],5),""))))</f>
        <v/>
      </c>
      <c r="P750" s="77" t="str">
        <f>IF(Main[[#This Row],[Tech Start Date]]&lt;1/1/1990,"",IF(Main[[#This Row],[Class]]="C",WORKDAY(Main[[#This Row],[Tech Start Date]],28),IF(Main[[#This Row],[Class]]="B", WORKDAY(Main[[#This Row],[Tech Start Date]],19),IF(Main[[#This Row],[Class]]="A",WORKDAY(Main[[#This Row],[Tech Start Date]],9),""))))</f>
        <v/>
      </c>
      <c r="Q750" s="74">
        <v>40858</v>
      </c>
      <c r="R750" s="74"/>
      <c r="S750" s="72" t="s">
        <v>17</v>
      </c>
      <c r="T750" s="80" t="s">
        <v>4</v>
      </c>
      <c r="U750" s="72" t="s">
        <v>14</v>
      </c>
      <c r="V750" s="72" t="s">
        <v>1937</v>
      </c>
      <c r="W750" s="72" t="s">
        <v>1942</v>
      </c>
      <c r="X750" s="72" t="s">
        <v>50</v>
      </c>
      <c r="Y750" s="72" t="s">
        <v>3117</v>
      </c>
      <c r="Z750" s="72" t="s">
        <v>4</v>
      </c>
    </row>
    <row r="751" spans="1:26" ht="18.600000000000001" customHeight="1">
      <c r="A751" s="142" t="str">
        <f>IF(priority(Main[[#This Row],[Comments]])&lt;&gt;0, priority(Main[[#This Row],[Comments]]),"")</f>
        <v/>
      </c>
      <c r="B751" s="90" t="s">
        <v>1873</v>
      </c>
      <c r="C751" s="72" t="s">
        <v>67</v>
      </c>
      <c r="D751" s="73" t="s">
        <v>921</v>
      </c>
      <c r="E751" s="74">
        <v>39981.49428240741</v>
      </c>
      <c r="F751" s="74"/>
      <c r="G751" s="75" t="str">
        <f>IF(stdProdLT(Main[[#This Row],[Comments]])=0.1,"N/A",IF(stdProdLT(Main[[#This Row],[Comments]])=0,"",stdProdLT(Main[[#This Row],[Comments]])))</f>
        <v/>
      </c>
      <c r="H751" s="76" t="str">
        <f>IF(AND(Main[[#This Row],[In Stock Date]]&lt;&gt;"",Main[[#This Row],[Revised Due Date]]&lt;&gt;""),Main[[#This Row],[In Stock Date]]-Main[[#This Row],[Revised Due Date]],"")</f>
        <v/>
      </c>
      <c r="I751" s="72" t="s">
        <v>990</v>
      </c>
      <c r="J751" s="72" t="s">
        <v>4</v>
      </c>
      <c r="K751" s="72" t="s">
        <v>1949</v>
      </c>
      <c r="L751" s="74"/>
      <c r="M751" s="77" t="str">
        <f>IF(Main[[#This Row],[Tech Start Date]]&lt;1/1/1990,"",IF(Main[[#This Row],[Class]]="C",WORKDAY(Main[[#This Row],[Tech Start Date]],9),IF(Main[[#This Row],[Class]]="B", WORKDAY(Main[[#This Row],[Tech Start Date]],6),IF(Main[[#This Row],[Class]]="A",WORKDAY(Main[[#This Row],[Tech Start Date]],2),""))))</f>
        <v/>
      </c>
      <c r="N751" s="77" t="str">
        <f>IF(Main[[#This Row],[Tech Start Date]]&lt;1/1/1990,"",IF(Main[[#This Row],[Class]]="C",WORKDAY(Main[[#This Row],[Tech Start Date]],19),IF(Main[[#This Row],[Class]]="B", WORKDAY(Main[[#This Row],[Tech Start Date]],12),IF(Main[[#This Row],[Class]]="A",WORKDAY(Main[[#This Row],[Tech Start Date]],4),""))))</f>
        <v/>
      </c>
      <c r="O751" s="77" t="str">
        <f>IF(Main[[#This Row],[Tech Start Date]]&lt;1/1/1990,"",IF(Main[[#This Row],[Class]]="C",WORKDAY(Main[[#This Row],[Tech Start Date]],23),IF(Main[[#This Row],[Class]]="B", WORKDAY(Main[[#This Row],[Tech Start Date]],15),IF(Main[[#This Row],[Class]]="A",WORKDAY(Main[[#This Row],[Tech Start Date]],5),""))))</f>
        <v/>
      </c>
      <c r="P751" s="77" t="str">
        <f>IF(Main[[#This Row],[Tech Start Date]]&lt;1/1/1990,"",IF(Main[[#This Row],[Class]]="C",WORKDAY(Main[[#This Row],[Tech Start Date]],28),IF(Main[[#This Row],[Class]]="B", WORKDAY(Main[[#This Row],[Tech Start Date]],19),IF(Main[[#This Row],[Class]]="A",WORKDAY(Main[[#This Row],[Tech Start Date]],9),""))))</f>
        <v/>
      </c>
      <c r="Q751" s="74">
        <v>40057</v>
      </c>
      <c r="R751" s="74">
        <v>40908</v>
      </c>
      <c r="S751" s="72" t="s">
        <v>17</v>
      </c>
      <c r="T751" s="80" t="s">
        <v>4</v>
      </c>
      <c r="U751" s="72" t="s">
        <v>29</v>
      </c>
      <c r="V751" s="72" t="s">
        <v>1940</v>
      </c>
      <c r="W751" s="72" t="s">
        <v>1942</v>
      </c>
      <c r="X751" s="72" t="s">
        <v>2972</v>
      </c>
      <c r="Y751" s="72" t="s">
        <v>3186</v>
      </c>
      <c r="Z751" s="72" t="s">
        <v>421</v>
      </c>
    </row>
    <row r="752" spans="1:26" ht="18.600000000000001" customHeight="1">
      <c r="A752" s="142" t="str">
        <f>IF(priority(Main[[#This Row],[Comments]])&lt;&gt;0, priority(Main[[#This Row],[Comments]]),"")</f>
        <v/>
      </c>
      <c r="B752" s="90" t="s">
        <v>1854</v>
      </c>
      <c r="C752" s="72" t="s">
        <v>4</v>
      </c>
      <c r="D752" s="73" t="s">
        <v>899</v>
      </c>
      <c r="E752" s="74">
        <v>40045.443194444444</v>
      </c>
      <c r="F752" s="74"/>
      <c r="G752" s="75" t="str">
        <f>IF(stdProdLT(Main[[#This Row],[Comments]])=0.1,"N/A",IF(stdProdLT(Main[[#This Row],[Comments]])=0,"",stdProdLT(Main[[#This Row],[Comments]])))</f>
        <v/>
      </c>
      <c r="H752" s="76" t="str">
        <f>IF(AND(Main[[#This Row],[In Stock Date]]&lt;&gt;"",Main[[#This Row],[Revised Due Date]]&lt;&gt;""),Main[[#This Row],[In Stock Date]]-Main[[#This Row],[Revised Due Date]],"")</f>
        <v/>
      </c>
      <c r="I752" s="72" t="s">
        <v>900</v>
      </c>
      <c r="J752" s="72" t="s">
        <v>4</v>
      </c>
      <c r="K752" s="72" t="s">
        <v>1949</v>
      </c>
      <c r="L752" s="74"/>
      <c r="M752" s="77" t="str">
        <f>IF(Main[[#This Row],[Tech Start Date]]&lt;1/1/1990,"",IF(Main[[#This Row],[Class]]="C",WORKDAY(Main[[#This Row],[Tech Start Date]],9),IF(Main[[#This Row],[Class]]="B", WORKDAY(Main[[#This Row],[Tech Start Date]],6),IF(Main[[#This Row],[Class]]="A",WORKDAY(Main[[#This Row],[Tech Start Date]],2),""))))</f>
        <v/>
      </c>
      <c r="N752" s="77" t="str">
        <f>IF(Main[[#This Row],[Tech Start Date]]&lt;1/1/1990,"",IF(Main[[#This Row],[Class]]="C",WORKDAY(Main[[#This Row],[Tech Start Date]],19),IF(Main[[#This Row],[Class]]="B", WORKDAY(Main[[#This Row],[Tech Start Date]],12),IF(Main[[#This Row],[Class]]="A",WORKDAY(Main[[#This Row],[Tech Start Date]],4),""))))</f>
        <v/>
      </c>
      <c r="O752" s="77" t="str">
        <f>IF(Main[[#This Row],[Tech Start Date]]&lt;1/1/1990,"",IF(Main[[#This Row],[Class]]="C",WORKDAY(Main[[#This Row],[Tech Start Date]],23),IF(Main[[#This Row],[Class]]="B", WORKDAY(Main[[#This Row],[Tech Start Date]],15),IF(Main[[#This Row],[Class]]="A",WORKDAY(Main[[#This Row],[Tech Start Date]],5),""))))</f>
        <v/>
      </c>
      <c r="P752" s="77" t="str">
        <f>IF(Main[[#This Row],[Tech Start Date]]&lt;1/1/1990,"",IF(Main[[#This Row],[Class]]="C",WORKDAY(Main[[#This Row],[Tech Start Date]],28),IF(Main[[#This Row],[Class]]="B", WORKDAY(Main[[#This Row],[Tech Start Date]],19),IF(Main[[#This Row],[Class]]="A",WORKDAY(Main[[#This Row],[Tech Start Date]],9),""))))</f>
        <v/>
      </c>
      <c r="Q752" s="74">
        <v>40359</v>
      </c>
      <c r="R752" s="74">
        <v>40420</v>
      </c>
      <c r="S752" s="72" t="s">
        <v>6</v>
      </c>
      <c r="T752" s="80" t="s">
        <v>4</v>
      </c>
      <c r="U752" s="72" t="s">
        <v>29</v>
      </c>
      <c r="V752" s="72" t="s">
        <v>1937</v>
      </c>
      <c r="W752" s="72" t="s">
        <v>1941</v>
      </c>
      <c r="X752" s="72" t="s">
        <v>985</v>
      </c>
      <c r="Y752" s="72" t="s">
        <v>3243</v>
      </c>
      <c r="Z752" s="72" t="s">
        <v>4</v>
      </c>
    </row>
    <row r="753" spans="1:26" ht="18.600000000000001" customHeight="1">
      <c r="A753" s="142" t="str">
        <f>IF(priority(Main[[#This Row],[Comments]])&lt;&gt;0, priority(Main[[#This Row],[Comments]]),"")</f>
        <v/>
      </c>
      <c r="B753" s="90" t="s">
        <v>1600</v>
      </c>
      <c r="C753" s="72" t="s">
        <v>47</v>
      </c>
      <c r="D753" s="73" t="s">
        <v>668</v>
      </c>
      <c r="E753" s="74"/>
      <c r="F753" s="74"/>
      <c r="G753" s="75" t="str">
        <f>IF(stdProdLT(Main[[#This Row],[Comments]])=0.1,"N/A",IF(stdProdLT(Main[[#This Row],[Comments]])=0,"",stdProdLT(Main[[#This Row],[Comments]])))</f>
        <v/>
      </c>
      <c r="H753" s="76" t="str">
        <f>IF(AND(Main[[#This Row],[In Stock Date]]&lt;&gt;"",Main[[#This Row],[Revised Due Date]]&lt;&gt;""),Main[[#This Row],[In Stock Date]]-Main[[#This Row],[Revised Due Date]],"")</f>
        <v/>
      </c>
      <c r="I753" s="72" t="s">
        <v>4</v>
      </c>
      <c r="J753" s="72" t="s">
        <v>4</v>
      </c>
      <c r="K753" s="72" t="s">
        <v>4</v>
      </c>
      <c r="L753" s="74"/>
      <c r="M753" s="77" t="str">
        <f>IF(Main[[#This Row],[Tech Start Date]]&lt;1/1/1990,"",IF(Main[[#This Row],[Class]]="C",WORKDAY(Main[[#This Row],[Tech Start Date]],9),IF(Main[[#This Row],[Class]]="B", WORKDAY(Main[[#This Row],[Tech Start Date]],6),IF(Main[[#This Row],[Class]]="A",WORKDAY(Main[[#This Row],[Tech Start Date]],2),""))))</f>
        <v/>
      </c>
      <c r="N753" s="77" t="str">
        <f>IF(Main[[#This Row],[Tech Start Date]]&lt;1/1/1990,"",IF(Main[[#This Row],[Class]]="C",WORKDAY(Main[[#This Row],[Tech Start Date]],19),IF(Main[[#This Row],[Class]]="B", WORKDAY(Main[[#This Row],[Tech Start Date]],12),IF(Main[[#This Row],[Class]]="A",WORKDAY(Main[[#This Row],[Tech Start Date]],4),""))))</f>
        <v/>
      </c>
      <c r="O753" s="77" t="str">
        <f>IF(Main[[#This Row],[Tech Start Date]]&lt;1/1/1990,"",IF(Main[[#This Row],[Class]]="C",WORKDAY(Main[[#This Row],[Tech Start Date]],23),IF(Main[[#This Row],[Class]]="B", WORKDAY(Main[[#This Row],[Tech Start Date]],15),IF(Main[[#This Row],[Class]]="A",WORKDAY(Main[[#This Row],[Tech Start Date]],5),""))))</f>
        <v/>
      </c>
      <c r="P753" s="77" t="str">
        <f>IF(Main[[#This Row],[Tech Start Date]]&lt;1/1/1990,"",IF(Main[[#This Row],[Class]]="C",WORKDAY(Main[[#This Row],[Tech Start Date]],28),IF(Main[[#This Row],[Class]]="B", WORKDAY(Main[[#This Row],[Tech Start Date]],19),IF(Main[[#This Row],[Class]]="A",WORKDAY(Main[[#This Row],[Tech Start Date]],9),""))))</f>
        <v/>
      </c>
      <c r="Q753" s="74"/>
      <c r="R753" s="74"/>
      <c r="S753" s="72" t="s">
        <v>17</v>
      </c>
      <c r="T753" s="80" t="s">
        <v>4</v>
      </c>
      <c r="U753" s="72" t="s">
        <v>14</v>
      </c>
      <c r="V753" s="72" t="s">
        <v>1940</v>
      </c>
      <c r="W753" s="72" t="s">
        <v>4</v>
      </c>
      <c r="X753" s="72" t="s">
        <v>3011</v>
      </c>
      <c r="Y753" s="72" t="s">
        <v>3106</v>
      </c>
      <c r="Z753" s="72" t="s">
        <v>4</v>
      </c>
    </row>
    <row r="754" spans="1:26" ht="18.600000000000001" customHeight="1">
      <c r="A754" s="142" t="str">
        <f>IF(priority(Main[[#This Row],[Comments]])&lt;&gt;0, priority(Main[[#This Row],[Comments]]),"")</f>
        <v/>
      </c>
      <c r="B754" s="90" t="s">
        <v>1601</v>
      </c>
      <c r="C754" s="72" t="s">
        <v>282</v>
      </c>
      <c r="D754" s="73" t="s">
        <v>669</v>
      </c>
      <c r="E754" s="74"/>
      <c r="F754" s="74">
        <v>40567</v>
      </c>
      <c r="G754" s="75" t="str">
        <f>IF(stdProdLT(Main[[#This Row],[Comments]])=0.1,"N/A",IF(stdProdLT(Main[[#This Row],[Comments]])=0,"",stdProdLT(Main[[#This Row],[Comments]])))</f>
        <v/>
      </c>
      <c r="H754" s="76" t="str">
        <f>IF(AND(Main[[#This Row],[In Stock Date]]&lt;&gt;"",Main[[#This Row],[Revised Due Date]]&lt;&gt;""),Main[[#This Row],[In Stock Date]]-Main[[#This Row],[Revised Due Date]],"")</f>
        <v/>
      </c>
      <c r="I754" s="72" t="s">
        <v>4</v>
      </c>
      <c r="J754" s="72" t="s">
        <v>4</v>
      </c>
      <c r="K754" s="81" t="s">
        <v>4</v>
      </c>
      <c r="L754" s="74"/>
      <c r="M754" s="77" t="str">
        <f>IF(Main[[#This Row],[Tech Start Date]]&lt;1/1/1990,"",IF(Main[[#This Row],[Class]]="C",WORKDAY(Main[[#This Row],[Tech Start Date]],9),IF(Main[[#This Row],[Class]]="B", WORKDAY(Main[[#This Row],[Tech Start Date]],6),IF(Main[[#This Row],[Class]]="A",WORKDAY(Main[[#This Row],[Tech Start Date]],2),""))))</f>
        <v/>
      </c>
      <c r="N754" s="77" t="str">
        <f>IF(Main[[#This Row],[Tech Start Date]]&lt;1/1/1990,"",IF(Main[[#This Row],[Class]]="C",WORKDAY(Main[[#This Row],[Tech Start Date]],19),IF(Main[[#This Row],[Class]]="B", WORKDAY(Main[[#This Row],[Tech Start Date]],12),IF(Main[[#This Row],[Class]]="A",WORKDAY(Main[[#This Row],[Tech Start Date]],4),""))))</f>
        <v/>
      </c>
      <c r="O754" s="77" t="str">
        <f>IF(Main[[#This Row],[Tech Start Date]]&lt;1/1/1990,"",IF(Main[[#This Row],[Class]]="C",WORKDAY(Main[[#This Row],[Tech Start Date]],23),IF(Main[[#This Row],[Class]]="B", WORKDAY(Main[[#This Row],[Tech Start Date]],15),IF(Main[[#This Row],[Class]]="A",WORKDAY(Main[[#This Row],[Tech Start Date]],5),""))))</f>
        <v/>
      </c>
      <c r="P754" s="77" t="str">
        <f>IF(Main[[#This Row],[Tech Start Date]]&lt;1/1/1990,"",IF(Main[[#This Row],[Class]]="C",WORKDAY(Main[[#This Row],[Tech Start Date]],28),IF(Main[[#This Row],[Class]]="B", WORKDAY(Main[[#This Row],[Tech Start Date]],19),IF(Main[[#This Row],[Class]]="A",WORKDAY(Main[[#This Row],[Tech Start Date]],9),""))))</f>
        <v/>
      </c>
      <c r="Q754" s="74">
        <v>40427</v>
      </c>
      <c r="R754" s="74"/>
      <c r="S754" s="72" t="s">
        <v>11</v>
      </c>
      <c r="T754" s="80" t="s">
        <v>4</v>
      </c>
      <c r="U754" s="72" t="s">
        <v>12</v>
      </c>
      <c r="V754" s="72" t="s">
        <v>1937</v>
      </c>
      <c r="W754" s="72" t="s">
        <v>1945</v>
      </c>
      <c r="X754" s="72" t="s">
        <v>2995</v>
      </c>
      <c r="Y754" s="72" t="s">
        <v>4</v>
      </c>
      <c r="Z754" s="72" t="s">
        <v>4</v>
      </c>
    </row>
    <row r="755" spans="1:26" ht="18.600000000000001" customHeight="1">
      <c r="A755" s="142" t="str">
        <f>IF(priority(Main[[#This Row],[Comments]])&lt;&gt;0, priority(Main[[#This Row],[Comments]]),"")</f>
        <v/>
      </c>
      <c r="B755" s="90" t="s">
        <v>2449</v>
      </c>
      <c r="C755" s="72" t="s">
        <v>4</v>
      </c>
      <c r="D755" s="73" t="s">
        <v>2820</v>
      </c>
      <c r="E755" s="74">
        <v>40905.580543981479</v>
      </c>
      <c r="F755" s="74"/>
      <c r="G755" s="75" t="str">
        <f>IF(stdProdLT(Main[[#This Row],[Comments]])=0.1,"N/A",IF(stdProdLT(Main[[#This Row],[Comments]])=0,"",stdProdLT(Main[[#This Row],[Comments]])))</f>
        <v/>
      </c>
      <c r="H755" s="76" t="str">
        <f>IF(AND(Main[[#This Row],[In Stock Date]]&lt;&gt;"",Main[[#This Row],[Revised Due Date]]&lt;&gt;""),Main[[#This Row],[In Stock Date]]-Main[[#This Row],[Revised Due Date]],"")</f>
        <v/>
      </c>
      <c r="I755" s="72" t="s">
        <v>2071</v>
      </c>
      <c r="J755" s="72" t="s">
        <v>28</v>
      </c>
      <c r="K755" s="72" t="s">
        <v>1946</v>
      </c>
      <c r="L755" s="74"/>
      <c r="M755" s="77" t="str">
        <f>IF(Main[[#This Row],[Tech Start Date]]&lt;1/1/1990,"",IF(Main[[#This Row],[Class]]="C",WORKDAY(Main[[#This Row],[Tech Start Date]],9),IF(Main[[#This Row],[Class]]="B", WORKDAY(Main[[#This Row],[Tech Start Date]],6),IF(Main[[#This Row],[Class]]="A",WORKDAY(Main[[#This Row],[Tech Start Date]],2),""))))</f>
        <v/>
      </c>
      <c r="N755" s="77" t="str">
        <f>IF(Main[[#This Row],[Tech Start Date]]&lt;1/1/1990,"",IF(Main[[#This Row],[Class]]="C",WORKDAY(Main[[#This Row],[Tech Start Date]],19),IF(Main[[#This Row],[Class]]="B", WORKDAY(Main[[#This Row],[Tech Start Date]],12),IF(Main[[#This Row],[Class]]="A",WORKDAY(Main[[#This Row],[Tech Start Date]],4),""))))</f>
        <v/>
      </c>
      <c r="O755" s="77" t="str">
        <f>IF(Main[[#This Row],[Tech Start Date]]&lt;1/1/1990,"",IF(Main[[#This Row],[Class]]="C",WORKDAY(Main[[#This Row],[Tech Start Date]],23),IF(Main[[#This Row],[Class]]="B", WORKDAY(Main[[#This Row],[Tech Start Date]],15),IF(Main[[#This Row],[Class]]="A",WORKDAY(Main[[#This Row],[Tech Start Date]],5),""))))</f>
        <v/>
      </c>
      <c r="P755" s="77" t="str">
        <f>IF(Main[[#This Row],[Tech Start Date]]&lt;1/1/1990,"",IF(Main[[#This Row],[Class]]="C",WORKDAY(Main[[#This Row],[Tech Start Date]],28),IF(Main[[#This Row],[Class]]="B", WORKDAY(Main[[#This Row],[Tech Start Date]],19),IF(Main[[#This Row],[Class]]="A",WORKDAY(Main[[#This Row],[Tech Start Date]],9),""))))</f>
        <v/>
      </c>
      <c r="Q755" s="74">
        <v>40967</v>
      </c>
      <c r="R755" s="74"/>
      <c r="S755" s="72" t="s">
        <v>6</v>
      </c>
      <c r="T755" s="80" t="s">
        <v>4</v>
      </c>
      <c r="U755" s="72" t="s">
        <v>29</v>
      </c>
      <c r="V755" s="72" t="s">
        <v>1940</v>
      </c>
      <c r="W755" s="72" t="s">
        <v>1941</v>
      </c>
      <c r="X755" s="72" t="s">
        <v>30</v>
      </c>
      <c r="Y755" s="72" t="s">
        <v>3098</v>
      </c>
      <c r="Z755" s="72" t="s">
        <v>30</v>
      </c>
    </row>
    <row r="756" spans="1:26" ht="18.600000000000001" customHeight="1">
      <c r="A756" s="142" t="str">
        <f>IF(priority(Main[[#This Row],[Comments]])&lt;&gt;0, priority(Main[[#This Row],[Comments]]),"")</f>
        <v/>
      </c>
      <c r="B756" s="90" t="s">
        <v>1604</v>
      </c>
      <c r="C756" s="72" t="s">
        <v>72</v>
      </c>
      <c r="D756" s="73" t="s">
        <v>671</v>
      </c>
      <c r="E756" s="74"/>
      <c r="F756" s="74"/>
      <c r="G756" s="75" t="str">
        <f>IF(stdProdLT(Main[[#This Row],[Comments]])=0.1,"N/A",IF(stdProdLT(Main[[#This Row],[Comments]])=0,"",stdProdLT(Main[[#This Row],[Comments]])))</f>
        <v/>
      </c>
      <c r="H756" s="76" t="str">
        <f>IF(AND(Main[[#This Row],[In Stock Date]]&lt;&gt;"",Main[[#This Row],[Revised Due Date]]&lt;&gt;""),Main[[#This Row],[In Stock Date]]-Main[[#This Row],[Revised Due Date]],"")</f>
        <v/>
      </c>
      <c r="I756" s="72" t="s">
        <v>4</v>
      </c>
      <c r="J756" s="72" t="s">
        <v>4</v>
      </c>
      <c r="K756" s="72" t="s">
        <v>4</v>
      </c>
      <c r="L756" s="74"/>
      <c r="M756" s="77" t="str">
        <f>IF(Main[[#This Row],[Tech Start Date]]&lt;1/1/1990,"",IF(Main[[#This Row],[Class]]="C",WORKDAY(Main[[#This Row],[Tech Start Date]],9),IF(Main[[#This Row],[Class]]="B", WORKDAY(Main[[#This Row],[Tech Start Date]],6),IF(Main[[#This Row],[Class]]="A",WORKDAY(Main[[#This Row],[Tech Start Date]],2),""))))</f>
        <v/>
      </c>
      <c r="N756" s="77" t="str">
        <f>IF(Main[[#This Row],[Tech Start Date]]&lt;1/1/1990,"",IF(Main[[#This Row],[Class]]="C",WORKDAY(Main[[#This Row],[Tech Start Date]],19),IF(Main[[#This Row],[Class]]="B", WORKDAY(Main[[#This Row],[Tech Start Date]],12),IF(Main[[#This Row],[Class]]="A",WORKDAY(Main[[#This Row],[Tech Start Date]],4),""))))</f>
        <v/>
      </c>
      <c r="O756" s="77" t="str">
        <f>IF(Main[[#This Row],[Tech Start Date]]&lt;1/1/1990,"",IF(Main[[#This Row],[Class]]="C",WORKDAY(Main[[#This Row],[Tech Start Date]],23),IF(Main[[#This Row],[Class]]="B", WORKDAY(Main[[#This Row],[Tech Start Date]],15),IF(Main[[#This Row],[Class]]="A",WORKDAY(Main[[#This Row],[Tech Start Date]],5),""))))</f>
        <v/>
      </c>
      <c r="P756" s="77" t="str">
        <f>IF(Main[[#This Row],[Tech Start Date]]&lt;1/1/1990,"",IF(Main[[#This Row],[Class]]="C",WORKDAY(Main[[#This Row],[Tech Start Date]],28),IF(Main[[#This Row],[Class]]="B", WORKDAY(Main[[#This Row],[Tech Start Date]],19),IF(Main[[#This Row],[Class]]="A",WORKDAY(Main[[#This Row],[Tech Start Date]],9),""))))</f>
        <v/>
      </c>
      <c r="Q756" s="74"/>
      <c r="R756" s="74"/>
      <c r="S756" s="72" t="s">
        <v>49</v>
      </c>
      <c r="T756" s="80" t="s">
        <v>4</v>
      </c>
      <c r="U756" s="72" t="s">
        <v>12</v>
      </c>
      <c r="V756" s="72" t="s">
        <v>1938</v>
      </c>
      <c r="W756" s="72" t="s">
        <v>1939</v>
      </c>
      <c r="X756" s="72" t="s">
        <v>3053</v>
      </c>
      <c r="Y756" s="72" t="s">
        <v>3237</v>
      </c>
      <c r="Z756" s="72" t="s">
        <v>4</v>
      </c>
    </row>
    <row r="757" spans="1:26" ht="18.600000000000001" customHeight="1">
      <c r="A757" s="142" t="str">
        <f>IF(priority(Main[[#This Row],[Comments]])&lt;&gt;0, priority(Main[[#This Row],[Comments]]),"")</f>
        <v/>
      </c>
      <c r="B757" s="90" t="s">
        <v>1605</v>
      </c>
      <c r="C757" s="72" t="s">
        <v>33</v>
      </c>
      <c r="D757" s="73" t="s">
        <v>672</v>
      </c>
      <c r="E757" s="74"/>
      <c r="F757" s="74">
        <v>40566</v>
      </c>
      <c r="G757" s="75" t="str">
        <f>IF(stdProdLT(Main[[#This Row],[Comments]])=0.1,"N/A",IF(stdProdLT(Main[[#This Row],[Comments]])=0,"",stdProdLT(Main[[#This Row],[Comments]])))</f>
        <v/>
      </c>
      <c r="H757" s="76" t="str">
        <f>IF(AND(Main[[#This Row],[In Stock Date]]&lt;&gt;"",Main[[#This Row],[Revised Due Date]]&lt;&gt;""),Main[[#This Row],[In Stock Date]]-Main[[#This Row],[Revised Due Date]],"")</f>
        <v/>
      </c>
      <c r="I757" s="72" t="s">
        <v>4</v>
      </c>
      <c r="J757" s="72" t="s">
        <v>4</v>
      </c>
      <c r="K757" s="72" t="s">
        <v>4</v>
      </c>
      <c r="L757" s="74"/>
      <c r="M757" s="77" t="str">
        <f>IF(Main[[#This Row],[Tech Start Date]]&lt;1/1/1990,"",IF(Main[[#This Row],[Class]]="C",WORKDAY(Main[[#This Row],[Tech Start Date]],9),IF(Main[[#This Row],[Class]]="B", WORKDAY(Main[[#This Row],[Tech Start Date]],6),IF(Main[[#This Row],[Class]]="A",WORKDAY(Main[[#This Row],[Tech Start Date]],2),""))))</f>
        <v/>
      </c>
      <c r="N757" s="77" t="str">
        <f>IF(Main[[#This Row],[Tech Start Date]]&lt;1/1/1990,"",IF(Main[[#This Row],[Class]]="C",WORKDAY(Main[[#This Row],[Tech Start Date]],19),IF(Main[[#This Row],[Class]]="B", WORKDAY(Main[[#This Row],[Tech Start Date]],12),IF(Main[[#This Row],[Class]]="A",WORKDAY(Main[[#This Row],[Tech Start Date]],4),""))))</f>
        <v/>
      </c>
      <c r="O757" s="77" t="str">
        <f>IF(Main[[#This Row],[Tech Start Date]]&lt;1/1/1990,"",IF(Main[[#This Row],[Class]]="C",WORKDAY(Main[[#This Row],[Tech Start Date]],23),IF(Main[[#This Row],[Class]]="B", WORKDAY(Main[[#This Row],[Tech Start Date]],15),IF(Main[[#This Row],[Class]]="A",WORKDAY(Main[[#This Row],[Tech Start Date]],5),""))))</f>
        <v/>
      </c>
      <c r="P757" s="77" t="str">
        <f>IF(Main[[#This Row],[Tech Start Date]]&lt;1/1/1990,"",IF(Main[[#This Row],[Class]]="C",WORKDAY(Main[[#This Row],[Tech Start Date]],28),IF(Main[[#This Row],[Class]]="B", WORKDAY(Main[[#This Row],[Tech Start Date]],19),IF(Main[[#This Row],[Class]]="A",WORKDAY(Main[[#This Row],[Tech Start Date]],9),""))))</f>
        <v/>
      </c>
      <c r="Q757" s="74">
        <v>40532</v>
      </c>
      <c r="R757" s="74"/>
      <c r="S757" s="72" t="s">
        <v>11</v>
      </c>
      <c r="T757" s="80" t="s">
        <v>4</v>
      </c>
      <c r="U757" s="72" t="s">
        <v>12</v>
      </c>
      <c r="V757" s="72" t="s">
        <v>1938</v>
      </c>
      <c r="W757" s="72" t="s">
        <v>1945</v>
      </c>
      <c r="X757" s="72" t="s">
        <v>3027</v>
      </c>
      <c r="Y757" s="72" t="s">
        <v>3179</v>
      </c>
      <c r="Z757" s="72" t="s">
        <v>4</v>
      </c>
    </row>
    <row r="758" spans="1:26" ht="18.600000000000001" customHeight="1">
      <c r="A758" s="142" t="str">
        <f>IF(priority(Main[[#This Row],[Comments]])&lt;&gt;0, priority(Main[[#This Row],[Comments]]),"")</f>
        <v/>
      </c>
      <c r="B758" s="90" t="s">
        <v>1606</v>
      </c>
      <c r="C758" s="72" t="s">
        <v>352</v>
      </c>
      <c r="D758" s="73" t="s">
        <v>673</v>
      </c>
      <c r="E758" s="74"/>
      <c r="F758" s="74"/>
      <c r="G758" s="75" t="str">
        <f>IF(stdProdLT(Main[[#This Row],[Comments]])=0.1,"N/A",IF(stdProdLT(Main[[#This Row],[Comments]])=0,"",stdProdLT(Main[[#This Row],[Comments]])))</f>
        <v/>
      </c>
      <c r="H758" s="76" t="str">
        <f>IF(AND(Main[[#This Row],[In Stock Date]]&lt;&gt;"",Main[[#This Row],[Revised Due Date]]&lt;&gt;""),Main[[#This Row],[In Stock Date]]-Main[[#This Row],[Revised Due Date]],"")</f>
        <v/>
      </c>
      <c r="I758" s="72" t="s">
        <v>4</v>
      </c>
      <c r="J758" s="72" t="s">
        <v>4</v>
      </c>
      <c r="K758" s="72" t="s">
        <v>4</v>
      </c>
      <c r="L758" s="74"/>
      <c r="M758" s="77" t="str">
        <f>IF(Main[[#This Row],[Tech Start Date]]&lt;1/1/1990,"",IF(Main[[#This Row],[Class]]="C",WORKDAY(Main[[#This Row],[Tech Start Date]],9),IF(Main[[#This Row],[Class]]="B", WORKDAY(Main[[#This Row],[Tech Start Date]],6),IF(Main[[#This Row],[Class]]="A",WORKDAY(Main[[#This Row],[Tech Start Date]],2),""))))</f>
        <v/>
      </c>
      <c r="N758" s="77" t="str">
        <f>IF(Main[[#This Row],[Tech Start Date]]&lt;1/1/1990,"",IF(Main[[#This Row],[Class]]="C",WORKDAY(Main[[#This Row],[Tech Start Date]],19),IF(Main[[#This Row],[Class]]="B", WORKDAY(Main[[#This Row],[Tech Start Date]],12),IF(Main[[#This Row],[Class]]="A",WORKDAY(Main[[#This Row],[Tech Start Date]],4),""))))</f>
        <v/>
      </c>
      <c r="O758" s="77" t="str">
        <f>IF(Main[[#This Row],[Tech Start Date]]&lt;1/1/1990,"",IF(Main[[#This Row],[Class]]="C",WORKDAY(Main[[#This Row],[Tech Start Date]],23),IF(Main[[#This Row],[Class]]="B", WORKDAY(Main[[#This Row],[Tech Start Date]],15),IF(Main[[#This Row],[Class]]="A",WORKDAY(Main[[#This Row],[Tech Start Date]],5),""))))</f>
        <v/>
      </c>
      <c r="P758" s="77" t="str">
        <f>IF(Main[[#This Row],[Tech Start Date]]&lt;1/1/1990,"",IF(Main[[#This Row],[Class]]="C",WORKDAY(Main[[#This Row],[Tech Start Date]],28),IF(Main[[#This Row],[Class]]="B", WORKDAY(Main[[#This Row],[Tech Start Date]],19),IF(Main[[#This Row],[Class]]="A",WORKDAY(Main[[#This Row],[Tech Start Date]],9),""))))</f>
        <v/>
      </c>
      <c r="Q758" s="74">
        <v>40494</v>
      </c>
      <c r="R758" s="74"/>
      <c r="S758" s="72" t="s">
        <v>11</v>
      </c>
      <c r="T758" s="80" t="s">
        <v>4</v>
      </c>
      <c r="U758" s="72" t="s">
        <v>14</v>
      </c>
      <c r="V758" s="72" t="s">
        <v>1947</v>
      </c>
      <c r="W758" s="72" t="s">
        <v>4</v>
      </c>
      <c r="X758" s="72" t="s">
        <v>2976</v>
      </c>
      <c r="Y758" s="72" t="s">
        <v>3101</v>
      </c>
      <c r="Z758" s="72" t="s">
        <v>4</v>
      </c>
    </row>
    <row r="759" spans="1:26" ht="18.600000000000001" customHeight="1">
      <c r="A759" s="142" t="str">
        <f>IF(priority(Main[[#This Row],[Comments]])&lt;&gt;0, priority(Main[[#This Row],[Comments]]),"")</f>
        <v/>
      </c>
      <c r="B759" s="90" t="s">
        <v>1607</v>
      </c>
      <c r="C759" s="72" t="s">
        <v>4</v>
      </c>
      <c r="D759" s="73" t="s">
        <v>674</v>
      </c>
      <c r="E759" s="74">
        <v>40462.471782407411</v>
      </c>
      <c r="F759" s="74"/>
      <c r="G759" s="75" t="str">
        <f>IF(stdProdLT(Main[[#This Row],[Comments]])=0.1,"N/A",IF(stdProdLT(Main[[#This Row],[Comments]])=0,"",stdProdLT(Main[[#This Row],[Comments]])))</f>
        <v/>
      </c>
      <c r="H759" s="76" t="str">
        <f>IF(AND(Main[[#This Row],[In Stock Date]]&lt;&gt;"",Main[[#This Row],[Revised Due Date]]&lt;&gt;""),Main[[#This Row],[In Stock Date]]-Main[[#This Row],[Revised Due Date]],"")</f>
        <v/>
      </c>
      <c r="I759" s="72" t="s">
        <v>4</v>
      </c>
      <c r="J759" s="72" t="s">
        <v>4</v>
      </c>
      <c r="K759" s="72" t="s">
        <v>4</v>
      </c>
      <c r="L759" s="74"/>
      <c r="M759" s="77" t="str">
        <f>IF(Main[[#This Row],[Tech Start Date]]&lt;1/1/1990,"",IF(Main[[#This Row],[Class]]="C",WORKDAY(Main[[#This Row],[Tech Start Date]],9),IF(Main[[#This Row],[Class]]="B", WORKDAY(Main[[#This Row],[Tech Start Date]],6),IF(Main[[#This Row],[Class]]="A",WORKDAY(Main[[#This Row],[Tech Start Date]],2),""))))</f>
        <v/>
      </c>
      <c r="N759" s="77" t="str">
        <f>IF(Main[[#This Row],[Tech Start Date]]&lt;1/1/1990,"",IF(Main[[#This Row],[Class]]="C",WORKDAY(Main[[#This Row],[Tech Start Date]],19),IF(Main[[#This Row],[Class]]="B", WORKDAY(Main[[#This Row],[Tech Start Date]],12),IF(Main[[#This Row],[Class]]="A",WORKDAY(Main[[#This Row],[Tech Start Date]],4),""))))</f>
        <v/>
      </c>
      <c r="O759" s="77" t="str">
        <f>IF(Main[[#This Row],[Tech Start Date]]&lt;1/1/1990,"",IF(Main[[#This Row],[Class]]="C",WORKDAY(Main[[#This Row],[Tech Start Date]],23),IF(Main[[#This Row],[Class]]="B", WORKDAY(Main[[#This Row],[Tech Start Date]],15),IF(Main[[#This Row],[Class]]="A",WORKDAY(Main[[#This Row],[Tech Start Date]],5),""))))</f>
        <v/>
      </c>
      <c r="P759" s="77" t="str">
        <f>IF(Main[[#This Row],[Tech Start Date]]&lt;1/1/1990,"",IF(Main[[#This Row],[Class]]="C",WORKDAY(Main[[#This Row],[Tech Start Date]],28),IF(Main[[#This Row],[Class]]="B", WORKDAY(Main[[#This Row],[Tech Start Date]],19),IF(Main[[#This Row],[Class]]="A",WORKDAY(Main[[#This Row],[Tech Start Date]],9),""))))</f>
        <v/>
      </c>
      <c r="Q759" s="74"/>
      <c r="R759" s="74"/>
      <c r="S759" s="72" t="s">
        <v>6</v>
      </c>
      <c r="T759" s="80" t="s">
        <v>4</v>
      </c>
      <c r="U759" s="72" t="s">
        <v>7</v>
      </c>
      <c r="V759" s="72" t="s">
        <v>1937</v>
      </c>
      <c r="W759" s="72" t="s">
        <v>1941</v>
      </c>
      <c r="X759" s="72" t="s">
        <v>3018</v>
      </c>
      <c r="Y759" s="72" t="s">
        <v>3158</v>
      </c>
      <c r="Z759" s="72" t="s">
        <v>4</v>
      </c>
    </row>
    <row r="760" spans="1:26" ht="18.600000000000001" customHeight="1">
      <c r="A760" s="142" t="str">
        <f>IF(priority(Main[[#This Row],[Comments]])&lt;&gt;0, priority(Main[[#This Row],[Comments]]),"")</f>
        <v/>
      </c>
      <c r="B760" s="90" t="s">
        <v>1608</v>
      </c>
      <c r="C760" s="72" t="s">
        <v>4</v>
      </c>
      <c r="D760" s="73" t="s">
        <v>39</v>
      </c>
      <c r="E760" s="74"/>
      <c r="F760" s="74"/>
      <c r="G760" s="75" t="str">
        <f>IF(stdProdLT(Main[[#This Row],[Comments]])=0.1,"N/A",IF(stdProdLT(Main[[#This Row],[Comments]])=0,"",stdProdLT(Main[[#This Row],[Comments]])))</f>
        <v/>
      </c>
      <c r="H760" s="76" t="str">
        <f>IF(AND(Main[[#This Row],[In Stock Date]]&lt;&gt;"",Main[[#This Row],[Revised Due Date]]&lt;&gt;""),Main[[#This Row],[In Stock Date]]-Main[[#This Row],[Revised Due Date]],"")</f>
        <v/>
      </c>
      <c r="I760" s="72" t="s">
        <v>4</v>
      </c>
      <c r="J760" s="72" t="s">
        <v>4</v>
      </c>
      <c r="K760" s="72" t="s">
        <v>4</v>
      </c>
      <c r="L760" s="74"/>
      <c r="M760" s="77" t="str">
        <f>IF(Main[[#This Row],[Tech Start Date]]&lt;1/1/1990,"",IF(Main[[#This Row],[Class]]="C",WORKDAY(Main[[#This Row],[Tech Start Date]],9),IF(Main[[#This Row],[Class]]="B", WORKDAY(Main[[#This Row],[Tech Start Date]],6),IF(Main[[#This Row],[Class]]="A",WORKDAY(Main[[#This Row],[Tech Start Date]],2),""))))</f>
        <v/>
      </c>
      <c r="N760" s="77" t="str">
        <f>IF(Main[[#This Row],[Tech Start Date]]&lt;1/1/1990,"",IF(Main[[#This Row],[Class]]="C",WORKDAY(Main[[#This Row],[Tech Start Date]],19),IF(Main[[#This Row],[Class]]="B", WORKDAY(Main[[#This Row],[Tech Start Date]],12),IF(Main[[#This Row],[Class]]="A",WORKDAY(Main[[#This Row],[Tech Start Date]],4),""))))</f>
        <v/>
      </c>
      <c r="O760" s="77" t="str">
        <f>IF(Main[[#This Row],[Tech Start Date]]&lt;1/1/1990,"",IF(Main[[#This Row],[Class]]="C",WORKDAY(Main[[#This Row],[Tech Start Date]],23),IF(Main[[#This Row],[Class]]="B", WORKDAY(Main[[#This Row],[Tech Start Date]],15),IF(Main[[#This Row],[Class]]="A",WORKDAY(Main[[#This Row],[Tech Start Date]],5),""))))</f>
        <v/>
      </c>
      <c r="P760" s="77" t="str">
        <f>IF(Main[[#This Row],[Tech Start Date]]&lt;1/1/1990,"",IF(Main[[#This Row],[Class]]="C",WORKDAY(Main[[#This Row],[Tech Start Date]],28),IF(Main[[#This Row],[Class]]="B", WORKDAY(Main[[#This Row],[Tech Start Date]],19),IF(Main[[#This Row],[Class]]="A",WORKDAY(Main[[#This Row],[Tech Start Date]],9),""))))</f>
        <v/>
      </c>
      <c r="Q760" s="74">
        <v>40669</v>
      </c>
      <c r="R760" s="74"/>
      <c r="S760" s="72" t="s">
        <v>6</v>
      </c>
      <c r="T760" s="80" t="s">
        <v>4</v>
      </c>
      <c r="U760" s="72" t="s">
        <v>14</v>
      </c>
      <c r="V760" s="72" t="s">
        <v>1940</v>
      </c>
      <c r="W760" s="72" t="s">
        <v>4</v>
      </c>
      <c r="X760" s="72" t="s">
        <v>2970</v>
      </c>
      <c r="Y760" s="72" t="s">
        <v>3087</v>
      </c>
      <c r="Z760" s="72" t="s">
        <v>4</v>
      </c>
    </row>
    <row r="761" spans="1:26" ht="18.600000000000001" customHeight="1">
      <c r="A761" s="142" t="str">
        <f>IF(priority(Main[[#This Row],[Comments]])&lt;&gt;0, priority(Main[[#This Row],[Comments]]),"")</f>
        <v/>
      </c>
      <c r="B761" s="90" t="s">
        <v>1859</v>
      </c>
      <c r="C761" s="72" t="s">
        <v>4</v>
      </c>
      <c r="D761" s="73" t="s">
        <v>1972</v>
      </c>
      <c r="E761" s="74"/>
      <c r="F761" s="74">
        <v>40445</v>
      </c>
      <c r="G761" s="75" t="str">
        <f>IF(stdProdLT(Main[[#This Row],[Comments]])=0.1,"N/A",IF(stdProdLT(Main[[#This Row],[Comments]])=0,"",stdProdLT(Main[[#This Row],[Comments]])))</f>
        <v/>
      </c>
      <c r="H761" s="76">
        <f>IF(AND(Main[[#This Row],[In Stock Date]]&lt;&gt;"",Main[[#This Row],[Revised Due Date]]&lt;&gt;""),Main[[#This Row],[In Stock Date]]-Main[[#This Row],[Revised Due Date]],"")</f>
        <v>0</v>
      </c>
      <c r="I761" s="72" t="s">
        <v>4</v>
      </c>
      <c r="J761" s="72" t="s">
        <v>28</v>
      </c>
      <c r="K761" s="72" t="s">
        <v>1950</v>
      </c>
      <c r="L761" s="74"/>
      <c r="M761" s="77" t="str">
        <f>IF(Main[[#This Row],[Tech Start Date]]&lt;1/1/1990,"",IF(Main[[#This Row],[Class]]="C",WORKDAY(Main[[#This Row],[Tech Start Date]],9),IF(Main[[#This Row],[Class]]="B", WORKDAY(Main[[#This Row],[Tech Start Date]],6),IF(Main[[#This Row],[Class]]="A",WORKDAY(Main[[#This Row],[Tech Start Date]],2),""))))</f>
        <v/>
      </c>
      <c r="N761" s="77" t="str">
        <f>IF(Main[[#This Row],[Tech Start Date]]&lt;1/1/1990,"",IF(Main[[#This Row],[Class]]="C",WORKDAY(Main[[#This Row],[Tech Start Date]],19),IF(Main[[#This Row],[Class]]="B", WORKDAY(Main[[#This Row],[Tech Start Date]],12),IF(Main[[#This Row],[Class]]="A",WORKDAY(Main[[#This Row],[Tech Start Date]],4),""))))</f>
        <v/>
      </c>
      <c r="O761" s="77" t="str">
        <f>IF(Main[[#This Row],[Tech Start Date]]&lt;1/1/1990,"",IF(Main[[#This Row],[Class]]="C",WORKDAY(Main[[#This Row],[Tech Start Date]],23),IF(Main[[#This Row],[Class]]="B", WORKDAY(Main[[#This Row],[Tech Start Date]],15),IF(Main[[#This Row],[Class]]="A",WORKDAY(Main[[#This Row],[Tech Start Date]],5),""))))</f>
        <v/>
      </c>
      <c r="P761" s="77" t="str">
        <f>IF(Main[[#This Row],[Tech Start Date]]&lt;1/1/1990,"",IF(Main[[#This Row],[Class]]="C",WORKDAY(Main[[#This Row],[Tech Start Date]],28),IF(Main[[#This Row],[Class]]="B", WORKDAY(Main[[#This Row],[Tech Start Date]],19),IF(Main[[#This Row],[Class]]="A",WORKDAY(Main[[#This Row],[Tech Start Date]],9),""))))</f>
        <v/>
      </c>
      <c r="Q761" s="74">
        <v>40445</v>
      </c>
      <c r="R761" s="74">
        <v>40445</v>
      </c>
      <c r="S761" s="72" t="s">
        <v>11</v>
      </c>
      <c r="T761" s="80" t="s">
        <v>4</v>
      </c>
      <c r="U761" s="72" t="s">
        <v>14</v>
      </c>
      <c r="V761" s="72" t="s">
        <v>1938</v>
      </c>
      <c r="W761" s="72" t="s">
        <v>1942</v>
      </c>
      <c r="X761" s="72" t="s">
        <v>3014</v>
      </c>
      <c r="Y761" s="72" t="s">
        <v>3244</v>
      </c>
      <c r="Z761" s="72" t="s">
        <v>3322</v>
      </c>
    </row>
    <row r="762" spans="1:26" ht="18.600000000000001" customHeight="1">
      <c r="A762" s="142" t="str">
        <f>IF(priority(Main[[#This Row],[Comments]])&lt;&gt;0, priority(Main[[#This Row],[Comments]]),"")</f>
        <v/>
      </c>
      <c r="B762" s="90" t="s">
        <v>1609</v>
      </c>
      <c r="C762" s="72" t="s">
        <v>4</v>
      </c>
      <c r="D762" s="73" t="s">
        <v>675</v>
      </c>
      <c r="E762" s="74"/>
      <c r="F762" s="74"/>
      <c r="G762" s="75" t="str">
        <f>IF(stdProdLT(Main[[#This Row],[Comments]])=0.1,"N/A",IF(stdProdLT(Main[[#This Row],[Comments]])=0,"",stdProdLT(Main[[#This Row],[Comments]])))</f>
        <v/>
      </c>
      <c r="H762" s="76" t="str">
        <f>IF(AND(Main[[#This Row],[In Stock Date]]&lt;&gt;"",Main[[#This Row],[Revised Due Date]]&lt;&gt;""),Main[[#This Row],[In Stock Date]]-Main[[#This Row],[Revised Due Date]],"")</f>
        <v/>
      </c>
      <c r="I762" s="72" t="s">
        <v>4</v>
      </c>
      <c r="J762" s="72" t="s">
        <v>4</v>
      </c>
      <c r="K762" s="81" t="s">
        <v>4</v>
      </c>
      <c r="L762" s="74"/>
      <c r="M762" s="77" t="str">
        <f>IF(Main[[#This Row],[Tech Start Date]]&lt;1/1/1990,"",IF(Main[[#This Row],[Class]]="C",WORKDAY(Main[[#This Row],[Tech Start Date]],9),IF(Main[[#This Row],[Class]]="B", WORKDAY(Main[[#This Row],[Tech Start Date]],6),IF(Main[[#This Row],[Class]]="A",WORKDAY(Main[[#This Row],[Tech Start Date]],2),""))))</f>
        <v/>
      </c>
      <c r="N762" s="77" t="str">
        <f>IF(Main[[#This Row],[Tech Start Date]]&lt;1/1/1990,"",IF(Main[[#This Row],[Class]]="C",WORKDAY(Main[[#This Row],[Tech Start Date]],19),IF(Main[[#This Row],[Class]]="B", WORKDAY(Main[[#This Row],[Tech Start Date]],12),IF(Main[[#This Row],[Class]]="A",WORKDAY(Main[[#This Row],[Tech Start Date]],4),""))))</f>
        <v/>
      </c>
      <c r="O762" s="77" t="str">
        <f>IF(Main[[#This Row],[Tech Start Date]]&lt;1/1/1990,"",IF(Main[[#This Row],[Class]]="C",WORKDAY(Main[[#This Row],[Tech Start Date]],23),IF(Main[[#This Row],[Class]]="B", WORKDAY(Main[[#This Row],[Tech Start Date]],15),IF(Main[[#This Row],[Class]]="A",WORKDAY(Main[[#This Row],[Tech Start Date]],5),""))))</f>
        <v/>
      </c>
      <c r="P762" s="77" t="str">
        <f>IF(Main[[#This Row],[Tech Start Date]]&lt;1/1/1990,"",IF(Main[[#This Row],[Class]]="C",WORKDAY(Main[[#This Row],[Tech Start Date]],28),IF(Main[[#This Row],[Class]]="B", WORKDAY(Main[[#This Row],[Tech Start Date]],19),IF(Main[[#This Row],[Class]]="A",WORKDAY(Main[[#This Row],[Tech Start Date]],9),""))))</f>
        <v/>
      </c>
      <c r="Q762" s="74"/>
      <c r="R762" s="74"/>
      <c r="S762" s="72" t="s">
        <v>6</v>
      </c>
      <c r="T762" s="80" t="s">
        <v>4</v>
      </c>
      <c r="U762" s="72" t="s">
        <v>14</v>
      </c>
      <c r="V762" s="72" t="s">
        <v>1937</v>
      </c>
      <c r="W762" s="72" t="s">
        <v>1941</v>
      </c>
      <c r="X762" s="72" t="s">
        <v>311</v>
      </c>
      <c r="Y762" s="72" t="s">
        <v>4</v>
      </c>
      <c r="Z762" s="72" t="s">
        <v>4</v>
      </c>
    </row>
    <row r="763" spans="1:26" ht="18.600000000000001" customHeight="1">
      <c r="A763" s="142" t="str">
        <f>IF(priority(Main[[#This Row],[Comments]])&lt;&gt;0, priority(Main[[#This Row],[Comments]]),"")</f>
        <v/>
      </c>
      <c r="B763" s="90" t="s">
        <v>1610</v>
      </c>
      <c r="C763" s="72" t="s">
        <v>4</v>
      </c>
      <c r="D763" s="73" t="s">
        <v>97</v>
      </c>
      <c r="E763" s="74"/>
      <c r="F763" s="74"/>
      <c r="G763" s="75" t="str">
        <f>IF(stdProdLT(Main[[#This Row],[Comments]])=0.1,"N/A",IF(stdProdLT(Main[[#This Row],[Comments]])=0,"",stdProdLT(Main[[#This Row],[Comments]])))</f>
        <v/>
      </c>
      <c r="H763" s="76" t="str">
        <f>IF(AND(Main[[#This Row],[In Stock Date]]&lt;&gt;"",Main[[#This Row],[Revised Due Date]]&lt;&gt;""),Main[[#This Row],[In Stock Date]]-Main[[#This Row],[Revised Due Date]],"")</f>
        <v/>
      </c>
      <c r="I763" s="72" t="s">
        <v>4</v>
      </c>
      <c r="J763" s="72" t="s">
        <v>4</v>
      </c>
      <c r="K763" s="72" t="s">
        <v>4</v>
      </c>
      <c r="L763" s="74"/>
      <c r="M763" s="77" t="str">
        <f>IF(Main[[#This Row],[Tech Start Date]]&lt;1/1/1990,"",IF(Main[[#This Row],[Class]]="C",WORKDAY(Main[[#This Row],[Tech Start Date]],9),IF(Main[[#This Row],[Class]]="B", WORKDAY(Main[[#This Row],[Tech Start Date]],6),IF(Main[[#This Row],[Class]]="A",WORKDAY(Main[[#This Row],[Tech Start Date]],2),""))))</f>
        <v/>
      </c>
      <c r="N763" s="77" t="str">
        <f>IF(Main[[#This Row],[Tech Start Date]]&lt;1/1/1990,"",IF(Main[[#This Row],[Class]]="C",WORKDAY(Main[[#This Row],[Tech Start Date]],19),IF(Main[[#This Row],[Class]]="B", WORKDAY(Main[[#This Row],[Tech Start Date]],12),IF(Main[[#This Row],[Class]]="A",WORKDAY(Main[[#This Row],[Tech Start Date]],4),""))))</f>
        <v/>
      </c>
      <c r="O763" s="77" t="str">
        <f>IF(Main[[#This Row],[Tech Start Date]]&lt;1/1/1990,"",IF(Main[[#This Row],[Class]]="C",WORKDAY(Main[[#This Row],[Tech Start Date]],23),IF(Main[[#This Row],[Class]]="B", WORKDAY(Main[[#This Row],[Tech Start Date]],15),IF(Main[[#This Row],[Class]]="A",WORKDAY(Main[[#This Row],[Tech Start Date]],5),""))))</f>
        <v/>
      </c>
      <c r="P763" s="77" t="str">
        <f>IF(Main[[#This Row],[Tech Start Date]]&lt;1/1/1990,"",IF(Main[[#This Row],[Class]]="C",WORKDAY(Main[[#This Row],[Tech Start Date]],28),IF(Main[[#This Row],[Class]]="B", WORKDAY(Main[[#This Row],[Tech Start Date]],19),IF(Main[[#This Row],[Class]]="A",WORKDAY(Main[[#This Row],[Tech Start Date]],9),""))))</f>
        <v/>
      </c>
      <c r="Q763" s="74">
        <v>40858</v>
      </c>
      <c r="R763" s="74"/>
      <c r="S763" s="72" t="s">
        <v>17</v>
      </c>
      <c r="T763" s="80" t="s">
        <v>4</v>
      </c>
      <c r="U763" s="72" t="s">
        <v>14</v>
      </c>
      <c r="V763" s="72" t="s">
        <v>1937</v>
      </c>
      <c r="W763" s="72" t="s">
        <v>1942</v>
      </c>
      <c r="X763" s="72" t="s">
        <v>50</v>
      </c>
      <c r="Y763" s="72" t="s">
        <v>3117</v>
      </c>
      <c r="Z763" s="72" t="s">
        <v>4</v>
      </c>
    </row>
    <row r="764" spans="1:26" ht="18.600000000000001" customHeight="1">
      <c r="A764" s="142" t="str">
        <f>IF(priority(Main[[#This Row],[Comments]])&lt;&gt;0, priority(Main[[#This Row],[Comments]]),"")</f>
        <v/>
      </c>
      <c r="B764" s="90" t="s">
        <v>1613</v>
      </c>
      <c r="C764" s="72" t="s">
        <v>677</v>
      </c>
      <c r="D764" s="73" t="s">
        <v>678</v>
      </c>
      <c r="E764" s="74"/>
      <c r="F764" s="74">
        <v>40633</v>
      </c>
      <c r="G764" s="75" t="str">
        <f>IF(stdProdLT(Main[[#This Row],[Comments]])=0.1,"N/A",IF(stdProdLT(Main[[#This Row],[Comments]])=0,"",stdProdLT(Main[[#This Row],[Comments]])))</f>
        <v/>
      </c>
      <c r="H764" s="76" t="str">
        <f>IF(AND(Main[[#This Row],[In Stock Date]]&lt;&gt;"",Main[[#This Row],[Revised Due Date]]&lt;&gt;""),Main[[#This Row],[In Stock Date]]-Main[[#This Row],[Revised Due Date]],"")</f>
        <v/>
      </c>
      <c r="I764" s="72" t="s">
        <v>4</v>
      </c>
      <c r="J764" s="72" t="s">
        <v>4</v>
      </c>
      <c r="K764" s="72" t="s">
        <v>4</v>
      </c>
      <c r="L764" s="74"/>
      <c r="M764" s="77" t="str">
        <f>IF(Main[[#This Row],[Tech Start Date]]&lt;1/1/1990,"",IF(Main[[#This Row],[Class]]="C",WORKDAY(Main[[#This Row],[Tech Start Date]],9),IF(Main[[#This Row],[Class]]="B", WORKDAY(Main[[#This Row],[Tech Start Date]],6),IF(Main[[#This Row],[Class]]="A",WORKDAY(Main[[#This Row],[Tech Start Date]],2),""))))</f>
        <v/>
      </c>
      <c r="N764" s="77" t="str">
        <f>IF(Main[[#This Row],[Tech Start Date]]&lt;1/1/1990,"",IF(Main[[#This Row],[Class]]="C",WORKDAY(Main[[#This Row],[Tech Start Date]],19),IF(Main[[#This Row],[Class]]="B", WORKDAY(Main[[#This Row],[Tech Start Date]],12),IF(Main[[#This Row],[Class]]="A",WORKDAY(Main[[#This Row],[Tech Start Date]],4),""))))</f>
        <v/>
      </c>
      <c r="O764" s="77" t="str">
        <f>IF(Main[[#This Row],[Tech Start Date]]&lt;1/1/1990,"",IF(Main[[#This Row],[Class]]="C",WORKDAY(Main[[#This Row],[Tech Start Date]],23),IF(Main[[#This Row],[Class]]="B", WORKDAY(Main[[#This Row],[Tech Start Date]],15),IF(Main[[#This Row],[Class]]="A",WORKDAY(Main[[#This Row],[Tech Start Date]],5),""))))</f>
        <v/>
      </c>
      <c r="P764" s="77" t="str">
        <f>IF(Main[[#This Row],[Tech Start Date]]&lt;1/1/1990,"",IF(Main[[#This Row],[Class]]="C",WORKDAY(Main[[#This Row],[Tech Start Date]],28),IF(Main[[#This Row],[Class]]="B", WORKDAY(Main[[#This Row],[Tech Start Date]],19),IF(Main[[#This Row],[Class]]="A",WORKDAY(Main[[#This Row],[Tech Start Date]],9),""))))</f>
        <v/>
      </c>
      <c r="Q764" s="74">
        <v>40574</v>
      </c>
      <c r="R764" s="74"/>
      <c r="S764" s="72" t="s">
        <v>11</v>
      </c>
      <c r="T764" s="80" t="s">
        <v>4</v>
      </c>
      <c r="U764" s="72" t="s">
        <v>14</v>
      </c>
      <c r="V764" s="72" t="s">
        <v>1940</v>
      </c>
      <c r="W764" s="72" t="s">
        <v>1943</v>
      </c>
      <c r="X764" s="72" t="s">
        <v>3008</v>
      </c>
      <c r="Y764" s="72" t="s">
        <v>3155</v>
      </c>
      <c r="Z764" s="72" t="s">
        <v>4</v>
      </c>
    </row>
    <row r="765" spans="1:26" ht="18.600000000000001" customHeight="1">
      <c r="A765" s="142" t="str">
        <f>IF(priority(Main[[#This Row],[Comments]])&lt;&gt;0, priority(Main[[#This Row],[Comments]]),"")</f>
        <v/>
      </c>
      <c r="B765" s="90" t="s">
        <v>2215</v>
      </c>
      <c r="C765" s="72" t="s">
        <v>2207</v>
      </c>
      <c r="D765" s="73" t="s">
        <v>2216</v>
      </c>
      <c r="E765" s="74"/>
      <c r="F765" s="74">
        <v>40829</v>
      </c>
      <c r="G765" s="75" t="str">
        <f>IF(stdProdLT(Main[[#This Row],[Comments]])=0.1,"N/A",IF(stdProdLT(Main[[#This Row],[Comments]])=0,"",stdProdLT(Main[[#This Row],[Comments]])))</f>
        <v/>
      </c>
      <c r="H765" s="76" t="str">
        <f>IF(AND(Main[[#This Row],[In Stock Date]]&lt;&gt;"",Main[[#This Row],[Revised Due Date]]&lt;&gt;""),Main[[#This Row],[In Stock Date]]-Main[[#This Row],[Revised Due Date]],"")</f>
        <v/>
      </c>
      <c r="I765" s="72" t="s">
        <v>4</v>
      </c>
      <c r="J765" s="72" t="s">
        <v>4</v>
      </c>
      <c r="K765" s="72" t="s">
        <v>4</v>
      </c>
      <c r="L765" s="74"/>
      <c r="M765" s="77" t="str">
        <f>IF(Main[[#This Row],[Tech Start Date]]&lt;1/1/1990,"",IF(Main[[#This Row],[Class]]="C",WORKDAY(Main[[#This Row],[Tech Start Date]],9),IF(Main[[#This Row],[Class]]="B", WORKDAY(Main[[#This Row],[Tech Start Date]],6),IF(Main[[#This Row],[Class]]="A",WORKDAY(Main[[#This Row],[Tech Start Date]],2),""))))</f>
        <v/>
      </c>
      <c r="N765" s="77" t="str">
        <f>IF(Main[[#This Row],[Tech Start Date]]&lt;1/1/1990,"",IF(Main[[#This Row],[Class]]="C",WORKDAY(Main[[#This Row],[Tech Start Date]],19),IF(Main[[#This Row],[Class]]="B", WORKDAY(Main[[#This Row],[Tech Start Date]],12),IF(Main[[#This Row],[Class]]="A",WORKDAY(Main[[#This Row],[Tech Start Date]],4),""))))</f>
        <v/>
      </c>
      <c r="O765" s="77" t="str">
        <f>IF(Main[[#This Row],[Tech Start Date]]&lt;1/1/1990,"",IF(Main[[#This Row],[Class]]="C",WORKDAY(Main[[#This Row],[Tech Start Date]],23),IF(Main[[#This Row],[Class]]="B", WORKDAY(Main[[#This Row],[Tech Start Date]],15),IF(Main[[#This Row],[Class]]="A",WORKDAY(Main[[#This Row],[Tech Start Date]],5),""))))</f>
        <v/>
      </c>
      <c r="P765" s="77" t="str">
        <f>IF(Main[[#This Row],[Tech Start Date]]&lt;1/1/1990,"",IF(Main[[#This Row],[Class]]="C",WORKDAY(Main[[#This Row],[Tech Start Date]],28),IF(Main[[#This Row],[Class]]="B", WORKDAY(Main[[#This Row],[Tech Start Date]],19),IF(Main[[#This Row],[Class]]="A",WORKDAY(Main[[#This Row],[Tech Start Date]],9),""))))</f>
        <v/>
      </c>
      <c r="Q765" s="74">
        <v>40801</v>
      </c>
      <c r="R765" s="74"/>
      <c r="S765" s="72" t="s">
        <v>11</v>
      </c>
      <c r="T765" s="80" t="s">
        <v>4</v>
      </c>
      <c r="U765" s="72" t="s">
        <v>14</v>
      </c>
      <c r="V765" s="72" t="s">
        <v>1938</v>
      </c>
      <c r="W765" s="72" t="s">
        <v>1945</v>
      </c>
      <c r="X765" s="72" t="s">
        <v>2990</v>
      </c>
      <c r="Y765" s="72" t="s">
        <v>3126</v>
      </c>
      <c r="Z765" s="72" t="s">
        <v>4</v>
      </c>
    </row>
    <row r="766" spans="1:26" ht="18.600000000000001" customHeight="1">
      <c r="A766" s="142" t="str">
        <f>IF(priority(Main[[#This Row],[Comments]])&lt;&gt;0, priority(Main[[#This Row],[Comments]]),"")</f>
        <v/>
      </c>
      <c r="B766" s="90" t="s">
        <v>1614</v>
      </c>
      <c r="C766" s="72" t="s">
        <v>4</v>
      </c>
      <c r="D766" s="73" t="s">
        <v>2339</v>
      </c>
      <c r="E766" s="74">
        <v>40515.590300925927</v>
      </c>
      <c r="F766" s="74"/>
      <c r="G766" s="75" t="str">
        <f>IF(stdProdLT(Main[[#This Row],[Comments]])=0.1,"N/A",IF(stdProdLT(Main[[#This Row],[Comments]])=0,"",stdProdLT(Main[[#This Row],[Comments]])))</f>
        <v/>
      </c>
      <c r="H766" s="76" t="str">
        <f>IF(AND(Main[[#This Row],[In Stock Date]]&lt;&gt;"",Main[[#This Row],[Revised Due Date]]&lt;&gt;""),Main[[#This Row],[In Stock Date]]-Main[[#This Row],[Revised Due Date]],"")</f>
        <v/>
      </c>
      <c r="I766" s="72" t="s">
        <v>927</v>
      </c>
      <c r="J766" s="72" t="s">
        <v>52</v>
      </c>
      <c r="K766" s="72" t="s">
        <v>1944</v>
      </c>
      <c r="L766" s="74"/>
      <c r="M766" s="77" t="str">
        <f>IF(Main[[#This Row],[Tech Start Date]]&lt;1/1/1990,"",IF(Main[[#This Row],[Class]]="C",WORKDAY(Main[[#This Row],[Tech Start Date]],9),IF(Main[[#This Row],[Class]]="B", WORKDAY(Main[[#This Row],[Tech Start Date]],6),IF(Main[[#This Row],[Class]]="A",WORKDAY(Main[[#This Row],[Tech Start Date]],2),""))))</f>
        <v/>
      </c>
      <c r="N766" s="77" t="str">
        <f>IF(Main[[#This Row],[Tech Start Date]]&lt;1/1/1990,"",IF(Main[[#This Row],[Class]]="C",WORKDAY(Main[[#This Row],[Tech Start Date]],19),IF(Main[[#This Row],[Class]]="B", WORKDAY(Main[[#This Row],[Tech Start Date]],12),IF(Main[[#This Row],[Class]]="A",WORKDAY(Main[[#This Row],[Tech Start Date]],4),""))))</f>
        <v/>
      </c>
      <c r="O766" s="77" t="str">
        <f>IF(Main[[#This Row],[Tech Start Date]]&lt;1/1/1990,"",IF(Main[[#This Row],[Class]]="C",WORKDAY(Main[[#This Row],[Tech Start Date]],23),IF(Main[[#This Row],[Class]]="B", WORKDAY(Main[[#This Row],[Tech Start Date]],15),IF(Main[[#This Row],[Class]]="A",WORKDAY(Main[[#This Row],[Tech Start Date]],5),""))))</f>
        <v/>
      </c>
      <c r="P766" s="77" t="str">
        <f>IF(Main[[#This Row],[Tech Start Date]]&lt;1/1/1990,"",IF(Main[[#This Row],[Class]]="C",WORKDAY(Main[[#This Row],[Tech Start Date]],28),IF(Main[[#This Row],[Class]]="B", WORKDAY(Main[[#This Row],[Tech Start Date]],19),IF(Main[[#This Row],[Class]]="A",WORKDAY(Main[[#This Row],[Tech Start Date]],9),""))))</f>
        <v/>
      </c>
      <c r="Q766" s="74">
        <v>40574</v>
      </c>
      <c r="R766" s="74"/>
      <c r="S766" s="72" t="s">
        <v>6</v>
      </c>
      <c r="T766" s="80" t="s">
        <v>4</v>
      </c>
      <c r="U766" s="72" t="s">
        <v>29</v>
      </c>
      <c r="V766" s="72" t="s">
        <v>1937</v>
      </c>
      <c r="W766" s="72" t="s">
        <v>1939</v>
      </c>
      <c r="X766" s="72" t="s">
        <v>3039</v>
      </c>
      <c r="Y766" s="72" t="s">
        <v>3201</v>
      </c>
      <c r="Z766" s="72" t="s">
        <v>129</v>
      </c>
    </row>
    <row r="767" spans="1:26" ht="18.600000000000001" customHeight="1">
      <c r="A767" s="142" t="str">
        <f>IF(priority(Main[[#This Row],[Comments]])&lt;&gt;0, priority(Main[[#This Row],[Comments]]),"")</f>
        <v/>
      </c>
      <c r="B767" s="90" t="s">
        <v>1615</v>
      </c>
      <c r="C767" s="72" t="s">
        <v>442</v>
      </c>
      <c r="D767" s="73" t="s">
        <v>679</v>
      </c>
      <c r="E767" s="74"/>
      <c r="F767" s="74"/>
      <c r="G767" s="75" t="str">
        <f>IF(stdProdLT(Main[[#This Row],[Comments]])=0.1,"N/A",IF(stdProdLT(Main[[#This Row],[Comments]])=0,"",stdProdLT(Main[[#This Row],[Comments]])))</f>
        <v/>
      </c>
      <c r="H767" s="76" t="str">
        <f>IF(AND(Main[[#This Row],[In Stock Date]]&lt;&gt;"",Main[[#This Row],[Revised Due Date]]&lt;&gt;""),Main[[#This Row],[In Stock Date]]-Main[[#This Row],[Revised Due Date]],"")</f>
        <v/>
      </c>
      <c r="I767" s="72" t="s">
        <v>4</v>
      </c>
      <c r="J767" s="72" t="s">
        <v>4</v>
      </c>
      <c r="K767" s="72" t="s">
        <v>4</v>
      </c>
      <c r="L767" s="74"/>
      <c r="M767" s="77" t="str">
        <f>IF(Main[[#This Row],[Tech Start Date]]&lt;1/1/1990,"",IF(Main[[#This Row],[Class]]="C",WORKDAY(Main[[#This Row],[Tech Start Date]],9),IF(Main[[#This Row],[Class]]="B", WORKDAY(Main[[#This Row],[Tech Start Date]],6),IF(Main[[#This Row],[Class]]="A",WORKDAY(Main[[#This Row],[Tech Start Date]],2),""))))</f>
        <v/>
      </c>
      <c r="N767" s="77" t="str">
        <f>IF(Main[[#This Row],[Tech Start Date]]&lt;1/1/1990,"",IF(Main[[#This Row],[Class]]="C",WORKDAY(Main[[#This Row],[Tech Start Date]],19),IF(Main[[#This Row],[Class]]="B", WORKDAY(Main[[#This Row],[Tech Start Date]],12),IF(Main[[#This Row],[Class]]="A",WORKDAY(Main[[#This Row],[Tech Start Date]],4),""))))</f>
        <v/>
      </c>
      <c r="O767" s="77" t="str">
        <f>IF(Main[[#This Row],[Tech Start Date]]&lt;1/1/1990,"",IF(Main[[#This Row],[Class]]="C",WORKDAY(Main[[#This Row],[Tech Start Date]],23),IF(Main[[#This Row],[Class]]="B", WORKDAY(Main[[#This Row],[Tech Start Date]],15),IF(Main[[#This Row],[Class]]="A",WORKDAY(Main[[#This Row],[Tech Start Date]],5),""))))</f>
        <v/>
      </c>
      <c r="P767" s="77" t="str">
        <f>IF(Main[[#This Row],[Tech Start Date]]&lt;1/1/1990,"",IF(Main[[#This Row],[Class]]="C",WORKDAY(Main[[#This Row],[Tech Start Date]],28),IF(Main[[#This Row],[Class]]="B", WORKDAY(Main[[#This Row],[Tech Start Date]],19),IF(Main[[#This Row],[Class]]="A",WORKDAY(Main[[#This Row],[Tech Start Date]],9),""))))</f>
        <v/>
      </c>
      <c r="Q767" s="74"/>
      <c r="R767" s="74"/>
      <c r="S767" s="72" t="s">
        <v>11</v>
      </c>
      <c r="T767" s="80" t="s">
        <v>4</v>
      </c>
      <c r="U767" s="72" t="s">
        <v>14</v>
      </c>
      <c r="V767" s="72" t="s">
        <v>1938</v>
      </c>
      <c r="W767" s="72" t="s">
        <v>1945</v>
      </c>
      <c r="X767" s="72" t="s">
        <v>2979</v>
      </c>
      <c r="Y767" s="72" t="s">
        <v>3106</v>
      </c>
      <c r="Z767" s="72" t="s">
        <v>4</v>
      </c>
    </row>
    <row r="768" spans="1:26" ht="18.600000000000001" customHeight="1">
      <c r="A768" s="142" t="str">
        <f>IF(priority(Main[[#This Row],[Comments]])&lt;&gt;0, priority(Main[[#This Row],[Comments]]),"")</f>
        <v/>
      </c>
      <c r="B768" s="90" t="s">
        <v>1616</v>
      </c>
      <c r="C768" s="72" t="s">
        <v>4</v>
      </c>
      <c r="D768" s="73" t="s">
        <v>680</v>
      </c>
      <c r="E768" s="74"/>
      <c r="F768" s="74"/>
      <c r="G768" s="75" t="str">
        <f>IF(stdProdLT(Main[[#This Row],[Comments]])=0.1,"N/A",IF(stdProdLT(Main[[#This Row],[Comments]])=0,"",stdProdLT(Main[[#This Row],[Comments]])))</f>
        <v/>
      </c>
      <c r="H768" s="76" t="str">
        <f>IF(AND(Main[[#This Row],[In Stock Date]]&lt;&gt;"",Main[[#This Row],[Revised Due Date]]&lt;&gt;""),Main[[#This Row],[In Stock Date]]-Main[[#This Row],[Revised Due Date]],"")</f>
        <v/>
      </c>
      <c r="I768" s="72" t="s">
        <v>4</v>
      </c>
      <c r="J768" s="72" t="s">
        <v>28</v>
      </c>
      <c r="K768" s="72" t="s">
        <v>4</v>
      </c>
      <c r="L768" s="74"/>
      <c r="M768" s="77" t="str">
        <f>IF(Main[[#This Row],[Tech Start Date]]&lt;1/1/1990,"",IF(Main[[#This Row],[Class]]="C",WORKDAY(Main[[#This Row],[Tech Start Date]],9),IF(Main[[#This Row],[Class]]="B", WORKDAY(Main[[#This Row],[Tech Start Date]],6),IF(Main[[#This Row],[Class]]="A",WORKDAY(Main[[#This Row],[Tech Start Date]],2),""))))</f>
        <v/>
      </c>
      <c r="N768" s="77" t="str">
        <f>IF(Main[[#This Row],[Tech Start Date]]&lt;1/1/1990,"",IF(Main[[#This Row],[Class]]="C",WORKDAY(Main[[#This Row],[Tech Start Date]],19),IF(Main[[#This Row],[Class]]="B", WORKDAY(Main[[#This Row],[Tech Start Date]],12),IF(Main[[#This Row],[Class]]="A",WORKDAY(Main[[#This Row],[Tech Start Date]],4),""))))</f>
        <v/>
      </c>
      <c r="O768" s="77" t="str">
        <f>IF(Main[[#This Row],[Tech Start Date]]&lt;1/1/1990,"",IF(Main[[#This Row],[Class]]="C",WORKDAY(Main[[#This Row],[Tech Start Date]],23),IF(Main[[#This Row],[Class]]="B", WORKDAY(Main[[#This Row],[Tech Start Date]],15),IF(Main[[#This Row],[Class]]="A",WORKDAY(Main[[#This Row],[Tech Start Date]],5),""))))</f>
        <v/>
      </c>
      <c r="P768" s="77" t="str">
        <f>IF(Main[[#This Row],[Tech Start Date]]&lt;1/1/1990,"",IF(Main[[#This Row],[Class]]="C",WORKDAY(Main[[#This Row],[Tech Start Date]],28),IF(Main[[#This Row],[Class]]="B", WORKDAY(Main[[#This Row],[Tech Start Date]],19),IF(Main[[#This Row],[Class]]="A",WORKDAY(Main[[#This Row],[Tech Start Date]],9),""))))</f>
        <v/>
      </c>
      <c r="Q768" s="74">
        <v>40471</v>
      </c>
      <c r="R768" s="74"/>
      <c r="S768" s="72" t="s">
        <v>301</v>
      </c>
      <c r="T768" s="80" t="s">
        <v>4</v>
      </c>
      <c r="U768" s="72" t="s">
        <v>14</v>
      </c>
      <c r="V768" s="72" t="s">
        <v>1947</v>
      </c>
      <c r="W768" s="72" t="s">
        <v>1939</v>
      </c>
      <c r="X768" s="72" t="s">
        <v>2999</v>
      </c>
      <c r="Y768" s="72" t="s">
        <v>3136</v>
      </c>
      <c r="Z768" s="72" t="s">
        <v>536</v>
      </c>
    </row>
    <row r="769" spans="1:26" ht="18.600000000000001" customHeight="1">
      <c r="A769" s="142" t="str">
        <f>IF(priority(Main[[#This Row],[Comments]])&lt;&gt;0, priority(Main[[#This Row],[Comments]]),"")</f>
        <v/>
      </c>
      <c r="B769" s="90" t="s">
        <v>1630</v>
      </c>
      <c r="C769" s="72" t="s">
        <v>4</v>
      </c>
      <c r="D769" s="73" t="s">
        <v>692</v>
      </c>
      <c r="E769" s="74"/>
      <c r="F769" s="74"/>
      <c r="G769" s="75" t="str">
        <f>IF(stdProdLT(Main[[#This Row],[Comments]])=0.1,"N/A",IF(stdProdLT(Main[[#This Row],[Comments]])=0,"",stdProdLT(Main[[#This Row],[Comments]])))</f>
        <v/>
      </c>
      <c r="H769" s="76" t="str">
        <f>IF(AND(Main[[#This Row],[In Stock Date]]&lt;&gt;"",Main[[#This Row],[Revised Due Date]]&lt;&gt;""),Main[[#This Row],[In Stock Date]]-Main[[#This Row],[Revised Due Date]],"")</f>
        <v/>
      </c>
      <c r="I769" s="72" t="s">
        <v>4</v>
      </c>
      <c r="J769" s="72" t="s">
        <v>4</v>
      </c>
      <c r="K769" s="72" t="s">
        <v>4</v>
      </c>
      <c r="L769" s="74"/>
      <c r="M769" s="77" t="str">
        <f>IF(Main[[#This Row],[Tech Start Date]]&lt;1/1/1990,"",IF(Main[[#This Row],[Class]]="C",WORKDAY(Main[[#This Row],[Tech Start Date]],9),IF(Main[[#This Row],[Class]]="B", WORKDAY(Main[[#This Row],[Tech Start Date]],6),IF(Main[[#This Row],[Class]]="A",WORKDAY(Main[[#This Row],[Tech Start Date]],2),""))))</f>
        <v/>
      </c>
      <c r="N769" s="77" t="str">
        <f>IF(Main[[#This Row],[Tech Start Date]]&lt;1/1/1990,"",IF(Main[[#This Row],[Class]]="C",WORKDAY(Main[[#This Row],[Tech Start Date]],19),IF(Main[[#This Row],[Class]]="B", WORKDAY(Main[[#This Row],[Tech Start Date]],12),IF(Main[[#This Row],[Class]]="A",WORKDAY(Main[[#This Row],[Tech Start Date]],4),""))))</f>
        <v/>
      </c>
      <c r="O769" s="77" t="str">
        <f>IF(Main[[#This Row],[Tech Start Date]]&lt;1/1/1990,"",IF(Main[[#This Row],[Class]]="C",WORKDAY(Main[[#This Row],[Tech Start Date]],23),IF(Main[[#This Row],[Class]]="B", WORKDAY(Main[[#This Row],[Tech Start Date]],15),IF(Main[[#This Row],[Class]]="A",WORKDAY(Main[[#This Row],[Tech Start Date]],5),""))))</f>
        <v/>
      </c>
      <c r="P769" s="77" t="str">
        <f>IF(Main[[#This Row],[Tech Start Date]]&lt;1/1/1990,"",IF(Main[[#This Row],[Class]]="C",WORKDAY(Main[[#This Row],[Tech Start Date]],28),IF(Main[[#This Row],[Class]]="B", WORKDAY(Main[[#This Row],[Tech Start Date]],19),IF(Main[[#This Row],[Class]]="A",WORKDAY(Main[[#This Row],[Tech Start Date]],9),""))))</f>
        <v/>
      </c>
      <c r="Q769" s="74"/>
      <c r="R769" s="74"/>
      <c r="S769" s="72" t="s">
        <v>23</v>
      </c>
      <c r="T769" s="80" t="s">
        <v>4</v>
      </c>
      <c r="U769" s="72" t="s">
        <v>14</v>
      </c>
      <c r="V769" s="72" t="s">
        <v>1947</v>
      </c>
      <c r="W769" s="72" t="s">
        <v>1941</v>
      </c>
      <c r="X769" s="72" t="s">
        <v>102</v>
      </c>
      <c r="Y769" s="72" t="s">
        <v>3245</v>
      </c>
      <c r="Z769" s="72" t="s">
        <v>4</v>
      </c>
    </row>
    <row r="770" spans="1:26" ht="18.600000000000001" customHeight="1">
      <c r="A770" s="142" t="str">
        <f>IF(priority(Main[[#This Row],[Comments]])&lt;&gt;0, priority(Main[[#This Row],[Comments]]),"")</f>
        <v/>
      </c>
      <c r="B770" s="90" t="s">
        <v>1863</v>
      </c>
      <c r="C770" s="72" t="s">
        <v>4</v>
      </c>
      <c r="D770" s="73" t="s">
        <v>911</v>
      </c>
      <c r="E770" s="74">
        <v>40241.453090277777</v>
      </c>
      <c r="F770" s="74"/>
      <c r="G770" s="75" t="str">
        <f>IF(stdProdLT(Main[[#This Row],[Comments]])=0.1,"N/A",IF(stdProdLT(Main[[#This Row],[Comments]])=0,"",stdProdLT(Main[[#This Row],[Comments]])))</f>
        <v/>
      </c>
      <c r="H770" s="76" t="str">
        <f>IF(AND(Main[[#This Row],[In Stock Date]]&lt;&gt;"",Main[[#This Row],[Revised Due Date]]&lt;&gt;""),Main[[#This Row],[In Stock Date]]-Main[[#This Row],[Revised Due Date]],"")</f>
        <v/>
      </c>
      <c r="I770" s="72" t="s">
        <v>74</v>
      </c>
      <c r="J770" s="72" t="s">
        <v>4</v>
      </c>
      <c r="K770" s="72" t="s">
        <v>1949</v>
      </c>
      <c r="L770" s="74"/>
      <c r="M770" s="77" t="str">
        <f>IF(Main[[#This Row],[Tech Start Date]]&lt;1/1/1990,"",IF(Main[[#This Row],[Class]]="C",WORKDAY(Main[[#This Row],[Tech Start Date]],9),IF(Main[[#This Row],[Class]]="B", WORKDAY(Main[[#This Row],[Tech Start Date]],6),IF(Main[[#This Row],[Class]]="A",WORKDAY(Main[[#This Row],[Tech Start Date]],2),""))))</f>
        <v/>
      </c>
      <c r="N770" s="77" t="str">
        <f>IF(Main[[#This Row],[Tech Start Date]]&lt;1/1/1990,"",IF(Main[[#This Row],[Class]]="C",WORKDAY(Main[[#This Row],[Tech Start Date]],19),IF(Main[[#This Row],[Class]]="B", WORKDAY(Main[[#This Row],[Tech Start Date]],12),IF(Main[[#This Row],[Class]]="A",WORKDAY(Main[[#This Row],[Tech Start Date]],4),""))))</f>
        <v/>
      </c>
      <c r="O770" s="77" t="str">
        <f>IF(Main[[#This Row],[Tech Start Date]]&lt;1/1/1990,"",IF(Main[[#This Row],[Class]]="C",WORKDAY(Main[[#This Row],[Tech Start Date]],23),IF(Main[[#This Row],[Class]]="B", WORKDAY(Main[[#This Row],[Tech Start Date]],15),IF(Main[[#This Row],[Class]]="A",WORKDAY(Main[[#This Row],[Tech Start Date]],5),""))))</f>
        <v/>
      </c>
      <c r="P770" s="77" t="str">
        <f>IF(Main[[#This Row],[Tech Start Date]]&lt;1/1/1990,"",IF(Main[[#This Row],[Class]]="C",WORKDAY(Main[[#This Row],[Tech Start Date]],28),IF(Main[[#This Row],[Class]]="B", WORKDAY(Main[[#This Row],[Tech Start Date]],19),IF(Main[[#This Row],[Class]]="A",WORKDAY(Main[[#This Row],[Tech Start Date]],9),""))))</f>
        <v/>
      </c>
      <c r="Q770" s="74"/>
      <c r="R770" s="74">
        <v>40967</v>
      </c>
      <c r="S770" s="72" t="s">
        <v>17</v>
      </c>
      <c r="T770" s="80" t="s">
        <v>4</v>
      </c>
      <c r="U770" s="72" t="s">
        <v>29</v>
      </c>
      <c r="V770" s="72" t="s">
        <v>1940</v>
      </c>
      <c r="W770" s="72" t="s">
        <v>4</v>
      </c>
      <c r="X770" s="72" t="s">
        <v>311</v>
      </c>
      <c r="Y770" s="72" t="s">
        <v>3107</v>
      </c>
      <c r="Z770" s="72" t="s">
        <v>421</v>
      </c>
    </row>
    <row r="771" spans="1:26" ht="18.600000000000001" customHeight="1">
      <c r="A771" s="142" t="str">
        <f>IF(priority(Main[[#This Row],[Comments]])&lt;&gt;0, priority(Main[[#This Row],[Comments]]),"")</f>
        <v/>
      </c>
      <c r="B771" s="90" t="s">
        <v>1631</v>
      </c>
      <c r="C771" s="72" t="s">
        <v>4</v>
      </c>
      <c r="D771" s="73" t="s">
        <v>693</v>
      </c>
      <c r="E771" s="74">
        <v>40464.400208333333</v>
      </c>
      <c r="F771" s="74"/>
      <c r="G771" s="75" t="str">
        <f>IF(stdProdLT(Main[[#This Row],[Comments]])=0.1,"N/A",IF(stdProdLT(Main[[#This Row],[Comments]])=0,"",stdProdLT(Main[[#This Row],[Comments]])))</f>
        <v/>
      </c>
      <c r="H771" s="76" t="str">
        <f>IF(AND(Main[[#This Row],[In Stock Date]]&lt;&gt;"",Main[[#This Row],[Revised Due Date]]&lt;&gt;""),Main[[#This Row],[In Stock Date]]-Main[[#This Row],[Revised Due Date]],"")</f>
        <v/>
      </c>
      <c r="I771" s="72" t="s">
        <v>4</v>
      </c>
      <c r="J771" s="72" t="s">
        <v>4</v>
      </c>
      <c r="K771" s="72" t="s">
        <v>4</v>
      </c>
      <c r="L771" s="74"/>
      <c r="M771" s="77" t="str">
        <f>IF(Main[[#This Row],[Tech Start Date]]&lt;1/1/1990,"",IF(Main[[#This Row],[Class]]="C",WORKDAY(Main[[#This Row],[Tech Start Date]],9),IF(Main[[#This Row],[Class]]="B", WORKDAY(Main[[#This Row],[Tech Start Date]],6),IF(Main[[#This Row],[Class]]="A",WORKDAY(Main[[#This Row],[Tech Start Date]],2),""))))</f>
        <v/>
      </c>
      <c r="N771" s="77" t="str">
        <f>IF(Main[[#This Row],[Tech Start Date]]&lt;1/1/1990,"",IF(Main[[#This Row],[Class]]="C",WORKDAY(Main[[#This Row],[Tech Start Date]],19),IF(Main[[#This Row],[Class]]="B", WORKDAY(Main[[#This Row],[Tech Start Date]],12),IF(Main[[#This Row],[Class]]="A",WORKDAY(Main[[#This Row],[Tech Start Date]],4),""))))</f>
        <v/>
      </c>
      <c r="O771" s="77" t="str">
        <f>IF(Main[[#This Row],[Tech Start Date]]&lt;1/1/1990,"",IF(Main[[#This Row],[Class]]="C",WORKDAY(Main[[#This Row],[Tech Start Date]],23),IF(Main[[#This Row],[Class]]="B", WORKDAY(Main[[#This Row],[Tech Start Date]],15),IF(Main[[#This Row],[Class]]="A",WORKDAY(Main[[#This Row],[Tech Start Date]],5),""))))</f>
        <v/>
      </c>
      <c r="P771" s="77" t="str">
        <f>IF(Main[[#This Row],[Tech Start Date]]&lt;1/1/1990,"",IF(Main[[#This Row],[Class]]="C",WORKDAY(Main[[#This Row],[Tech Start Date]],28),IF(Main[[#This Row],[Class]]="B", WORKDAY(Main[[#This Row],[Tech Start Date]],19),IF(Main[[#This Row],[Class]]="A",WORKDAY(Main[[#This Row],[Tech Start Date]],9),""))))</f>
        <v/>
      </c>
      <c r="Q771" s="74">
        <v>40512</v>
      </c>
      <c r="R771" s="74"/>
      <c r="S771" s="72" t="s">
        <v>6</v>
      </c>
      <c r="T771" s="80" t="s">
        <v>4</v>
      </c>
      <c r="U771" s="72" t="s">
        <v>7</v>
      </c>
      <c r="V771" s="72" t="s">
        <v>1937</v>
      </c>
      <c r="W771" s="72" t="s">
        <v>4</v>
      </c>
      <c r="X771" s="72" t="s">
        <v>2971</v>
      </c>
      <c r="Y771" s="72" t="s">
        <v>3090</v>
      </c>
      <c r="Z771" s="72" t="s">
        <v>4</v>
      </c>
    </row>
    <row r="772" spans="1:26" ht="18.600000000000001" customHeight="1">
      <c r="A772" s="142" t="str">
        <f>IF(priority(Main[[#This Row],[Comments]])&lt;&gt;0, priority(Main[[#This Row],[Comments]]),"")</f>
        <v/>
      </c>
      <c r="B772" s="90" t="s">
        <v>1867</v>
      </c>
      <c r="C772" s="72" t="s">
        <v>67</v>
      </c>
      <c r="D772" s="73" t="s">
        <v>916</v>
      </c>
      <c r="E772" s="74"/>
      <c r="F772" s="74"/>
      <c r="G772" s="75" t="str">
        <f>IF(stdProdLT(Main[[#This Row],[Comments]])=0.1,"N/A",IF(stdProdLT(Main[[#This Row],[Comments]])=0,"",stdProdLT(Main[[#This Row],[Comments]])))</f>
        <v/>
      </c>
      <c r="H772" s="76" t="str">
        <f>IF(AND(Main[[#This Row],[In Stock Date]]&lt;&gt;"",Main[[#This Row],[Revised Due Date]]&lt;&gt;""),Main[[#This Row],[In Stock Date]]-Main[[#This Row],[Revised Due Date]],"")</f>
        <v/>
      </c>
      <c r="I772" s="72" t="s">
        <v>165</v>
      </c>
      <c r="J772" s="72" t="s">
        <v>4</v>
      </c>
      <c r="K772" s="81" t="s">
        <v>1949</v>
      </c>
      <c r="L772" s="74"/>
      <c r="M772" s="77" t="str">
        <f>IF(Main[[#This Row],[Tech Start Date]]&lt;1/1/1990,"",IF(Main[[#This Row],[Class]]="C",WORKDAY(Main[[#This Row],[Tech Start Date]],9),IF(Main[[#This Row],[Class]]="B", WORKDAY(Main[[#This Row],[Tech Start Date]],6),IF(Main[[#This Row],[Class]]="A",WORKDAY(Main[[#This Row],[Tech Start Date]],2),""))))</f>
        <v/>
      </c>
      <c r="N772" s="77" t="str">
        <f>IF(Main[[#This Row],[Tech Start Date]]&lt;1/1/1990,"",IF(Main[[#This Row],[Class]]="C",WORKDAY(Main[[#This Row],[Tech Start Date]],19),IF(Main[[#This Row],[Class]]="B", WORKDAY(Main[[#This Row],[Tech Start Date]],12),IF(Main[[#This Row],[Class]]="A",WORKDAY(Main[[#This Row],[Tech Start Date]],4),""))))</f>
        <v/>
      </c>
      <c r="O772" s="77" t="str">
        <f>IF(Main[[#This Row],[Tech Start Date]]&lt;1/1/1990,"",IF(Main[[#This Row],[Class]]="C",WORKDAY(Main[[#This Row],[Tech Start Date]],23),IF(Main[[#This Row],[Class]]="B", WORKDAY(Main[[#This Row],[Tech Start Date]],15),IF(Main[[#This Row],[Class]]="A",WORKDAY(Main[[#This Row],[Tech Start Date]],5),""))))</f>
        <v/>
      </c>
      <c r="P772" s="77" t="str">
        <f>IF(Main[[#This Row],[Tech Start Date]]&lt;1/1/1990,"",IF(Main[[#This Row],[Class]]="C",WORKDAY(Main[[#This Row],[Tech Start Date]],28),IF(Main[[#This Row],[Class]]="B", WORKDAY(Main[[#This Row],[Tech Start Date]],19),IF(Main[[#This Row],[Class]]="A",WORKDAY(Main[[#This Row],[Tech Start Date]],9),""))))</f>
        <v/>
      </c>
      <c r="Q772" s="74">
        <v>39990</v>
      </c>
      <c r="R772" s="74">
        <v>40497</v>
      </c>
      <c r="S772" s="72" t="s">
        <v>17</v>
      </c>
      <c r="T772" s="80" t="s">
        <v>4</v>
      </c>
      <c r="U772" s="72" t="s">
        <v>14</v>
      </c>
      <c r="V772" s="72" t="s">
        <v>1940</v>
      </c>
      <c r="W772" s="72" t="s">
        <v>1942</v>
      </c>
      <c r="X772" s="72" t="s">
        <v>2972</v>
      </c>
      <c r="Y772" s="72" t="s">
        <v>3092</v>
      </c>
      <c r="Z772" s="72" t="s">
        <v>421</v>
      </c>
    </row>
    <row r="773" spans="1:26" ht="18.600000000000001" customHeight="1">
      <c r="A773" s="142" t="str">
        <f>IF(priority(Main[[#This Row],[Comments]])&lt;&gt;0, priority(Main[[#This Row],[Comments]]),"")</f>
        <v/>
      </c>
      <c r="B773" s="90" t="s">
        <v>1617</v>
      </c>
      <c r="C773" s="72" t="s">
        <v>31</v>
      </c>
      <c r="D773" s="73" t="s">
        <v>681</v>
      </c>
      <c r="E773" s="74"/>
      <c r="F773" s="74">
        <v>40725</v>
      </c>
      <c r="G773" s="75" t="str">
        <f>IF(stdProdLT(Main[[#This Row],[Comments]])=0.1,"N/A",IF(stdProdLT(Main[[#This Row],[Comments]])=0,"",stdProdLT(Main[[#This Row],[Comments]])))</f>
        <v/>
      </c>
      <c r="H773" s="76" t="str">
        <f>IF(AND(Main[[#This Row],[In Stock Date]]&lt;&gt;"",Main[[#This Row],[Revised Due Date]]&lt;&gt;""),Main[[#This Row],[In Stock Date]]-Main[[#This Row],[Revised Due Date]],"")</f>
        <v/>
      </c>
      <c r="I773" s="72" t="s">
        <v>4</v>
      </c>
      <c r="J773" s="72" t="s">
        <v>4</v>
      </c>
      <c r="K773" s="72" t="s">
        <v>4</v>
      </c>
      <c r="L773" s="74"/>
      <c r="M773" s="77" t="str">
        <f>IF(Main[[#This Row],[Tech Start Date]]&lt;1/1/1990,"",IF(Main[[#This Row],[Class]]="C",WORKDAY(Main[[#This Row],[Tech Start Date]],9),IF(Main[[#This Row],[Class]]="B", WORKDAY(Main[[#This Row],[Tech Start Date]],6),IF(Main[[#This Row],[Class]]="A",WORKDAY(Main[[#This Row],[Tech Start Date]],2),""))))</f>
        <v/>
      </c>
      <c r="N773" s="77" t="str">
        <f>IF(Main[[#This Row],[Tech Start Date]]&lt;1/1/1990,"",IF(Main[[#This Row],[Class]]="C",WORKDAY(Main[[#This Row],[Tech Start Date]],19),IF(Main[[#This Row],[Class]]="B", WORKDAY(Main[[#This Row],[Tech Start Date]],12),IF(Main[[#This Row],[Class]]="A",WORKDAY(Main[[#This Row],[Tech Start Date]],4),""))))</f>
        <v/>
      </c>
      <c r="O773" s="77" t="str">
        <f>IF(Main[[#This Row],[Tech Start Date]]&lt;1/1/1990,"",IF(Main[[#This Row],[Class]]="C",WORKDAY(Main[[#This Row],[Tech Start Date]],23),IF(Main[[#This Row],[Class]]="B", WORKDAY(Main[[#This Row],[Tech Start Date]],15),IF(Main[[#This Row],[Class]]="A",WORKDAY(Main[[#This Row],[Tech Start Date]],5),""))))</f>
        <v/>
      </c>
      <c r="P773" s="77" t="str">
        <f>IF(Main[[#This Row],[Tech Start Date]]&lt;1/1/1990,"",IF(Main[[#This Row],[Class]]="C",WORKDAY(Main[[#This Row],[Tech Start Date]],28),IF(Main[[#This Row],[Class]]="B", WORKDAY(Main[[#This Row],[Tech Start Date]],19),IF(Main[[#This Row],[Class]]="A",WORKDAY(Main[[#This Row],[Tech Start Date]],9),""))))</f>
        <v/>
      </c>
      <c r="Q773" s="74">
        <v>40634</v>
      </c>
      <c r="R773" s="74"/>
      <c r="S773" s="72" t="s">
        <v>11</v>
      </c>
      <c r="T773" s="80" t="s">
        <v>4</v>
      </c>
      <c r="U773" s="72" t="s">
        <v>14</v>
      </c>
      <c r="V773" s="72" t="s">
        <v>1940</v>
      </c>
      <c r="W773" s="72" t="s">
        <v>1943</v>
      </c>
      <c r="X773" s="72" t="s">
        <v>2997</v>
      </c>
      <c r="Y773" s="72" t="s">
        <v>3223</v>
      </c>
      <c r="Z773" s="72" t="s">
        <v>4</v>
      </c>
    </row>
    <row r="774" spans="1:26" ht="18.600000000000001" customHeight="1">
      <c r="A774" s="142" t="str">
        <f>IF(priority(Main[[#This Row],[Comments]])&lt;&gt;0, priority(Main[[#This Row],[Comments]]),"")</f>
        <v/>
      </c>
      <c r="B774" s="90" t="s">
        <v>2415</v>
      </c>
      <c r="C774" s="72" t="s">
        <v>4</v>
      </c>
      <c r="D774" s="73" t="s">
        <v>3340</v>
      </c>
      <c r="E774" s="74">
        <v>40861.64230324074</v>
      </c>
      <c r="F774" s="74"/>
      <c r="G774" s="75" t="str">
        <f>IF(stdProdLT(Main[[#This Row],[Comments]])=0.1,"N/A",IF(stdProdLT(Main[[#This Row],[Comments]])=0,"",stdProdLT(Main[[#This Row],[Comments]])))</f>
        <v/>
      </c>
      <c r="H774" s="76" t="str">
        <f>IF(AND(Main[[#This Row],[In Stock Date]]&lt;&gt;"",Main[[#This Row],[Revised Due Date]]&lt;&gt;""),Main[[#This Row],[In Stock Date]]-Main[[#This Row],[Revised Due Date]],"")</f>
        <v/>
      </c>
      <c r="I774" s="72" t="s">
        <v>777</v>
      </c>
      <c r="J774" s="72" t="s">
        <v>52</v>
      </c>
      <c r="K774" s="72" t="s">
        <v>1946</v>
      </c>
      <c r="L774" s="74"/>
      <c r="M774" s="77" t="str">
        <f>IF(Main[[#This Row],[Tech Start Date]]&lt;1/1/1990,"",IF(Main[[#This Row],[Class]]="C",WORKDAY(Main[[#This Row],[Tech Start Date]],9),IF(Main[[#This Row],[Class]]="B", WORKDAY(Main[[#This Row],[Tech Start Date]],6),IF(Main[[#This Row],[Class]]="A",WORKDAY(Main[[#This Row],[Tech Start Date]],2),""))))</f>
        <v/>
      </c>
      <c r="N774" s="77" t="str">
        <f>IF(Main[[#This Row],[Tech Start Date]]&lt;1/1/1990,"",IF(Main[[#This Row],[Class]]="C",WORKDAY(Main[[#This Row],[Tech Start Date]],19),IF(Main[[#This Row],[Class]]="B", WORKDAY(Main[[#This Row],[Tech Start Date]],12),IF(Main[[#This Row],[Class]]="A",WORKDAY(Main[[#This Row],[Tech Start Date]],4),""))))</f>
        <v/>
      </c>
      <c r="O774" s="77" t="str">
        <f>IF(Main[[#This Row],[Tech Start Date]]&lt;1/1/1990,"",IF(Main[[#This Row],[Class]]="C",WORKDAY(Main[[#This Row],[Tech Start Date]],23),IF(Main[[#This Row],[Class]]="B", WORKDAY(Main[[#This Row],[Tech Start Date]],15),IF(Main[[#This Row],[Class]]="A",WORKDAY(Main[[#This Row],[Tech Start Date]],5),""))))</f>
        <v/>
      </c>
      <c r="P774" s="77" t="str">
        <f>IF(Main[[#This Row],[Tech Start Date]]&lt;1/1/1990,"",IF(Main[[#This Row],[Class]]="C",WORKDAY(Main[[#This Row],[Tech Start Date]],28),IF(Main[[#This Row],[Class]]="B", WORKDAY(Main[[#This Row],[Tech Start Date]],19),IF(Main[[#This Row],[Class]]="A",WORKDAY(Main[[#This Row],[Tech Start Date]],9),""))))</f>
        <v/>
      </c>
      <c r="Q774" s="74">
        <v>40897</v>
      </c>
      <c r="R774" s="74"/>
      <c r="S774" s="72" t="s">
        <v>6</v>
      </c>
      <c r="T774" s="80" t="s">
        <v>4</v>
      </c>
      <c r="U774" s="72" t="s">
        <v>29</v>
      </c>
      <c r="V774" s="72" t="s">
        <v>1940</v>
      </c>
      <c r="W774" s="72" t="s">
        <v>1941</v>
      </c>
      <c r="X774" s="72" t="s">
        <v>30</v>
      </c>
      <c r="Y774" s="72" t="s">
        <v>3098</v>
      </c>
      <c r="Z774" s="72" t="s">
        <v>30</v>
      </c>
    </row>
    <row r="775" spans="1:26" ht="18.600000000000001" customHeight="1">
      <c r="A775" s="142" t="str">
        <f>IF(priority(Main[[#This Row],[Comments]])&lt;&gt;0, priority(Main[[#This Row],[Comments]]),"")</f>
        <v/>
      </c>
      <c r="B775" s="90" t="s">
        <v>1618</v>
      </c>
      <c r="C775" s="72" t="s">
        <v>4</v>
      </c>
      <c r="D775" s="73" t="s">
        <v>682</v>
      </c>
      <c r="E775" s="74"/>
      <c r="F775" s="74"/>
      <c r="G775" s="75" t="str">
        <f>IF(stdProdLT(Main[[#This Row],[Comments]])=0.1,"N/A",IF(stdProdLT(Main[[#This Row],[Comments]])=0,"",stdProdLT(Main[[#This Row],[Comments]])))</f>
        <v/>
      </c>
      <c r="H775" s="76" t="str">
        <f>IF(AND(Main[[#This Row],[In Stock Date]]&lt;&gt;"",Main[[#This Row],[Revised Due Date]]&lt;&gt;""),Main[[#This Row],[In Stock Date]]-Main[[#This Row],[Revised Due Date]],"")</f>
        <v/>
      </c>
      <c r="I775" s="72" t="s">
        <v>102</v>
      </c>
      <c r="J775" s="72" t="s">
        <v>4</v>
      </c>
      <c r="K775" s="72" t="s">
        <v>1944</v>
      </c>
      <c r="L775" s="74"/>
      <c r="M775" s="77" t="str">
        <f>IF(Main[[#This Row],[Tech Start Date]]&lt;1/1/1990,"",IF(Main[[#This Row],[Class]]="C",WORKDAY(Main[[#This Row],[Tech Start Date]],9),IF(Main[[#This Row],[Class]]="B", WORKDAY(Main[[#This Row],[Tech Start Date]],6),IF(Main[[#This Row],[Class]]="A",WORKDAY(Main[[#This Row],[Tech Start Date]],2),""))))</f>
        <v/>
      </c>
      <c r="N775" s="77" t="str">
        <f>IF(Main[[#This Row],[Tech Start Date]]&lt;1/1/1990,"",IF(Main[[#This Row],[Class]]="C",WORKDAY(Main[[#This Row],[Tech Start Date]],19),IF(Main[[#This Row],[Class]]="B", WORKDAY(Main[[#This Row],[Tech Start Date]],12),IF(Main[[#This Row],[Class]]="A",WORKDAY(Main[[#This Row],[Tech Start Date]],4),""))))</f>
        <v/>
      </c>
      <c r="O775" s="77" t="str">
        <f>IF(Main[[#This Row],[Tech Start Date]]&lt;1/1/1990,"",IF(Main[[#This Row],[Class]]="C",WORKDAY(Main[[#This Row],[Tech Start Date]],23),IF(Main[[#This Row],[Class]]="B", WORKDAY(Main[[#This Row],[Tech Start Date]],15),IF(Main[[#This Row],[Class]]="A",WORKDAY(Main[[#This Row],[Tech Start Date]],5),""))))</f>
        <v/>
      </c>
      <c r="P775" s="77" t="str">
        <f>IF(Main[[#This Row],[Tech Start Date]]&lt;1/1/1990,"",IF(Main[[#This Row],[Class]]="C",WORKDAY(Main[[#This Row],[Tech Start Date]],28),IF(Main[[#This Row],[Class]]="B", WORKDAY(Main[[#This Row],[Tech Start Date]],19),IF(Main[[#This Row],[Class]]="A",WORKDAY(Main[[#This Row],[Tech Start Date]],9),""))))</f>
        <v/>
      </c>
      <c r="Q775" s="74"/>
      <c r="R775" s="74"/>
      <c r="S775" s="72" t="s">
        <v>23</v>
      </c>
      <c r="T775" s="80" t="s">
        <v>4</v>
      </c>
      <c r="U775" s="72" t="s">
        <v>14</v>
      </c>
      <c r="V775" s="72" t="s">
        <v>1937</v>
      </c>
      <c r="W775" s="72" t="s">
        <v>1941</v>
      </c>
      <c r="X775" s="72" t="s">
        <v>311</v>
      </c>
      <c r="Y775" s="72" t="s">
        <v>4</v>
      </c>
      <c r="Z775" s="72" t="s">
        <v>4</v>
      </c>
    </row>
    <row r="776" spans="1:26" ht="18.600000000000001" customHeight="1">
      <c r="A776" s="142" t="str">
        <f>IF(priority(Main[[#This Row],[Comments]])&lt;&gt;0, priority(Main[[#This Row],[Comments]]),"")</f>
        <v/>
      </c>
      <c r="B776" s="90" t="s">
        <v>1619</v>
      </c>
      <c r="C776" s="72" t="s">
        <v>4</v>
      </c>
      <c r="D776" s="73" t="s">
        <v>683</v>
      </c>
      <c r="E776" s="74">
        <v>40491.714780092596</v>
      </c>
      <c r="F776" s="74"/>
      <c r="G776" s="75" t="str">
        <f>IF(stdProdLT(Main[[#This Row],[Comments]])=0.1,"N/A",IF(stdProdLT(Main[[#This Row],[Comments]])=0,"",stdProdLT(Main[[#This Row],[Comments]])))</f>
        <v/>
      </c>
      <c r="H776" s="76" t="str">
        <f>IF(AND(Main[[#This Row],[In Stock Date]]&lt;&gt;"",Main[[#This Row],[Revised Due Date]]&lt;&gt;""),Main[[#This Row],[In Stock Date]]-Main[[#This Row],[Revised Due Date]],"")</f>
        <v/>
      </c>
      <c r="I776" s="72" t="s">
        <v>4</v>
      </c>
      <c r="J776" s="72" t="s">
        <v>28</v>
      </c>
      <c r="K776" s="72" t="s">
        <v>1944</v>
      </c>
      <c r="L776" s="74"/>
      <c r="M776" s="77" t="str">
        <f>IF(Main[[#This Row],[Tech Start Date]]&lt;1/1/1990,"",IF(Main[[#This Row],[Class]]="C",WORKDAY(Main[[#This Row],[Tech Start Date]],9),IF(Main[[#This Row],[Class]]="B", WORKDAY(Main[[#This Row],[Tech Start Date]],6),IF(Main[[#This Row],[Class]]="A",WORKDAY(Main[[#This Row],[Tech Start Date]],2),""))))</f>
        <v/>
      </c>
      <c r="N776" s="77" t="str">
        <f>IF(Main[[#This Row],[Tech Start Date]]&lt;1/1/1990,"",IF(Main[[#This Row],[Class]]="C",WORKDAY(Main[[#This Row],[Tech Start Date]],19),IF(Main[[#This Row],[Class]]="B", WORKDAY(Main[[#This Row],[Tech Start Date]],12),IF(Main[[#This Row],[Class]]="A",WORKDAY(Main[[#This Row],[Tech Start Date]],4),""))))</f>
        <v/>
      </c>
      <c r="O776" s="77" t="str">
        <f>IF(Main[[#This Row],[Tech Start Date]]&lt;1/1/1990,"",IF(Main[[#This Row],[Class]]="C",WORKDAY(Main[[#This Row],[Tech Start Date]],23),IF(Main[[#This Row],[Class]]="B", WORKDAY(Main[[#This Row],[Tech Start Date]],15),IF(Main[[#This Row],[Class]]="A",WORKDAY(Main[[#This Row],[Tech Start Date]],5),""))))</f>
        <v/>
      </c>
      <c r="P776" s="77" t="str">
        <f>IF(Main[[#This Row],[Tech Start Date]]&lt;1/1/1990,"",IF(Main[[#This Row],[Class]]="C",WORKDAY(Main[[#This Row],[Tech Start Date]],28),IF(Main[[#This Row],[Class]]="B", WORKDAY(Main[[#This Row],[Tech Start Date]],19),IF(Main[[#This Row],[Class]]="A",WORKDAY(Main[[#This Row],[Tech Start Date]],9),""))))</f>
        <v/>
      </c>
      <c r="Q776" s="74">
        <v>40520</v>
      </c>
      <c r="R776" s="74"/>
      <c r="S776" s="72" t="s">
        <v>6</v>
      </c>
      <c r="T776" s="80" t="s">
        <v>4</v>
      </c>
      <c r="U776" s="72" t="s">
        <v>7</v>
      </c>
      <c r="V776" s="72" t="s">
        <v>1937</v>
      </c>
      <c r="W776" s="72" t="s">
        <v>1939</v>
      </c>
      <c r="X776" s="72" t="s">
        <v>2973</v>
      </c>
      <c r="Y776" s="72" t="s">
        <v>3094</v>
      </c>
      <c r="Z776" s="72" t="s">
        <v>129</v>
      </c>
    </row>
    <row r="777" spans="1:26" ht="18.600000000000001" customHeight="1">
      <c r="A777" s="142" t="str">
        <f>IF(priority(Main[[#This Row],[Comments]])&lt;&gt;0, priority(Main[[#This Row],[Comments]]),"")</f>
        <v/>
      </c>
      <c r="B777" s="90" t="s">
        <v>1620</v>
      </c>
      <c r="C777" s="72" t="s">
        <v>47</v>
      </c>
      <c r="D777" s="73" t="s">
        <v>684</v>
      </c>
      <c r="E777" s="74"/>
      <c r="F777" s="74"/>
      <c r="G777" s="75" t="str">
        <f>IF(stdProdLT(Main[[#This Row],[Comments]])=0.1,"N/A",IF(stdProdLT(Main[[#This Row],[Comments]])=0,"",stdProdLT(Main[[#This Row],[Comments]])))</f>
        <v/>
      </c>
      <c r="H777" s="76" t="str">
        <f>IF(AND(Main[[#This Row],[In Stock Date]]&lt;&gt;"",Main[[#This Row],[Revised Due Date]]&lt;&gt;""),Main[[#This Row],[In Stock Date]]-Main[[#This Row],[Revised Due Date]],"")</f>
        <v/>
      </c>
      <c r="I777" s="72" t="s">
        <v>4</v>
      </c>
      <c r="J777" s="72" t="s">
        <v>4</v>
      </c>
      <c r="K777" s="72" t="s">
        <v>4</v>
      </c>
      <c r="L777" s="74"/>
      <c r="M777" s="77" t="str">
        <f>IF(Main[[#This Row],[Tech Start Date]]&lt;1/1/1990,"",IF(Main[[#This Row],[Class]]="C",WORKDAY(Main[[#This Row],[Tech Start Date]],9),IF(Main[[#This Row],[Class]]="B", WORKDAY(Main[[#This Row],[Tech Start Date]],6),IF(Main[[#This Row],[Class]]="A",WORKDAY(Main[[#This Row],[Tech Start Date]],2),""))))</f>
        <v/>
      </c>
      <c r="N777" s="77" t="str">
        <f>IF(Main[[#This Row],[Tech Start Date]]&lt;1/1/1990,"",IF(Main[[#This Row],[Class]]="C",WORKDAY(Main[[#This Row],[Tech Start Date]],19),IF(Main[[#This Row],[Class]]="B", WORKDAY(Main[[#This Row],[Tech Start Date]],12),IF(Main[[#This Row],[Class]]="A",WORKDAY(Main[[#This Row],[Tech Start Date]],4),""))))</f>
        <v/>
      </c>
      <c r="O777" s="77" t="str">
        <f>IF(Main[[#This Row],[Tech Start Date]]&lt;1/1/1990,"",IF(Main[[#This Row],[Class]]="C",WORKDAY(Main[[#This Row],[Tech Start Date]],23),IF(Main[[#This Row],[Class]]="B", WORKDAY(Main[[#This Row],[Tech Start Date]],15),IF(Main[[#This Row],[Class]]="A",WORKDAY(Main[[#This Row],[Tech Start Date]],5),""))))</f>
        <v/>
      </c>
      <c r="P777" s="77" t="str">
        <f>IF(Main[[#This Row],[Tech Start Date]]&lt;1/1/1990,"",IF(Main[[#This Row],[Class]]="C",WORKDAY(Main[[#This Row],[Tech Start Date]],28),IF(Main[[#This Row],[Class]]="B", WORKDAY(Main[[#This Row],[Tech Start Date]],19),IF(Main[[#This Row],[Class]]="A",WORKDAY(Main[[#This Row],[Tech Start Date]],9),""))))</f>
        <v/>
      </c>
      <c r="Q777" s="74"/>
      <c r="R777" s="74"/>
      <c r="S777" s="72" t="s">
        <v>11</v>
      </c>
      <c r="T777" s="80" t="s">
        <v>4</v>
      </c>
      <c r="U777" s="72" t="s">
        <v>14</v>
      </c>
      <c r="V777" s="72" t="s">
        <v>1938</v>
      </c>
      <c r="W777" s="72" t="s">
        <v>1941</v>
      </c>
      <c r="X777" s="72" t="s">
        <v>311</v>
      </c>
      <c r="Y777" s="72" t="s">
        <v>3099</v>
      </c>
      <c r="Z777" s="72" t="s">
        <v>4</v>
      </c>
    </row>
    <row r="778" spans="1:26" ht="18.600000000000001" customHeight="1">
      <c r="A778" s="142" t="str">
        <f>IF(priority(Main[[#This Row],[Comments]])&lt;&gt;0, priority(Main[[#This Row],[Comments]]),"")</f>
        <v/>
      </c>
      <c r="B778" s="90" t="s">
        <v>1621</v>
      </c>
      <c r="C778" s="72" t="s">
        <v>280</v>
      </c>
      <c r="D778" s="73" t="s">
        <v>592</v>
      </c>
      <c r="E778" s="74"/>
      <c r="F778" s="74">
        <v>40186</v>
      </c>
      <c r="G778" s="75" t="str">
        <f>IF(stdProdLT(Main[[#This Row],[Comments]])=0.1,"N/A",IF(stdProdLT(Main[[#This Row],[Comments]])=0,"",stdProdLT(Main[[#This Row],[Comments]])))</f>
        <v/>
      </c>
      <c r="H778" s="76" t="str">
        <f>IF(AND(Main[[#This Row],[In Stock Date]]&lt;&gt;"",Main[[#This Row],[Revised Due Date]]&lt;&gt;""),Main[[#This Row],[In Stock Date]]-Main[[#This Row],[Revised Due Date]],"")</f>
        <v/>
      </c>
      <c r="I778" s="72" t="s">
        <v>4</v>
      </c>
      <c r="J778" s="72" t="s">
        <v>4</v>
      </c>
      <c r="K778" s="72" t="s">
        <v>4</v>
      </c>
      <c r="L778" s="74"/>
      <c r="M778" s="77" t="str">
        <f>IF(Main[[#This Row],[Tech Start Date]]&lt;1/1/1990,"",IF(Main[[#This Row],[Class]]="C",WORKDAY(Main[[#This Row],[Tech Start Date]],9),IF(Main[[#This Row],[Class]]="B", WORKDAY(Main[[#This Row],[Tech Start Date]],6),IF(Main[[#This Row],[Class]]="A",WORKDAY(Main[[#This Row],[Tech Start Date]],2),""))))</f>
        <v/>
      </c>
      <c r="N778" s="77" t="str">
        <f>IF(Main[[#This Row],[Tech Start Date]]&lt;1/1/1990,"",IF(Main[[#This Row],[Class]]="C",WORKDAY(Main[[#This Row],[Tech Start Date]],19),IF(Main[[#This Row],[Class]]="B", WORKDAY(Main[[#This Row],[Tech Start Date]],12),IF(Main[[#This Row],[Class]]="A",WORKDAY(Main[[#This Row],[Tech Start Date]],4),""))))</f>
        <v/>
      </c>
      <c r="O778" s="77" t="str">
        <f>IF(Main[[#This Row],[Tech Start Date]]&lt;1/1/1990,"",IF(Main[[#This Row],[Class]]="C",WORKDAY(Main[[#This Row],[Tech Start Date]],23),IF(Main[[#This Row],[Class]]="B", WORKDAY(Main[[#This Row],[Tech Start Date]],15),IF(Main[[#This Row],[Class]]="A",WORKDAY(Main[[#This Row],[Tech Start Date]],5),""))))</f>
        <v/>
      </c>
      <c r="P778" s="77" t="str">
        <f>IF(Main[[#This Row],[Tech Start Date]]&lt;1/1/1990,"",IF(Main[[#This Row],[Class]]="C",WORKDAY(Main[[#This Row],[Tech Start Date]],28),IF(Main[[#This Row],[Class]]="B", WORKDAY(Main[[#This Row],[Tech Start Date]],19),IF(Main[[#This Row],[Class]]="A",WORKDAY(Main[[#This Row],[Tech Start Date]],9),""))))</f>
        <v/>
      </c>
      <c r="Q778" s="74">
        <v>40186</v>
      </c>
      <c r="R778" s="74"/>
      <c r="S778" s="72" t="s">
        <v>11</v>
      </c>
      <c r="T778" s="80" t="s">
        <v>4</v>
      </c>
      <c r="U778" s="72" t="s">
        <v>14</v>
      </c>
      <c r="V778" s="72" t="s">
        <v>1940</v>
      </c>
      <c r="W778" s="72" t="s">
        <v>1945</v>
      </c>
      <c r="X778" s="72" t="s">
        <v>2994</v>
      </c>
      <c r="Y778" s="72" t="s">
        <v>4</v>
      </c>
      <c r="Z778" s="72" t="s">
        <v>4</v>
      </c>
    </row>
    <row r="779" spans="1:26" ht="18.600000000000001" customHeight="1">
      <c r="A779" s="142" t="str">
        <f>IF(priority(Main[[#This Row],[Comments]])&lt;&gt;0, priority(Main[[#This Row],[Comments]]),"")</f>
        <v/>
      </c>
      <c r="B779" s="90" t="s">
        <v>1071</v>
      </c>
      <c r="C779" s="72" t="s">
        <v>4</v>
      </c>
      <c r="D779" s="73" t="s">
        <v>39</v>
      </c>
      <c r="E779" s="74"/>
      <c r="F779" s="74"/>
      <c r="G779" s="75" t="str">
        <f>IF(stdProdLT(Main[[#This Row],[Comments]])=0.1,"N/A",IF(stdProdLT(Main[[#This Row],[Comments]])=0,"",stdProdLT(Main[[#This Row],[Comments]])))</f>
        <v/>
      </c>
      <c r="H779" s="76" t="str">
        <f>IF(AND(Main[[#This Row],[In Stock Date]]&lt;&gt;"",Main[[#This Row],[Revised Due Date]]&lt;&gt;""),Main[[#This Row],[In Stock Date]]-Main[[#This Row],[Revised Due Date]],"")</f>
        <v/>
      </c>
      <c r="I779" s="72" t="s">
        <v>495</v>
      </c>
      <c r="J779" s="72" t="s">
        <v>70</v>
      </c>
      <c r="K779" s="72" t="s">
        <v>1946</v>
      </c>
      <c r="L779" s="74"/>
      <c r="M779" s="77" t="str">
        <f>IF(Main[[#This Row],[Tech Start Date]]&lt;1/1/1990,"",IF(Main[[#This Row],[Class]]="C",WORKDAY(Main[[#This Row],[Tech Start Date]],9),IF(Main[[#This Row],[Class]]="B", WORKDAY(Main[[#This Row],[Tech Start Date]],6),IF(Main[[#This Row],[Class]]="A",WORKDAY(Main[[#This Row],[Tech Start Date]],2),""))))</f>
        <v/>
      </c>
      <c r="N779" s="77" t="str">
        <f>IF(Main[[#This Row],[Tech Start Date]]&lt;1/1/1990,"",IF(Main[[#This Row],[Class]]="C",WORKDAY(Main[[#This Row],[Tech Start Date]],19),IF(Main[[#This Row],[Class]]="B", WORKDAY(Main[[#This Row],[Tech Start Date]],12),IF(Main[[#This Row],[Class]]="A",WORKDAY(Main[[#This Row],[Tech Start Date]],4),""))))</f>
        <v/>
      </c>
      <c r="O779" s="77" t="str">
        <f>IF(Main[[#This Row],[Tech Start Date]]&lt;1/1/1990,"",IF(Main[[#This Row],[Class]]="C",WORKDAY(Main[[#This Row],[Tech Start Date]],23),IF(Main[[#This Row],[Class]]="B", WORKDAY(Main[[#This Row],[Tech Start Date]],15),IF(Main[[#This Row],[Class]]="A",WORKDAY(Main[[#This Row],[Tech Start Date]],5),""))))</f>
        <v/>
      </c>
      <c r="P779" s="77" t="str">
        <f>IF(Main[[#This Row],[Tech Start Date]]&lt;1/1/1990,"",IF(Main[[#This Row],[Class]]="C",WORKDAY(Main[[#This Row],[Tech Start Date]],28),IF(Main[[#This Row],[Class]]="B", WORKDAY(Main[[#This Row],[Tech Start Date]],19),IF(Main[[#This Row],[Class]]="A",WORKDAY(Main[[#This Row],[Tech Start Date]],9),""))))</f>
        <v/>
      </c>
      <c r="Q779" s="74">
        <v>40704</v>
      </c>
      <c r="R779" s="74"/>
      <c r="S779" s="72" t="s">
        <v>6</v>
      </c>
      <c r="T779" s="80" t="s">
        <v>4</v>
      </c>
      <c r="U779" s="72" t="s">
        <v>14</v>
      </c>
      <c r="V779" s="72" t="s">
        <v>1940</v>
      </c>
      <c r="W779" s="72" t="s">
        <v>1941</v>
      </c>
      <c r="X779" s="72" t="s">
        <v>2970</v>
      </c>
      <c r="Y779" s="72" t="s">
        <v>3087</v>
      </c>
      <c r="Z779" s="72" t="s">
        <v>30</v>
      </c>
    </row>
    <row r="780" spans="1:26" ht="18.600000000000001" customHeight="1">
      <c r="A780" s="142" t="str">
        <f>IF(priority(Main[[#This Row],[Comments]])&lt;&gt;0, priority(Main[[#This Row],[Comments]]),"")</f>
        <v/>
      </c>
      <c r="B780" s="90" t="s">
        <v>1623</v>
      </c>
      <c r="C780" s="72" t="s">
        <v>4</v>
      </c>
      <c r="D780" s="73" t="s">
        <v>686</v>
      </c>
      <c r="E780" s="74">
        <v>40497.338240740741</v>
      </c>
      <c r="F780" s="74"/>
      <c r="G780" s="75" t="str">
        <f>IF(stdProdLT(Main[[#This Row],[Comments]])=0.1,"N/A",IF(stdProdLT(Main[[#This Row],[Comments]])=0,"",stdProdLT(Main[[#This Row],[Comments]])))</f>
        <v/>
      </c>
      <c r="H780" s="76" t="str">
        <f>IF(AND(Main[[#This Row],[In Stock Date]]&lt;&gt;"",Main[[#This Row],[Revised Due Date]]&lt;&gt;""),Main[[#This Row],[In Stock Date]]-Main[[#This Row],[Revised Due Date]],"")</f>
        <v/>
      </c>
      <c r="I780" s="72" t="s">
        <v>4</v>
      </c>
      <c r="J780" s="72" t="s">
        <v>4</v>
      </c>
      <c r="K780" s="72" t="s">
        <v>4</v>
      </c>
      <c r="L780" s="74"/>
      <c r="M780" s="77" t="str">
        <f>IF(Main[[#This Row],[Tech Start Date]]&lt;1/1/1990,"",IF(Main[[#This Row],[Class]]="C",WORKDAY(Main[[#This Row],[Tech Start Date]],9),IF(Main[[#This Row],[Class]]="B", WORKDAY(Main[[#This Row],[Tech Start Date]],6),IF(Main[[#This Row],[Class]]="A",WORKDAY(Main[[#This Row],[Tech Start Date]],2),""))))</f>
        <v/>
      </c>
      <c r="N780" s="77" t="str">
        <f>IF(Main[[#This Row],[Tech Start Date]]&lt;1/1/1990,"",IF(Main[[#This Row],[Class]]="C",WORKDAY(Main[[#This Row],[Tech Start Date]],19),IF(Main[[#This Row],[Class]]="B", WORKDAY(Main[[#This Row],[Tech Start Date]],12),IF(Main[[#This Row],[Class]]="A",WORKDAY(Main[[#This Row],[Tech Start Date]],4),""))))</f>
        <v/>
      </c>
      <c r="O780" s="77" t="str">
        <f>IF(Main[[#This Row],[Tech Start Date]]&lt;1/1/1990,"",IF(Main[[#This Row],[Class]]="C",WORKDAY(Main[[#This Row],[Tech Start Date]],23),IF(Main[[#This Row],[Class]]="B", WORKDAY(Main[[#This Row],[Tech Start Date]],15),IF(Main[[#This Row],[Class]]="A",WORKDAY(Main[[#This Row],[Tech Start Date]],5),""))))</f>
        <v/>
      </c>
      <c r="P780" s="77" t="str">
        <f>IF(Main[[#This Row],[Tech Start Date]]&lt;1/1/1990,"",IF(Main[[#This Row],[Class]]="C",WORKDAY(Main[[#This Row],[Tech Start Date]],28),IF(Main[[#This Row],[Class]]="B", WORKDAY(Main[[#This Row],[Tech Start Date]],19),IF(Main[[#This Row],[Class]]="A",WORKDAY(Main[[#This Row],[Tech Start Date]],9),""))))</f>
        <v/>
      </c>
      <c r="Q780" s="74">
        <v>40529</v>
      </c>
      <c r="R780" s="74"/>
      <c r="S780" s="72" t="s">
        <v>4</v>
      </c>
      <c r="T780" s="80" t="s">
        <v>4</v>
      </c>
      <c r="U780" s="72" t="s">
        <v>7</v>
      </c>
      <c r="V780" s="72" t="s">
        <v>1937</v>
      </c>
      <c r="W780" s="72" t="s">
        <v>4</v>
      </c>
      <c r="X780" s="72" t="s">
        <v>2970</v>
      </c>
      <c r="Y780" s="72" t="s">
        <v>3087</v>
      </c>
      <c r="Z780" s="72" t="s">
        <v>4</v>
      </c>
    </row>
    <row r="781" spans="1:26" ht="18.600000000000001" customHeight="1">
      <c r="A781" s="142" t="str">
        <f>IF(priority(Main[[#This Row],[Comments]])&lt;&gt;0, priority(Main[[#This Row],[Comments]]),"")</f>
        <v/>
      </c>
      <c r="B781" s="90" t="s">
        <v>1624</v>
      </c>
      <c r="C781" s="72" t="s">
        <v>72</v>
      </c>
      <c r="D781" s="73" t="s">
        <v>653</v>
      </c>
      <c r="E781" s="74"/>
      <c r="F781" s="74"/>
      <c r="G781" s="75" t="str">
        <f>IF(stdProdLT(Main[[#This Row],[Comments]])=0.1,"N/A",IF(stdProdLT(Main[[#This Row],[Comments]])=0,"",stdProdLT(Main[[#This Row],[Comments]])))</f>
        <v/>
      </c>
      <c r="H781" s="76" t="str">
        <f>IF(AND(Main[[#This Row],[In Stock Date]]&lt;&gt;"",Main[[#This Row],[Revised Due Date]]&lt;&gt;""),Main[[#This Row],[In Stock Date]]-Main[[#This Row],[Revised Due Date]],"")</f>
        <v/>
      </c>
      <c r="I781" s="72" t="s">
        <v>4</v>
      </c>
      <c r="J781" s="72" t="s">
        <v>4</v>
      </c>
      <c r="K781" s="81" t="s">
        <v>4</v>
      </c>
      <c r="L781" s="74"/>
      <c r="M781" s="77" t="str">
        <f>IF(Main[[#This Row],[Tech Start Date]]&lt;1/1/1990,"",IF(Main[[#This Row],[Class]]="C",WORKDAY(Main[[#This Row],[Tech Start Date]],9),IF(Main[[#This Row],[Class]]="B", WORKDAY(Main[[#This Row],[Tech Start Date]],6),IF(Main[[#This Row],[Class]]="A",WORKDAY(Main[[#This Row],[Tech Start Date]],2),""))))</f>
        <v/>
      </c>
      <c r="N781" s="77" t="str">
        <f>IF(Main[[#This Row],[Tech Start Date]]&lt;1/1/1990,"",IF(Main[[#This Row],[Class]]="C",WORKDAY(Main[[#This Row],[Tech Start Date]],19),IF(Main[[#This Row],[Class]]="B", WORKDAY(Main[[#This Row],[Tech Start Date]],12),IF(Main[[#This Row],[Class]]="A",WORKDAY(Main[[#This Row],[Tech Start Date]],4),""))))</f>
        <v/>
      </c>
      <c r="O781" s="77" t="str">
        <f>IF(Main[[#This Row],[Tech Start Date]]&lt;1/1/1990,"",IF(Main[[#This Row],[Class]]="C",WORKDAY(Main[[#This Row],[Tech Start Date]],23),IF(Main[[#This Row],[Class]]="B", WORKDAY(Main[[#This Row],[Tech Start Date]],15),IF(Main[[#This Row],[Class]]="A",WORKDAY(Main[[#This Row],[Tech Start Date]],5),""))))</f>
        <v/>
      </c>
      <c r="P781" s="77" t="str">
        <f>IF(Main[[#This Row],[Tech Start Date]]&lt;1/1/1990,"",IF(Main[[#This Row],[Class]]="C",WORKDAY(Main[[#This Row],[Tech Start Date]],28),IF(Main[[#This Row],[Class]]="B", WORKDAY(Main[[#This Row],[Tech Start Date]],19),IF(Main[[#This Row],[Class]]="A",WORKDAY(Main[[#This Row],[Tech Start Date]],9),""))))</f>
        <v/>
      </c>
      <c r="Q781" s="74"/>
      <c r="R781" s="74"/>
      <c r="S781" s="72" t="s">
        <v>49</v>
      </c>
      <c r="T781" s="80" t="s">
        <v>4</v>
      </c>
      <c r="U781" s="72" t="s">
        <v>12</v>
      </c>
      <c r="V781" s="72" t="s">
        <v>1938</v>
      </c>
      <c r="W781" s="72" t="s">
        <v>1939</v>
      </c>
      <c r="X781" s="72" t="s">
        <v>3053</v>
      </c>
      <c r="Y781" s="72" t="s">
        <v>3237</v>
      </c>
      <c r="Z781" s="72" t="s">
        <v>4</v>
      </c>
    </row>
    <row r="782" spans="1:26" ht="18.600000000000001" customHeight="1">
      <c r="A782" s="142" t="str">
        <f>IF(priority(Main[[#This Row],[Comments]])&lt;&gt;0, priority(Main[[#This Row],[Comments]]),"")</f>
        <v/>
      </c>
      <c r="B782" s="90" t="s">
        <v>1572</v>
      </c>
      <c r="C782" s="72" t="s">
        <v>95</v>
      </c>
      <c r="D782" s="73" t="s">
        <v>642</v>
      </c>
      <c r="E782" s="74"/>
      <c r="F782" s="74">
        <v>40195</v>
      </c>
      <c r="G782" s="75" t="str">
        <f>IF(stdProdLT(Main[[#This Row],[Comments]])=0.1,"N/A",IF(stdProdLT(Main[[#This Row],[Comments]])=0,"",stdProdLT(Main[[#This Row],[Comments]])))</f>
        <v/>
      </c>
      <c r="H782" s="76" t="str">
        <f>IF(AND(Main[[#This Row],[In Stock Date]]&lt;&gt;"",Main[[#This Row],[Revised Due Date]]&lt;&gt;""),Main[[#This Row],[In Stock Date]]-Main[[#This Row],[Revised Due Date]],"")</f>
        <v/>
      </c>
      <c r="I782" s="72" t="s">
        <v>4</v>
      </c>
      <c r="J782" s="72" t="s">
        <v>4</v>
      </c>
      <c r="K782" s="72" t="s">
        <v>4</v>
      </c>
      <c r="L782" s="74"/>
      <c r="M782" s="77" t="str">
        <f>IF(Main[[#This Row],[Tech Start Date]]&lt;1/1/1990,"",IF(Main[[#This Row],[Class]]="C",WORKDAY(Main[[#This Row],[Tech Start Date]],9),IF(Main[[#This Row],[Class]]="B", WORKDAY(Main[[#This Row],[Tech Start Date]],6),IF(Main[[#This Row],[Class]]="A",WORKDAY(Main[[#This Row],[Tech Start Date]],2),""))))</f>
        <v/>
      </c>
      <c r="N782" s="77" t="str">
        <f>IF(Main[[#This Row],[Tech Start Date]]&lt;1/1/1990,"",IF(Main[[#This Row],[Class]]="C",WORKDAY(Main[[#This Row],[Tech Start Date]],19),IF(Main[[#This Row],[Class]]="B", WORKDAY(Main[[#This Row],[Tech Start Date]],12),IF(Main[[#This Row],[Class]]="A",WORKDAY(Main[[#This Row],[Tech Start Date]],4),""))))</f>
        <v/>
      </c>
      <c r="O782" s="77" t="str">
        <f>IF(Main[[#This Row],[Tech Start Date]]&lt;1/1/1990,"",IF(Main[[#This Row],[Class]]="C",WORKDAY(Main[[#This Row],[Tech Start Date]],23),IF(Main[[#This Row],[Class]]="B", WORKDAY(Main[[#This Row],[Tech Start Date]],15),IF(Main[[#This Row],[Class]]="A",WORKDAY(Main[[#This Row],[Tech Start Date]],5),""))))</f>
        <v/>
      </c>
      <c r="P782" s="77" t="str">
        <f>IF(Main[[#This Row],[Tech Start Date]]&lt;1/1/1990,"",IF(Main[[#This Row],[Class]]="C",WORKDAY(Main[[#This Row],[Tech Start Date]],28),IF(Main[[#This Row],[Class]]="B", WORKDAY(Main[[#This Row],[Tech Start Date]],19),IF(Main[[#This Row],[Class]]="A",WORKDAY(Main[[#This Row],[Tech Start Date]],9),""))))</f>
        <v/>
      </c>
      <c r="Q782" s="74">
        <v>40070</v>
      </c>
      <c r="R782" s="74"/>
      <c r="S782" s="72" t="s">
        <v>11</v>
      </c>
      <c r="T782" s="80" t="s">
        <v>4</v>
      </c>
      <c r="U782" s="72" t="s">
        <v>14</v>
      </c>
      <c r="V782" s="72" t="s">
        <v>1940</v>
      </c>
      <c r="W782" s="72" t="s">
        <v>1943</v>
      </c>
      <c r="X782" s="72" t="s">
        <v>3028</v>
      </c>
      <c r="Y782" s="72" t="s">
        <v>4</v>
      </c>
      <c r="Z782" s="72" t="s">
        <v>4</v>
      </c>
    </row>
    <row r="783" spans="1:26" ht="18.600000000000001" customHeight="1">
      <c r="A783" s="142" t="str">
        <f>IF(priority(Main[[#This Row],[Comments]])&lt;&gt;0, priority(Main[[#This Row],[Comments]]),"")</f>
        <v/>
      </c>
      <c r="B783" s="90" t="s">
        <v>1573</v>
      </c>
      <c r="C783" s="72" t="s">
        <v>4</v>
      </c>
      <c r="D783" s="73" t="s">
        <v>639</v>
      </c>
      <c r="E783" s="74"/>
      <c r="F783" s="74"/>
      <c r="G783" s="75" t="str">
        <f>IF(stdProdLT(Main[[#This Row],[Comments]])=0.1,"N/A",IF(stdProdLT(Main[[#This Row],[Comments]])=0,"",stdProdLT(Main[[#This Row],[Comments]])))</f>
        <v/>
      </c>
      <c r="H783" s="76" t="str">
        <f>IF(AND(Main[[#This Row],[In Stock Date]]&lt;&gt;"",Main[[#This Row],[Revised Due Date]]&lt;&gt;""),Main[[#This Row],[In Stock Date]]-Main[[#This Row],[Revised Due Date]],"")</f>
        <v/>
      </c>
      <c r="I783" s="72" t="s">
        <v>404</v>
      </c>
      <c r="J783" s="72" t="s">
        <v>75</v>
      </c>
      <c r="K783" s="72" t="s">
        <v>4</v>
      </c>
      <c r="L783" s="74"/>
      <c r="M783" s="77" t="str">
        <f>IF(Main[[#This Row],[Tech Start Date]]&lt;1/1/1990,"",IF(Main[[#This Row],[Class]]="C",WORKDAY(Main[[#This Row],[Tech Start Date]],9),IF(Main[[#This Row],[Class]]="B", WORKDAY(Main[[#This Row],[Tech Start Date]],6),IF(Main[[#This Row],[Class]]="A",WORKDAY(Main[[#This Row],[Tech Start Date]],2),""))))</f>
        <v/>
      </c>
      <c r="N783" s="77" t="str">
        <f>IF(Main[[#This Row],[Tech Start Date]]&lt;1/1/1990,"",IF(Main[[#This Row],[Class]]="C",WORKDAY(Main[[#This Row],[Tech Start Date]],19),IF(Main[[#This Row],[Class]]="B", WORKDAY(Main[[#This Row],[Tech Start Date]],12),IF(Main[[#This Row],[Class]]="A",WORKDAY(Main[[#This Row],[Tech Start Date]],4),""))))</f>
        <v/>
      </c>
      <c r="O783" s="77" t="str">
        <f>IF(Main[[#This Row],[Tech Start Date]]&lt;1/1/1990,"",IF(Main[[#This Row],[Class]]="C",WORKDAY(Main[[#This Row],[Tech Start Date]],23),IF(Main[[#This Row],[Class]]="B", WORKDAY(Main[[#This Row],[Tech Start Date]],15),IF(Main[[#This Row],[Class]]="A",WORKDAY(Main[[#This Row],[Tech Start Date]],5),""))))</f>
        <v/>
      </c>
      <c r="P783" s="77" t="str">
        <f>IF(Main[[#This Row],[Tech Start Date]]&lt;1/1/1990,"",IF(Main[[#This Row],[Class]]="C",WORKDAY(Main[[#This Row],[Tech Start Date]],28),IF(Main[[#This Row],[Class]]="B", WORKDAY(Main[[#This Row],[Tech Start Date]],19),IF(Main[[#This Row],[Class]]="A",WORKDAY(Main[[#This Row],[Tech Start Date]],9),""))))</f>
        <v/>
      </c>
      <c r="Q783" s="74">
        <v>40186</v>
      </c>
      <c r="R783" s="74"/>
      <c r="S783" s="72" t="s">
        <v>6</v>
      </c>
      <c r="T783" s="80" t="s">
        <v>4</v>
      </c>
      <c r="U783" s="72" t="s">
        <v>14</v>
      </c>
      <c r="V783" s="72" t="s">
        <v>1940</v>
      </c>
      <c r="W783" s="72" t="s">
        <v>1948</v>
      </c>
      <c r="X783" s="72" t="s">
        <v>897</v>
      </c>
      <c r="Y783" s="72" t="s">
        <v>3121</v>
      </c>
      <c r="Z783" s="72" t="s">
        <v>311</v>
      </c>
    </row>
    <row r="784" spans="1:26" ht="18.600000000000001" customHeight="1">
      <c r="A784" s="142" t="str">
        <f>IF(priority(Main[[#This Row],[Comments]])&lt;&gt;0, priority(Main[[#This Row],[Comments]]),"")</f>
        <v/>
      </c>
      <c r="B784" s="90" t="s">
        <v>1574</v>
      </c>
      <c r="C784" s="72" t="s">
        <v>4</v>
      </c>
      <c r="D784" s="73" t="s">
        <v>640</v>
      </c>
      <c r="E784" s="74"/>
      <c r="F784" s="74"/>
      <c r="G784" s="75" t="str">
        <f>IF(stdProdLT(Main[[#This Row],[Comments]])=0.1,"N/A",IF(stdProdLT(Main[[#This Row],[Comments]])=0,"",stdProdLT(Main[[#This Row],[Comments]])))</f>
        <v/>
      </c>
      <c r="H784" s="76" t="str">
        <f>IF(AND(Main[[#This Row],[In Stock Date]]&lt;&gt;"",Main[[#This Row],[Revised Due Date]]&lt;&gt;""),Main[[#This Row],[In Stock Date]]-Main[[#This Row],[Revised Due Date]],"")</f>
        <v/>
      </c>
      <c r="I784" s="72" t="s">
        <v>4</v>
      </c>
      <c r="J784" s="72" t="s">
        <v>4</v>
      </c>
      <c r="K784" s="72" t="s">
        <v>4</v>
      </c>
      <c r="L784" s="74"/>
      <c r="M784" s="77" t="str">
        <f>IF(Main[[#This Row],[Tech Start Date]]&lt;1/1/1990,"",IF(Main[[#This Row],[Class]]="C",WORKDAY(Main[[#This Row],[Tech Start Date]],9),IF(Main[[#This Row],[Class]]="B", WORKDAY(Main[[#This Row],[Tech Start Date]],6),IF(Main[[#This Row],[Class]]="A",WORKDAY(Main[[#This Row],[Tech Start Date]],2),""))))</f>
        <v/>
      </c>
      <c r="N784" s="77" t="str">
        <f>IF(Main[[#This Row],[Tech Start Date]]&lt;1/1/1990,"",IF(Main[[#This Row],[Class]]="C",WORKDAY(Main[[#This Row],[Tech Start Date]],19),IF(Main[[#This Row],[Class]]="B", WORKDAY(Main[[#This Row],[Tech Start Date]],12),IF(Main[[#This Row],[Class]]="A",WORKDAY(Main[[#This Row],[Tech Start Date]],4),""))))</f>
        <v/>
      </c>
      <c r="O784" s="77" t="str">
        <f>IF(Main[[#This Row],[Tech Start Date]]&lt;1/1/1990,"",IF(Main[[#This Row],[Class]]="C",WORKDAY(Main[[#This Row],[Tech Start Date]],23),IF(Main[[#This Row],[Class]]="B", WORKDAY(Main[[#This Row],[Tech Start Date]],15),IF(Main[[#This Row],[Class]]="A",WORKDAY(Main[[#This Row],[Tech Start Date]],5),""))))</f>
        <v/>
      </c>
      <c r="P784" s="77" t="str">
        <f>IF(Main[[#This Row],[Tech Start Date]]&lt;1/1/1990,"",IF(Main[[#This Row],[Class]]="C",WORKDAY(Main[[#This Row],[Tech Start Date]],28),IF(Main[[#This Row],[Class]]="B", WORKDAY(Main[[#This Row],[Tech Start Date]],19),IF(Main[[#This Row],[Class]]="A",WORKDAY(Main[[#This Row],[Tech Start Date]],9),""))))</f>
        <v/>
      </c>
      <c r="Q784" s="74">
        <v>40389</v>
      </c>
      <c r="R784" s="74"/>
      <c r="S784" s="72" t="s">
        <v>6</v>
      </c>
      <c r="T784" s="80" t="s">
        <v>4</v>
      </c>
      <c r="U784" s="72" t="s">
        <v>12</v>
      </c>
      <c r="V784" s="72" t="s">
        <v>1937</v>
      </c>
      <c r="W784" s="72" t="s">
        <v>4</v>
      </c>
      <c r="X784" s="72" t="s">
        <v>922</v>
      </c>
      <c r="Y784" s="72" t="s">
        <v>3175</v>
      </c>
      <c r="Z784" s="72" t="s">
        <v>4</v>
      </c>
    </row>
    <row r="785" spans="1:26" ht="18.600000000000001" customHeight="1">
      <c r="A785" s="142" t="str">
        <f>IF(priority(Main[[#This Row],[Comments]])&lt;&gt;0, priority(Main[[#This Row],[Comments]]),"")</f>
        <v/>
      </c>
      <c r="B785" s="90" t="s">
        <v>1599</v>
      </c>
      <c r="C785" s="72" t="s">
        <v>79</v>
      </c>
      <c r="D785" s="73" t="s">
        <v>666</v>
      </c>
      <c r="E785" s="74"/>
      <c r="F785" s="74"/>
      <c r="G785" s="75" t="str">
        <f>IF(stdProdLT(Main[[#This Row],[Comments]])=0.1,"N/A",IF(stdProdLT(Main[[#This Row],[Comments]])=0,"",stdProdLT(Main[[#This Row],[Comments]])))</f>
        <v/>
      </c>
      <c r="H785" s="76" t="str">
        <f>IF(AND(Main[[#This Row],[In Stock Date]]&lt;&gt;"",Main[[#This Row],[Revised Due Date]]&lt;&gt;""),Main[[#This Row],[In Stock Date]]-Main[[#This Row],[Revised Due Date]],"")</f>
        <v/>
      </c>
      <c r="I785" s="72" t="s">
        <v>4</v>
      </c>
      <c r="J785" s="72" t="s">
        <v>28</v>
      </c>
      <c r="K785" s="72" t="s">
        <v>4</v>
      </c>
      <c r="L785" s="74"/>
      <c r="M785" s="77" t="str">
        <f>IF(Main[[#This Row],[Tech Start Date]]&lt;1/1/1990,"",IF(Main[[#This Row],[Class]]="C",WORKDAY(Main[[#This Row],[Tech Start Date]],9),IF(Main[[#This Row],[Class]]="B", WORKDAY(Main[[#This Row],[Tech Start Date]],6),IF(Main[[#This Row],[Class]]="A",WORKDAY(Main[[#This Row],[Tech Start Date]],2),""))))</f>
        <v/>
      </c>
      <c r="N785" s="77" t="str">
        <f>IF(Main[[#This Row],[Tech Start Date]]&lt;1/1/1990,"",IF(Main[[#This Row],[Class]]="C",WORKDAY(Main[[#This Row],[Tech Start Date]],19),IF(Main[[#This Row],[Class]]="B", WORKDAY(Main[[#This Row],[Tech Start Date]],12),IF(Main[[#This Row],[Class]]="A",WORKDAY(Main[[#This Row],[Tech Start Date]],4),""))))</f>
        <v/>
      </c>
      <c r="O785" s="77" t="str">
        <f>IF(Main[[#This Row],[Tech Start Date]]&lt;1/1/1990,"",IF(Main[[#This Row],[Class]]="C",WORKDAY(Main[[#This Row],[Tech Start Date]],23),IF(Main[[#This Row],[Class]]="B", WORKDAY(Main[[#This Row],[Tech Start Date]],15),IF(Main[[#This Row],[Class]]="A",WORKDAY(Main[[#This Row],[Tech Start Date]],5),""))))</f>
        <v/>
      </c>
      <c r="P785" s="77" t="str">
        <f>IF(Main[[#This Row],[Tech Start Date]]&lt;1/1/1990,"",IF(Main[[#This Row],[Class]]="C",WORKDAY(Main[[#This Row],[Tech Start Date]],28),IF(Main[[#This Row],[Class]]="B", WORKDAY(Main[[#This Row],[Tech Start Date]],19),IF(Main[[#This Row],[Class]]="A",WORKDAY(Main[[#This Row],[Tech Start Date]],9),""))))</f>
        <v/>
      </c>
      <c r="Q785" s="74"/>
      <c r="R785" s="74"/>
      <c r="S785" s="72" t="s">
        <v>6</v>
      </c>
      <c r="T785" s="80" t="s">
        <v>667</v>
      </c>
      <c r="U785" s="72" t="s">
        <v>14</v>
      </c>
      <c r="V785" s="72" t="s">
        <v>1938</v>
      </c>
      <c r="W785" s="72" t="s">
        <v>1939</v>
      </c>
      <c r="X785" s="72" t="s">
        <v>3013</v>
      </c>
      <c r="Y785" s="72" t="s">
        <v>3163</v>
      </c>
      <c r="Z785" s="72" t="s">
        <v>108</v>
      </c>
    </row>
    <row r="786" spans="1:26" ht="18.600000000000001" customHeight="1">
      <c r="A786" s="142" t="str">
        <f>IF(priority(Main[[#This Row],[Comments]])&lt;&gt;0, priority(Main[[#This Row],[Comments]]),"")</f>
        <v/>
      </c>
      <c r="B786" s="90" t="s">
        <v>1193</v>
      </c>
      <c r="C786" s="72" t="s">
        <v>4</v>
      </c>
      <c r="D786" s="73" t="s">
        <v>1016</v>
      </c>
      <c r="E786" s="74">
        <v>40718.691643518519</v>
      </c>
      <c r="F786" s="74"/>
      <c r="G786" s="75" t="str">
        <f>IF(stdProdLT(Main[[#This Row],[Comments]])=0.1,"N/A",IF(stdProdLT(Main[[#This Row],[Comments]])=0,"",stdProdLT(Main[[#This Row],[Comments]])))</f>
        <v/>
      </c>
      <c r="H786" s="76" t="str">
        <f>IF(AND(Main[[#This Row],[In Stock Date]]&lt;&gt;"",Main[[#This Row],[Revised Due Date]]&lt;&gt;""),Main[[#This Row],[In Stock Date]]-Main[[#This Row],[Revised Due Date]],"")</f>
        <v/>
      </c>
      <c r="I786" s="72" t="s">
        <v>131</v>
      </c>
      <c r="J786" s="72" t="s">
        <v>70</v>
      </c>
      <c r="K786" s="72" t="s">
        <v>1946</v>
      </c>
      <c r="L786" s="74"/>
      <c r="M786" s="77" t="str">
        <f>IF(Main[[#This Row],[Tech Start Date]]&lt;1/1/1990,"",IF(Main[[#This Row],[Class]]="C",WORKDAY(Main[[#This Row],[Tech Start Date]],9),IF(Main[[#This Row],[Class]]="B", WORKDAY(Main[[#This Row],[Tech Start Date]],6),IF(Main[[#This Row],[Class]]="A",WORKDAY(Main[[#This Row],[Tech Start Date]],2),""))))</f>
        <v/>
      </c>
      <c r="N786" s="77" t="str">
        <f>IF(Main[[#This Row],[Tech Start Date]]&lt;1/1/1990,"",IF(Main[[#This Row],[Class]]="C",WORKDAY(Main[[#This Row],[Tech Start Date]],19),IF(Main[[#This Row],[Class]]="B", WORKDAY(Main[[#This Row],[Tech Start Date]],12),IF(Main[[#This Row],[Class]]="A",WORKDAY(Main[[#This Row],[Tech Start Date]],4),""))))</f>
        <v/>
      </c>
      <c r="O786" s="77" t="str">
        <f>IF(Main[[#This Row],[Tech Start Date]]&lt;1/1/1990,"",IF(Main[[#This Row],[Class]]="C",WORKDAY(Main[[#This Row],[Tech Start Date]],23),IF(Main[[#This Row],[Class]]="B", WORKDAY(Main[[#This Row],[Tech Start Date]],15),IF(Main[[#This Row],[Class]]="A",WORKDAY(Main[[#This Row],[Tech Start Date]],5),""))))</f>
        <v/>
      </c>
      <c r="P786" s="77" t="str">
        <f>IF(Main[[#This Row],[Tech Start Date]]&lt;1/1/1990,"",IF(Main[[#This Row],[Class]]="C",WORKDAY(Main[[#This Row],[Tech Start Date]],28),IF(Main[[#This Row],[Class]]="B", WORKDAY(Main[[#This Row],[Tech Start Date]],19),IF(Main[[#This Row],[Class]]="A",WORKDAY(Main[[#This Row],[Tech Start Date]],9),""))))</f>
        <v/>
      </c>
      <c r="Q786" s="74">
        <v>40753</v>
      </c>
      <c r="R786" s="74"/>
      <c r="S786" s="72" t="s">
        <v>6</v>
      </c>
      <c r="T786" s="80" t="s">
        <v>4</v>
      </c>
      <c r="U786" s="72" t="s">
        <v>29</v>
      </c>
      <c r="V786" s="72" t="s">
        <v>1940</v>
      </c>
      <c r="W786" s="72" t="s">
        <v>1941</v>
      </c>
      <c r="X786" s="72" t="s">
        <v>2971</v>
      </c>
      <c r="Y786" s="72" t="s">
        <v>3090</v>
      </c>
      <c r="Z786" s="72" t="s">
        <v>44</v>
      </c>
    </row>
    <row r="787" spans="1:26" ht="18.600000000000001" customHeight="1">
      <c r="A787" s="142" t="str">
        <f>IF(priority(Main[[#This Row],[Comments]])&lt;&gt;0, priority(Main[[#This Row],[Comments]]),"")</f>
        <v/>
      </c>
      <c r="B787" s="90" t="s">
        <v>1575</v>
      </c>
      <c r="C787" s="72" t="s">
        <v>214</v>
      </c>
      <c r="D787" s="73" t="s">
        <v>419</v>
      </c>
      <c r="E787" s="74"/>
      <c r="F787" s="74">
        <v>40452</v>
      </c>
      <c r="G787" s="75" t="str">
        <f>IF(stdProdLT(Main[[#This Row],[Comments]])=0.1,"N/A",IF(stdProdLT(Main[[#This Row],[Comments]])=0,"",stdProdLT(Main[[#This Row],[Comments]])))</f>
        <v/>
      </c>
      <c r="H787" s="76" t="str">
        <f>IF(AND(Main[[#This Row],[In Stock Date]]&lt;&gt;"",Main[[#This Row],[Revised Due Date]]&lt;&gt;""),Main[[#This Row],[In Stock Date]]-Main[[#This Row],[Revised Due Date]],"")</f>
        <v/>
      </c>
      <c r="I787" s="72" t="s">
        <v>4</v>
      </c>
      <c r="J787" s="72" t="s">
        <v>4</v>
      </c>
      <c r="K787" s="72" t="s">
        <v>4</v>
      </c>
      <c r="L787" s="74"/>
      <c r="M787" s="77" t="str">
        <f>IF(Main[[#This Row],[Tech Start Date]]&lt;1/1/1990,"",IF(Main[[#This Row],[Class]]="C",WORKDAY(Main[[#This Row],[Tech Start Date]],9),IF(Main[[#This Row],[Class]]="B", WORKDAY(Main[[#This Row],[Tech Start Date]],6),IF(Main[[#This Row],[Class]]="A",WORKDAY(Main[[#This Row],[Tech Start Date]],2),""))))</f>
        <v/>
      </c>
      <c r="N787" s="77" t="str">
        <f>IF(Main[[#This Row],[Tech Start Date]]&lt;1/1/1990,"",IF(Main[[#This Row],[Class]]="C",WORKDAY(Main[[#This Row],[Tech Start Date]],19),IF(Main[[#This Row],[Class]]="B", WORKDAY(Main[[#This Row],[Tech Start Date]],12),IF(Main[[#This Row],[Class]]="A",WORKDAY(Main[[#This Row],[Tech Start Date]],4),""))))</f>
        <v/>
      </c>
      <c r="O787" s="77" t="str">
        <f>IF(Main[[#This Row],[Tech Start Date]]&lt;1/1/1990,"",IF(Main[[#This Row],[Class]]="C",WORKDAY(Main[[#This Row],[Tech Start Date]],23),IF(Main[[#This Row],[Class]]="B", WORKDAY(Main[[#This Row],[Tech Start Date]],15),IF(Main[[#This Row],[Class]]="A",WORKDAY(Main[[#This Row],[Tech Start Date]],5),""))))</f>
        <v/>
      </c>
      <c r="P787" s="77" t="str">
        <f>IF(Main[[#This Row],[Tech Start Date]]&lt;1/1/1990,"",IF(Main[[#This Row],[Class]]="C",WORKDAY(Main[[#This Row],[Tech Start Date]],28),IF(Main[[#This Row],[Class]]="B", WORKDAY(Main[[#This Row],[Tech Start Date]],19),IF(Main[[#This Row],[Class]]="A",WORKDAY(Main[[#This Row],[Tech Start Date]],9),""))))</f>
        <v/>
      </c>
      <c r="Q787" s="74">
        <v>40357</v>
      </c>
      <c r="R787" s="74"/>
      <c r="S787" s="72" t="s">
        <v>11</v>
      </c>
      <c r="T787" s="80" t="s">
        <v>4</v>
      </c>
      <c r="U787" s="72" t="s">
        <v>12</v>
      </c>
      <c r="V787" s="72" t="s">
        <v>1937</v>
      </c>
      <c r="W787" s="72" t="s">
        <v>1945</v>
      </c>
      <c r="X787" s="72" t="s">
        <v>2985</v>
      </c>
      <c r="Y787" s="72" t="s">
        <v>4</v>
      </c>
      <c r="Z787" s="72" t="s">
        <v>4</v>
      </c>
    </row>
    <row r="788" spans="1:26" ht="18.600000000000001" customHeight="1">
      <c r="A788" s="142" t="str">
        <f>IF(priority(Main[[#This Row],[Comments]])&lt;&gt;0, priority(Main[[#This Row],[Comments]]),"")</f>
        <v/>
      </c>
      <c r="B788" s="90" t="s">
        <v>2011</v>
      </c>
      <c r="C788" s="72" t="s">
        <v>4</v>
      </c>
      <c r="D788" s="73" t="s">
        <v>2420</v>
      </c>
      <c r="E788" s="74"/>
      <c r="F788" s="74"/>
      <c r="G788" s="75" t="str">
        <f>IF(stdProdLT(Main[[#This Row],[Comments]])=0.1,"N/A",IF(stdProdLT(Main[[#This Row],[Comments]])=0,"",stdProdLT(Main[[#This Row],[Comments]])))</f>
        <v/>
      </c>
      <c r="H788" s="76" t="str">
        <f>IF(AND(Main[[#This Row],[In Stock Date]]&lt;&gt;"",Main[[#This Row],[Revised Due Date]]&lt;&gt;""),Main[[#This Row],[In Stock Date]]-Main[[#This Row],[Revised Due Date]],"")</f>
        <v/>
      </c>
      <c r="I788" s="72" t="s">
        <v>4</v>
      </c>
      <c r="J788" s="72" t="s">
        <v>4</v>
      </c>
      <c r="K788" s="72" t="s">
        <v>4</v>
      </c>
      <c r="L788" s="74"/>
      <c r="M788" s="77" t="str">
        <f>IF(Main[[#This Row],[Tech Start Date]]&lt;1/1/1990,"",IF(Main[[#This Row],[Class]]="C",WORKDAY(Main[[#This Row],[Tech Start Date]],9),IF(Main[[#This Row],[Class]]="B", WORKDAY(Main[[#This Row],[Tech Start Date]],6),IF(Main[[#This Row],[Class]]="A",WORKDAY(Main[[#This Row],[Tech Start Date]],2),""))))</f>
        <v/>
      </c>
      <c r="N788" s="77" t="str">
        <f>IF(Main[[#This Row],[Tech Start Date]]&lt;1/1/1990,"",IF(Main[[#This Row],[Class]]="C",WORKDAY(Main[[#This Row],[Tech Start Date]],19),IF(Main[[#This Row],[Class]]="B", WORKDAY(Main[[#This Row],[Tech Start Date]],12),IF(Main[[#This Row],[Class]]="A",WORKDAY(Main[[#This Row],[Tech Start Date]],4),""))))</f>
        <v/>
      </c>
      <c r="O788" s="77" t="str">
        <f>IF(Main[[#This Row],[Tech Start Date]]&lt;1/1/1990,"",IF(Main[[#This Row],[Class]]="C",WORKDAY(Main[[#This Row],[Tech Start Date]],23),IF(Main[[#This Row],[Class]]="B", WORKDAY(Main[[#This Row],[Tech Start Date]],15),IF(Main[[#This Row],[Class]]="A",WORKDAY(Main[[#This Row],[Tech Start Date]],5),""))))</f>
        <v/>
      </c>
      <c r="P788" s="77" t="str">
        <f>IF(Main[[#This Row],[Tech Start Date]]&lt;1/1/1990,"",IF(Main[[#This Row],[Class]]="C",WORKDAY(Main[[#This Row],[Tech Start Date]],28),IF(Main[[#This Row],[Class]]="B", WORKDAY(Main[[#This Row],[Tech Start Date]],19),IF(Main[[#This Row],[Class]]="A",WORKDAY(Main[[#This Row],[Tech Start Date]],9),""))))</f>
        <v/>
      </c>
      <c r="Q788" s="74"/>
      <c r="R788" s="74"/>
      <c r="S788" s="72" t="s">
        <v>6</v>
      </c>
      <c r="T788" s="80" t="s">
        <v>4</v>
      </c>
      <c r="U788" s="72" t="s">
        <v>14</v>
      </c>
      <c r="V788" s="72" t="s">
        <v>1937</v>
      </c>
      <c r="W788" s="72" t="s">
        <v>1941</v>
      </c>
      <c r="X788" s="72" t="s">
        <v>937</v>
      </c>
      <c r="Y788" s="72" t="s">
        <v>3140</v>
      </c>
      <c r="Z788" s="72" t="s">
        <v>4</v>
      </c>
    </row>
    <row r="789" spans="1:26" ht="18.600000000000001" customHeight="1">
      <c r="A789" s="142" t="str">
        <f>IF(priority(Main[[#This Row],[Comments]])&lt;&gt;0, priority(Main[[#This Row],[Comments]]),"")</f>
        <v/>
      </c>
      <c r="B789" s="90" t="s">
        <v>1576</v>
      </c>
      <c r="C789" s="72" t="s">
        <v>4</v>
      </c>
      <c r="D789" s="73" t="s">
        <v>643</v>
      </c>
      <c r="E789" s="74">
        <v>40413.550520833334</v>
      </c>
      <c r="F789" s="74"/>
      <c r="G789" s="75" t="str">
        <f>IF(stdProdLT(Main[[#This Row],[Comments]])=0.1,"N/A",IF(stdProdLT(Main[[#This Row],[Comments]])=0,"",stdProdLT(Main[[#This Row],[Comments]])))</f>
        <v/>
      </c>
      <c r="H789" s="76" t="str">
        <f>IF(AND(Main[[#This Row],[In Stock Date]]&lt;&gt;"",Main[[#This Row],[Revised Due Date]]&lt;&gt;""),Main[[#This Row],[In Stock Date]]-Main[[#This Row],[Revised Due Date]],"")</f>
        <v/>
      </c>
      <c r="I789" s="72" t="s">
        <v>4</v>
      </c>
      <c r="J789" s="72" t="s">
        <v>28</v>
      </c>
      <c r="K789" s="72" t="s">
        <v>4</v>
      </c>
      <c r="L789" s="74"/>
      <c r="M789" s="77" t="str">
        <f>IF(Main[[#This Row],[Tech Start Date]]&lt;1/1/1990,"",IF(Main[[#This Row],[Class]]="C",WORKDAY(Main[[#This Row],[Tech Start Date]],9),IF(Main[[#This Row],[Class]]="B", WORKDAY(Main[[#This Row],[Tech Start Date]],6),IF(Main[[#This Row],[Class]]="A",WORKDAY(Main[[#This Row],[Tech Start Date]],2),""))))</f>
        <v/>
      </c>
      <c r="N789" s="77" t="str">
        <f>IF(Main[[#This Row],[Tech Start Date]]&lt;1/1/1990,"",IF(Main[[#This Row],[Class]]="C",WORKDAY(Main[[#This Row],[Tech Start Date]],19),IF(Main[[#This Row],[Class]]="B", WORKDAY(Main[[#This Row],[Tech Start Date]],12),IF(Main[[#This Row],[Class]]="A",WORKDAY(Main[[#This Row],[Tech Start Date]],4),""))))</f>
        <v/>
      </c>
      <c r="O789" s="77" t="str">
        <f>IF(Main[[#This Row],[Tech Start Date]]&lt;1/1/1990,"",IF(Main[[#This Row],[Class]]="C",WORKDAY(Main[[#This Row],[Tech Start Date]],23),IF(Main[[#This Row],[Class]]="B", WORKDAY(Main[[#This Row],[Tech Start Date]],15),IF(Main[[#This Row],[Class]]="A",WORKDAY(Main[[#This Row],[Tech Start Date]],5),""))))</f>
        <v/>
      </c>
      <c r="P789" s="77" t="str">
        <f>IF(Main[[#This Row],[Tech Start Date]]&lt;1/1/1990,"",IF(Main[[#This Row],[Class]]="C",WORKDAY(Main[[#This Row],[Tech Start Date]],28),IF(Main[[#This Row],[Class]]="B", WORKDAY(Main[[#This Row],[Tech Start Date]],19),IF(Main[[#This Row],[Class]]="A",WORKDAY(Main[[#This Row],[Tech Start Date]],9),""))))</f>
        <v/>
      </c>
      <c r="Q789" s="74">
        <v>40451</v>
      </c>
      <c r="R789" s="74"/>
      <c r="S789" s="72" t="s">
        <v>6</v>
      </c>
      <c r="T789" s="80" t="s">
        <v>4</v>
      </c>
      <c r="U789" s="72" t="s">
        <v>7</v>
      </c>
      <c r="V789" s="72" t="s">
        <v>1937</v>
      </c>
      <c r="W789" s="72" t="s">
        <v>1939</v>
      </c>
      <c r="X789" s="72" t="s">
        <v>3039</v>
      </c>
      <c r="Y789" s="72" t="s">
        <v>3201</v>
      </c>
      <c r="Z789" s="72" t="s">
        <v>129</v>
      </c>
    </row>
    <row r="790" spans="1:26" ht="18.600000000000001" customHeight="1">
      <c r="A790" s="142" t="str">
        <f>IF(priority(Main[[#This Row],[Comments]])&lt;&gt;0, priority(Main[[#This Row],[Comments]]),"")</f>
        <v/>
      </c>
      <c r="B790" s="90" t="s">
        <v>1361</v>
      </c>
      <c r="C790" s="72" t="s">
        <v>4</v>
      </c>
      <c r="D790" s="73" t="s">
        <v>2044</v>
      </c>
      <c r="E790" s="74"/>
      <c r="F790" s="74"/>
      <c r="G790" s="75" t="str">
        <f>IF(stdProdLT(Main[[#This Row],[Comments]])=0.1,"N/A",IF(stdProdLT(Main[[#This Row],[Comments]])=0,"",stdProdLT(Main[[#This Row],[Comments]])))</f>
        <v/>
      </c>
      <c r="H790" s="76" t="str">
        <f>IF(AND(Main[[#This Row],[In Stock Date]]&lt;&gt;"",Main[[#This Row],[Revised Due Date]]&lt;&gt;""),Main[[#This Row],[In Stock Date]]-Main[[#This Row],[Revised Due Date]],"")</f>
        <v/>
      </c>
      <c r="I790" s="72" t="s">
        <v>435</v>
      </c>
      <c r="J790" s="72" t="s">
        <v>70</v>
      </c>
      <c r="K790" s="72" t="s">
        <v>1946</v>
      </c>
      <c r="L790" s="74"/>
      <c r="M790" s="77" t="str">
        <f>IF(Main[[#This Row],[Tech Start Date]]&lt;1/1/1990,"",IF(Main[[#This Row],[Class]]="C",WORKDAY(Main[[#This Row],[Tech Start Date]],9),IF(Main[[#This Row],[Class]]="B", WORKDAY(Main[[#This Row],[Tech Start Date]],6),IF(Main[[#This Row],[Class]]="A",WORKDAY(Main[[#This Row],[Tech Start Date]],2),""))))</f>
        <v/>
      </c>
      <c r="N790" s="77" t="str">
        <f>IF(Main[[#This Row],[Tech Start Date]]&lt;1/1/1990,"",IF(Main[[#This Row],[Class]]="C",WORKDAY(Main[[#This Row],[Tech Start Date]],19),IF(Main[[#This Row],[Class]]="B", WORKDAY(Main[[#This Row],[Tech Start Date]],12),IF(Main[[#This Row],[Class]]="A",WORKDAY(Main[[#This Row],[Tech Start Date]],4),""))))</f>
        <v/>
      </c>
      <c r="O790" s="77" t="str">
        <f>IF(Main[[#This Row],[Tech Start Date]]&lt;1/1/1990,"",IF(Main[[#This Row],[Class]]="C",WORKDAY(Main[[#This Row],[Tech Start Date]],23),IF(Main[[#This Row],[Class]]="B", WORKDAY(Main[[#This Row],[Tech Start Date]],15),IF(Main[[#This Row],[Class]]="A",WORKDAY(Main[[#This Row],[Tech Start Date]],5),""))))</f>
        <v/>
      </c>
      <c r="P790" s="77" t="str">
        <f>IF(Main[[#This Row],[Tech Start Date]]&lt;1/1/1990,"",IF(Main[[#This Row],[Class]]="C",WORKDAY(Main[[#This Row],[Tech Start Date]],28),IF(Main[[#This Row],[Class]]="B", WORKDAY(Main[[#This Row],[Tech Start Date]],19),IF(Main[[#This Row],[Class]]="A",WORKDAY(Main[[#This Row],[Tech Start Date]],9),""))))</f>
        <v/>
      </c>
      <c r="Q790" s="74">
        <v>40717</v>
      </c>
      <c r="R790" s="74"/>
      <c r="S790" s="72" t="s">
        <v>6</v>
      </c>
      <c r="T790" s="80" t="s">
        <v>4</v>
      </c>
      <c r="U790" s="72" t="s">
        <v>14</v>
      </c>
      <c r="V790" s="72" t="s">
        <v>1940</v>
      </c>
      <c r="W790" s="72" t="s">
        <v>1941</v>
      </c>
      <c r="X790" s="72" t="s">
        <v>2974</v>
      </c>
      <c r="Y790" s="72" t="s">
        <v>3096</v>
      </c>
      <c r="Z790" s="72" t="s">
        <v>30</v>
      </c>
    </row>
    <row r="791" spans="1:26" ht="18.600000000000001" customHeight="1">
      <c r="A791" s="142" t="str">
        <f>IF(priority(Main[[#This Row],[Comments]])&lt;&gt;0, priority(Main[[#This Row],[Comments]]),"")</f>
        <v/>
      </c>
      <c r="B791" s="90" t="s">
        <v>1578</v>
      </c>
      <c r="C791" s="72" t="s">
        <v>183</v>
      </c>
      <c r="D791" s="73" t="s">
        <v>644</v>
      </c>
      <c r="E791" s="74"/>
      <c r="F791" s="74">
        <v>40389</v>
      </c>
      <c r="G791" s="75" t="str">
        <f>IF(stdProdLT(Main[[#This Row],[Comments]])=0.1,"N/A",IF(stdProdLT(Main[[#This Row],[Comments]])=0,"",stdProdLT(Main[[#This Row],[Comments]])))</f>
        <v/>
      </c>
      <c r="H791" s="76" t="str">
        <f>IF(AND(Main[[#This Row],[In Stock Date]]&lt;&gt;"",Main[[#This Row],[Revised Due Date]]&lt;&gt;""),Main[[#This Row],[In Stock Date]]-Main[[#This Row],[Revised Due Date]],"")</f>
        <v/>
      </c>
      <c r="I791" s="72" t="s">
        <v>4</v>
      </c>
      <c r="J791" s="72" t="s">
        <v>4</v>
      </c>
      <c r="K791" s="72" t="s">
        <v>4</v>
      </c>
      <c r="L791" s="74"/>
      <c r="M791" s="77" t="str">
        <f>IF(Main[[#This Row],[Tech Start Date]]&lt;1/1/1990,"",IF(Main[[#This Row],[Class]]="C",WORKDAY(Main[[#This Row],[Tech Start Date]],9),IF(Main[[#This Row],[Class]]="B", WORKDAY(Main[[#This Row],[Tech Start Date]],6),IF(Main[[#This Row],[Class]]="A",WORKDAY(Main[[#This Row],[Tech Start Date]],2),""))))</f>
        <v/>
      </c>
      <c r="N791" s="77" t="str">
        <f>IF(Main[[#This Row],[Tech Start Date]]&lt;1/1/1990,"",IF(Main[[#This Row],[Class]]="C",WORKDAY(Main[[#This Row],[Tech Start Date]],19),IF(Main[[#This Row],[Class]]="B", WORKDAY(Main[[#This Row],[Tech Start Date]],12),IF(Main[[#This Row],[Class]]="A",WORKDAY(Main[[#This Row],[Tech Start Date]],4),""))))</f>
        <v/>
      </c>
      <c r="O791" s="77" t="str">
        <f>IF(Main[[#This Row],[Tech Start Date]]&lt;1/1/1990,"",IF(Main[[#This Row],[Class]]="C",WORKDAY(Main[[#This Row],[Tech Start Date]],23),IF(Main[[#This Row],[Class]]="B", WORKDAY(Main[[#This Row],[Tech Start Date]],15),IF(Main[[#This Row],[Class]]="A",WORKDAY(Main[[#This Row],[Tech Start Date]],5),""))))</f>
        <v/>
      </c>
      <c r="P791" s="77" t="str">
        <f>IF(Main[[#This Row],[Tech Start Date]]&lt;1/1/1990,"",IF(Main[[#This Row],[Class]]="C",WORKDAY(Main[[#This Row],[Tech Start Date]],28),IF(Main[[#This Row],[Class]]="B", WORKDAY(Main[[#This Row],[Tech Start Date]],19),IF(Main[[#This Row],[Class]]="A",WORKDAY(Main[[#This Row],[Tech Start Date]],9),""))))</f>
        <v/>
      </c>
      <c r="Q791" s="74">
        <v>40298</v>
      </c>
      <c r="R791" s="74"/>
      <c r="S791" s="72" t="s">
        <v>11</v>
      </c>
      <c r="T791" s="80" t="s">
        <v>4</v>
      </c>
      <c r="U791" s="72" t="s">
        <v>12</v>
      </c>
      <c r="V791" s="72" t="s">
        <v>1937</v>
      </c>
      <c r="W791" s="72" t="s">
        <v>1943</v>
      </c>
      <c r="X791" s="72" t="s">
        <v>2976</v>
      </c>
      <c r="Y791" s="72" t="s">
        <v>3101</v>
      </c>
      <c r="Z791" s="72" t="s">
        <v>4</v>
      </c>
    </row>
    <row r="792" spans="1:26" ht="18.600000000000001" customHeight="1">
      <c r="A792" s="142" t="str">
        <f>IF(priority(Main[[#This Row],[Comments]])&lt;&gt;0, priority(Main[[#This Row],[Comments]]),"")</f>
        <v/>
      </c>
      <c r="B792" s="90" t="s">
        <v>1579</v>
      </c>
      <c r="C792" s="72" t="s">
        <v>295</v>
      </c>
      <c r="D792" s="73" t="s">
        <v>645</v>
      </c>
      <c r="E792" s="74"/>
      <c r="F792" s="74"/>
      <c r="G792" s="75" t="str">
        <f>IF(stdProdLT(Main[[#This Row],[Comments]])=0.1,"N/A",IF(stdProdLT(Main[[#This Row],[Comments]])=0,"",stdProdLT(Main[[#This Row],[Comments]])))</f>
        <v/>
      </c>
      <c r="H792" s="76" t="str">
        <f>IF(AND(Main[[#This Row],[In Stock Date]]&lt;&gt;"",Main[[#This Row],[Revised Due Date]]&lt;&gt;""),Main[[#This Row],[In Stock Date]]-Main[[#This Row],[Revised Due Date]],"")</f>
        <v/>
      </c>
      <c r="I792" s="72" t="s">
        <v>4</v>
      </c>
      <c r="J792" s="72" t="s">
        <v>4</v>
      </c>
      <c r="K792" s="72" t="s">
        <v>4</v>
      </c>
      <c r="L792" s="74"/>
      <c r="M792" s="77" t="str">
        <f>IF(Main[[#This Row],[Tech Start Date]]&lt;1/1/1990,"",IF(Main[[#This Row],[Class]]="C",WORKDAY(Main[[#This Row],[Tech Start Date]],9),IF(Main[[#This Row],[Class]]="B", WORKDAY(Main[[#This Row],[Tech Start Date]],6),IF(Main[[#This Row],[Class]]="A",WORKDAY(Main[[#This Row],[Tech Start Date]],2),""))))</f>
        <v/>
      </c>
      <c r="N792" s="77" t="str">
        <f>IF(Main[[#This Row],[Tech Start Date]]&lt;1/1/1990,"",IF(Main[[#This Row],[Class]]="C",WORKDAY(Main[[#This Row],[Tech Start Date]],19),IF(Main[[#This Row],[Class]]="B", WORKDAY(Main[[#This Row],[Tech Start Date]],12),IF(Main[[#This Row],[Class]]="A",WORKDAY(Main[[#This Row],[Tech Start Date]],4),""))))</f>
        <v/>
      </c>
      <c r="O792" s="77" t="str">
        <f>IF(Main[[#This Row],[Tech Start Date]]&lt;1/1/1990,"",IF(Main[[#This Row],[Class]]="C",WORKDAY(Main[[#This Row],[Tech Start Date]],23),IF(Main[[#This Row],[Class]]="B", WORKDAY(Main[[#This Row],[Tech Start Date]],15),IF(Main[[#This Row],[Class]]="A",WORKDAY(Main[[#This Row],[Tech Start Date]],5),""))))</f>
        <v/>
      </c>
      <c r="P792" s="77" t="str">
        <f>IF(Main[[#This Row],[Tech Start Date]]&lt;1/1/1990,"",IF(Main[[#This Row],[Class]]="C",WORKDAY(Main[[#This Row],[Tech Start Date]],28),IF(Main[[#This Row],[Class]]="B", WORKDAY(Main[[#This Row],[Tech Start Date]],19),IF(Main[[#This Row],[Class]]="A",WORKDAY(Main[[#This Row],[Tech Start Date]],9),""))))</f>
        <v/>
      </c>
      <c r="Q792" s="74">
        <v>40052</v>
      </c>
      <c r="R792" s="74"/>
      <c r="S792" s="72" t="s">
        <v>11</v>
      </c>
      <c r="T792" s="80" t="s">
        <v>4</v>
      </c>
      <c r="U792" s="72" t="s">
        <v>14</v>
      </c>
      <c r="V792" s="72" t="s">
        <v>1940</v>
      </c>
      <c r="W792" s="72" t="s">
        <v>1939</v>
      </c>
      <c r="X792" s="72" t="s">
        <v>2986</v>
      </c>
      <c r="Y792" s="72" t="s">
        <v>4</v>
      </c>
      <c r="Z792" s="72" t="s">
        <v>4</v>
      </c>
    </row>
    <row r="793" spans="1:26" ht="18.600000000000001" customHeight="1">
      <c r="A793" s="142" t="str">
        <f>IF(priority(Main[[#This Row],[Comments]])&lt;&gt;0, priority(Main[[#This Row],[Comments]]),"")</f>
        <v/>
      </c>
      <c r="B793" s="90" t="s">
        <v>1580</v>
      </c>
      <c r="C793" s="72" t="s">
        <v>93</v>
      </c>
      <c r="D793" s="73" t="s">
        <v>646</v>
      </c>
      <c r="E793" s="74"/>
      <c r="F793" s="74">
        <v>40132</v>
      </c>
      <c r="G793" s="75" t="str">
        <f>IF(stdProdLT(Main[[#This Row],[Comments]])=0.1,"N/A",IF(stdProdLT(Main[[#This Row],[Comments]])=0,"",stdProdLT(Main[[#This Row],[Comments]])))</f>
        <v/>
      </c>
      <c r="H793" s="76" t="str">
        <f>IF(AND(Main[[#This Row],[In Stock Date]]&lt;&gt;"",Main[[#This Row],[Revised Due Date]]&lt;&gt;""),Main[[#This Row],[In Stock Date]]-Main[[#This Row],[Revised Due Date]],"")</f>
        <v/>
      </c>
      <c r="I793" s="72" t="s">
        <v>4</v>
      </c>
      <c r="J793" s="72" t="s">
        <v>4</v>
      </c>
      <c r="K793" s="81" t="s">
        <v>4</v>
      </c>
      <c r="L793" s="74"/>
      <c r="M793" s="77" t="str">
        <f>IF(Main[[#This Row],[Tech Start Date]]&lt;1/1/1990,"",IF(Main[[#This Row],[Class]]="C",WORKDAY(Main[[#This Row],[Tech Start Date]],9),IF(Main[[#This Row],[Class]]="B", WORKDAY(Main[[#This Row],[Tech Start Date]],6),IF(Main[[#This Row],[Class]]="A",WORKDAY(Main[[#This Row],[Tech Start Date]],2),""))))</f>
        <v/>
      </c>
      <c r="N793" s="77" t="str">
        <f>IF(Main[[#This Row],[Tech Start Date]]&lt;1/1/1990,"",IF(Main[[#This Row],[Class]]="C",WORKDAY(Main[[#This Row],[Tech Start Date]],19),IF(Main[[#This Row],[Class]]="B", WORKDAY(Main[[#This Row],[Tech Start Date]],12),IF(Main[[#This Row],[Class]]="A",WORKDAY(Main[[#This Row],[Tech Start Date]],4),""))))</f>
        <v/>
      </c>
      <c r="O793" s="77" t="str">
        <f>IF(Main[[#This Row],[Tech Start Date]]&lt;1/1/1990,"",IF(Main[[#This Row],[Class]]="C",WORKDAY(Main[[#This Row],[Tech Start Date]],23),IF(Main[[#This Row],[Class]]="B", WORKDAY(Main[[#This Row],[Tech Start Date]],15),IF(Main[[#This Row],[Class]]="A",WORKDAY(Main[[#This Row],[Tech Start Date]],5),""))))</f>
        <v/>
      </c>
      <c r="P793" s="77" t="str">
        <f>IF(Main[[#This Row],[Tech Start Date]]&lt;1/1/1990,"",IF(Main[[#This Row],[Class]]="C",WORKDAY(Main[[#This Row],[Tech Start Date]],28),IF(Main[[#This Row],[Class]]="B", WORKDAY(Main[[#This Row],[Tech Start Date]],19),IF(Main[[#This Row],[Class]]="A",WORKDAY(Main[[#This Row],[Tech Start Date]],9),""))))</f>
        <v/>
      </c>
      <c r="Q793" s="74">
        <v>40132</v>
      </c>
      <c r="R793" s="74"/>
      <c r="S793" s="72" t="s">
        <v>11</v>
      </c>
      <c r="T793" s="80" t="s">
        <v>4</v>
      </c>
      <c r="U793" s="72" t="s">
        <v>14</v>
      </c>
      <c r="V793" s="72" t="s">
        <v>1940</v>
      </c>
      <c r="W793" s="72" t="s">
        <v>1948</v>
      </c>
      <c r="X793" s="72" t="s">
        <v>3008</v>
      </c>
      <c r="Y793" s="72" t="s">
        <v>4</v>
      </c>
      <c r="Z793" s="72" t="s">
        <v>4</v>
      </c>
    </row>
    <row r="794" spans="1:26" ht="18.600000000000001" customHeight="1">
      <c r="A794" s="142" t="str">
        <f>IF(priority(Main[[#This Row],[Comments]])&lt;&gt;0, priority(Main[[#This Row],[Comments]]),"")</f>
        <v/>
      </c>
      <c r="B794" s="90" t="s">
        <v>1581</v>
      </c>
      <c r="C794" s="72" t="s">
        <v>4</v>
      </c>
      <c r="D794" s="73" t="s">
        <v>647</v>
      </c>
      <c r="E794" s="74"/>
      <c r="F794" s="74">
        <v>40602</v>
      </c>
      <c r="G794" s="75" t="str">
        <f>IF(stdProdLT(Main[[#This Row],[Comments]])=0.1,"N/A",IF(stdProdLT(Main[[#This Row],[Comments]])=0,"",stdProdLT(Main[[#This Row],[Comments]])))</f>
        <v/>
      </c>
      <c r="H794" s="76" t="str">
        <f>IF(AND(Main[[#This Row],[In Stock Date]]&lt;&gt;"",Main[[#This Row],[Revised Due Date]]&lt;&gt;""),Main[[#This Row],[In Stock Date]]-Main[[#This Row],[Revised Due Date]],"")</f>
        <v/>
      </c>
      <c r="I794" s="72" t="s">
        <v>404</v>
      </c>
      <c r="J794" s="72" t="s">
        <v>75</v>
      </c>
      <c r="K794" s="81" t="s">
        <v>1946</v>
      </c>
      <c r="L794" s="74"/>
      <c r="M794" s="77" t="str">
        <f>IF(Main[[#This Row],[Tech Start Date]]&lt;1/1/1990,"",IF(Main[[#This Row],[Class]]="C",WORKDAY(Main[[#This Row],[Tech Start Date]],9),IF(Main[[#This Row],[Class]]="B", WORKDAY(Main[[#This Row],[Tech Start Date]],6),IF(Main[[#This Row],[Class]]="A",WORKDAY(Main[[#This Row],[Tech Start Date]],2),""))))</f>
        <v/>
      </c>
      <c r="N794" s="77" t="str">
        <f>IF(Main[[#This Row],[Tech Start Date]]&lt;1/1/1990,"",IF(Main[[#This Row],[Class]]="C",WORKDAY(Main[[#This Row],[Tech Start Date]],19),IF(Main[[#This Row],[Class]]="B", WORKDAY(Main[[#This Row],[Tech Start Date]],12),IF(Main[[#This Row],[Class]]="A",WORKDAY(Main[[#This Row],[Tech Start Date]],4),""))))</f>
        <v/>
      </c>
      <c r="O794" s="77" t="str">
        <f>IF(Main[[#This Row],[Tech Start Date]]&lt;1/1/1990,"",IF(Main[[#This Row],[Class]]="C",WORKDAY(Main[[#This Row],[Tech Start Date]],23),IF(Main[[#This Row],[Class]]="B", WORKDAY(Main[[#This Row],[Tech Start Date]],15),IF(Main[[#This Row],[Class]]="A",WORKDAY(Main[[#This Row],[Tech Start Date]],5),""))))</f>
        <v/>
      </c>
      <c r="P794" s="77" t="str">
        <f>IF(Main[[#This Row],[Tech Start Date]]&lt;1/1/1990,"",IF(Main[[#This Row],[Class]]="C",WORKDAY(Main[[#This Row],[Tech Start Date]],28),IF(Main[[#This Row],[Class]]="B", WORKDAY(Main[[#This Row],[Tech Start Date]],19),IF(Main[[#This Row],[Class]]="A",WORKDAY(Main[[#This Row],[Tech Start Date]],9),""))))</f>
        <v/>
      </c>
      <c r="Q794" s="74"/>
      <c r="R794" s="74"/>
      <c r="S794" s="72" t="s">
        <v>11</v>
      </c>
      <c r="T794" s="80" t="s">
        <v>4</v>
      </c>
      <c r="U794" s="72" t="s">
        <v>14</v>
      </c>
      <c r="V794" s="72" t="s">
        <v>1940</v>
      </c>
      <c r="W794" s="72" t="s">
        <v>1943</v>
      </c>
      <c r="X794" s="72" t="s">
        <v>50</v>
      </c>
      <c r="Y794" s="72" t="s">
        <v>3119</v>
      </c>
      <c r="Z794" s="72" t="s">
        <v>311</v>
      </c>
    </row>
    <row r="795" spans="1:26" ht="18.600000000000001" customHeight="1">
      <c r="A795" s="142" t="str">
        <f>IF(priority(Main[[#This Row],[Comments]])&lt;&gt;0, priority(Main[[#This Row],[Comments]]),"")</f>
        <v/>
      </c>
      <c r="B795" s="90" t="s">
        <v>1582</v>
      </c>
      <c r="C795" s="72" t="s">
        <v>4</v>
      </c>
      <c r="D795" s="73" t="s">
        <v>648</v>
      </c>
      <c r="E795" s="74"/>
      <c r="F795" s="74">
        <v>40711</v>
      </c>
      <c r="G795" s="75" t="str">
        <f>IF(stdProdLT(Main[[#This Row],[Comments]])=0.1,"N/A",IF(stdProdLT(Main[[#This Row],[Comments]])=0,"",stdProdLT(Main[[#This Row],[Comments]])))</f>
        <v/>
      </c>
      <c r="H795" s="76" t="str">
        <f>IF(AND(Main[[#This Row],[In Stock Date]]&lt;&gt;"",Main[[#This Row],[Revised Due Date]]&lt;&gt;""),Main[[#This Row],[In Stock Date]]-Main[[#This Row],[Revised Due Date]],"")</f>
        <v/>
      </c>
      <c r="I795" s="72" t="s">
        <v>4</v>
      </c>
      <c r="J795" s="72" t="s">
        <v>4</v>
      </c>
      <c r="K795" s="72" t="s">
        <v>4</v>
      </c>
      <c r="L795" s="74"/>
      <c r="M795" s="77" t="str">
        <f>IF(Main[[#This Row],[Tech Start Date]]&lt;1/1/1990,"",IF(Main[[#This Row],[Class]]="C",WORKDAY(Main[[#This Row],[Tech Start Date]],9),IF(Main[[#This Row],[Class]]="B", WORKDAY(Main[[#This Row],[Tech Start Date]],6),IF(Main[[#This Row],[Class]]="A",WORKDAY(Main[[#This Row],[Tech Start Date]],2),""))))</f>
        <v/>
      </c>
      <c r="N795" s="77" t="str">
        <f>IF(Main[[#This Row],[Tech Start Date]]&lt;1/1/1990,"",IF(Main[[#This Row],[Class]]="C",WORKDAY(Main[[#This Row],[Tech Start Date]],19),IF(Main[[#This Row],[Class]]="B", WORKDAY(Main[[#This Row],[Tech Start Date]],12),IF(Main[[#This Row],[Class]]="A",WORKDAY(Main[[#This Row],[Tech Start Date]],4),""))))</f>
        <v/>
      </c>
      <c r="O795" s="77" t="str">
        <f>IF(Main[[#This Row],[Tech Start Date]]&lt;1/1/1990,"",IF(Main[[#This Row],[Class]]="C",WORKDAY(Main[[#This Row],[Tech Start Date]],23),IF(Main[[#This Row],[Class]]="B", WORKDAY(Main[[#This Row],[Tech Start Date]],15),IF(Main[[#This Row],[Class]]="A",WORKDAY(Main[[#This Row],[Tech Start Date]],5),""))))</f>
        <v/>
      </c>
      <c r="P795" s="77" t="str">
        <f>IF(Main[[#This Row],[Tech Start Date]]&lt;1/1/1990,"",IF(Main[[#This Row],[Class]]="C",WORKDAY(Main[[#This Row],[Tech Start Date]],28),IF(Main[[#This Row],[Class]]="B", WORKDAY(Main[[#This Row],[Tech Start Date]],19),IF(Main[[#This Row],[Class]]="A",WORKDAY(Main[[#This Row],[Tech Start Date]],9),""))))</f>
        <v/>
      </c>
      <c r="Q795" s="74"/>
      <c r="R795" s="74"/>
      <c r="S795" s="72" t="s">
        <v>11</v>
      </c>
      <c r="T795" s="80" t="s">
        <v>4</v>
      </c>
      <c r="U795" s="72" t="s">
        <v>14</v>
      </c>
      <c r="V795" s="72" t="s">
        <v>1938</v>
      </c>
      <c r="W795" s="72" t="s">
        <v>1942</v>
      </c>
      <c r="X795" s="72" t="s">
        <v>957</v>
      </c>
      <c r="Y795" s="72" t="s">
        <v>3153</v>
      </c>
      <c r="Z795" s="72" t="s">
        <v>4</v>
      </c>
    </row>
    <row r="796" spans="1:26" ht="18.600000000000001" customHeight="1">
      <c r="A796" s="142" t="str">
        <f>IF(priority(Main[[#This Row],[Comments]])&lt;&gt;0, priority(Main[[#This Row],[Comments]]),"")</f>
        <v/>
      </c>
      <c r="B796" s="90" t="s">
        <v>1583</v>
      </c>
      <c r="C796" s="72" t="s">
        <v>183</v>
      </c>
      <c r="D796" s="73" t="s">
        <v>649</v>
      </c>
      <c r="E796" s="74"/>
      <c r="F796" s="74">
        <v>40389</v>
      </c>
      <c r="G796" s="75" t="str">
        <f>IF(stdProdLT(Main[[#This Row],[Comments]])=0.1,"N/A",IF(stdProdLT(Main[[#This Row],[Comments]])=0,"",stdProdLT(Main[[#This Row],[Comments]])))</f>
        <v/>
      </c>
      <c r="H796" s="76" t="str">
        <f>IF(AND(Main[[#This Row],[In Stock Date]]&lt;&gt;"",Main[[#This Row],[Revised Due Date]]&lt;&gt;""),Main[[#This Row],[In Stock Date]]-Main[[#This Row],[Revised Due Date]],"")</f>
        <v/>
      </c>
      <c r="I796" s="72" t="s">
        <v>4</v>
      </c>
      <c r="J796" s="72" t="s">
        <v>4</v>
      </c>
      <c r="K796" s="72" t="s">
        <v>4</v>
      </c>
      <c r="L796" s="74"/>
      <c r="M796" s="77" t="str">
        <f>IF(Main[[#This Row],[Tech Start Date]]&lt;1/1/1990,"",IF(Main[[#This Row],[Class]]="C",WORKDAY(Main[[#This Row],[Tech Start Date]],9),IF(Main[[#This Row],[Class]]="B", WORKDAY(Main[[#This Row],[Tech Start Date]],6),IF(Main[[#This Row],[Class]]="A",WORKDAY(Main[[#This Row],[Tech Start Date]],2),""))))</f>
        <v/>
      </c>
      <c r="N796" s="77" t="str">
        <f>IF(Main[[#This Row],[Tech Start Date]]&lt;1/1/1990,"",IF(Main[[#This Row],[Class]]="C",WORKDAY(Main[[#This Row],[Tech Start Date]],19),IF(Main[[#This Row],[Class]]="B", WORKDAY(Main[[#This Row],[Tech Start Date]],12),IF(Main[[#This Row],[Class]]="A",WORKDAY(Main[[#This Row],[Tech Start Date]],4),""))))</f>
        <v/>
      </c>
      <c r="O796" s="77" t="str">
        <f>IF(Main[[#This Row],[Tech Start Date]]&lt;1/1/1990,"",IF(Main[[#This Row],[Class]]="C",WORKDAY(Main[[#This Row],[Tech Start Date]],23),IF(Main[[#This Row],[Class]]="B", WORKDAY(Main[[#This Row],[Tech Start Date]],15),IF(Main[[#This Row],[Class]]="A",WORKDAY(Main[[#This Row],[Tech Start Date]],5),""))))</f>
        <v/>
      </c>
      <c r="P796" s="77" t="str">
        <f>IF(Main[[#This Row],[Tech Start Date]]&lt;1/1/1990,"",IF(Main[[#This Row],[Class]]="C",WORKDAY(Main[[#This Row],[Tech Start Date]],28),IF(Main[[#This Row],[Class]]="B", WORKDAY(Main[[#This Row],[Tech Start Date]],19),IF(Main[[#This Row],[Class]]="A",WORKDAY(Main[[#This Row],[Tech Start Date]],9),""))))</f>
        <v/>
      </c>
      <c r="Q796" s="74">
        <v>40298</v>
      </c>
      <c r="R796" s="74"/>
      <c r="S796" s="72" t="s">
        <v>11</v>
      </c>
      <c r="T796" s="80" t="s">
        <v>4</v>
      </c>
      <c r="U796" s="72" t="s">
        <v>14</v>
      </c>
      <c r="V796" s="72" t="s">
        <v>1937</v>
      </c>
      <c r="W796" s="72" t="s">
        <v>1943</v>
      </c>
      <c r="X796" s="72" t="s">
        <v>2976</v>
      </c>
      <c r="Y796" s="72" t="s">
        <v>3101</v>
      </c>
      <c r="Z796" s="72" t="s">
        <v>4</v>
      </c>
    </row>
    <row r="797" spans="1:26" ht="18.600000000000001" customHeight="1">
      <c r="A797" s="142" t="str">
        <f>IF(priority(Main[[#This Row],[Comments]])&lt;&gt;0, priority(Main[[#This Row],[Comments]]),"")</f>
        <v/>
      </c>
      <c r="B797" s="90" t="s">
        <v>1584</v>
      </c>
      <c r="C797" s="72" t="s">
        <v>4</v>
      </c>
      <c r="D797" s="73" t="s">
        <v>650</v>
      </c>
      <c r="E797" s="74"/>
      <c r="F797" s="74"/>
      <c r="G797" s="75" t="str">
        <f>IF(stdProdLT(Main[[#This Row],[Comments]])=0.1,"N/A",IF(stdProdLT(Main[[#This Row],[Comments]])=0,"",stdProdLT(Main[[#This Row],[Comments]])))</f>
        <v/>
      </c>
      <c r="H797" s="76" t="str">
        <f>IF(AND(Main[[#This Row],[In Stock Date]]&lt;&gt;"",Main[[#This Row],[Revised Due Date]]&lt;&gt;""),Main[[#This Row],[In Stock Date]]-Main[[#This Row],[Revised Due Date]],"")</f>
        <v/>
      </c>
      <c r="I797" s="72" t="s">
        <v>4</v>
      </c>
      <c r="J797" s="72" t="s">
        <v>4</v>
      </c>
      <c r="K797" s="72" t="s">
        <v>4</v>
      </c>
      <c r="L797" s="74"/>
      <c r="M797" s="77" t="str">
        <f>IF(Main[[#This Row],[Tech Start Date]]&lt;1/1/1990,"",IF(Main[[#This Row],[Class]]="C",WORKDAY(Main[[#This Row],[Tech Start Date]],9),IF(Main[[#This Row],[Class]]="B", WORKDAY(Main[[#This Row],[Tech Start Date]],6),IF(Main[[#This Row],[Class]]="A",WORKDAY(Main[[#This Row],[Tech Start Date]],2),""))))</f>
        <v/>
      </c>
      <c r="N797" s="77" t="str">
        <f>IF(Main[[#This Row],[Tech Start Date]]&lt;1/1/1990,"",IF(Main[[#This Row],[Class]]="C",WORKDAY(Main[[#This Row],[Tech Start Date]],19),IF(Main[[#This Row],[Class]]="B", WORKDAY(Main[[#This Row],[Tech Start Date]],12),IF(Main[[#This Row],[Class]]="A",WORKDAY(Main[[#This Row],[Tech Start Date]],4),""))))</f>
        <v/>
      </c>
      <c r="O797" s="77" t="str">
        <f>IF(Main[[#This Row],[Tech Start Date]]&lt;1/1/1990,"",IF(Main[[#This Row],[Class]]="C",WORKDAY(Main[[#This Row],[Tech Start Date]],23),IF(Main[[#This Row],[Class]]="B", WORKDAY(Main[[#This Row],[Tech Start Date]],15),IF(Main[[#This Row],[Class]]="A",WORKDAY(Main[[#This Row],[Tech Start Date]],5),""))))</f>
        <v/>
      </c>
      <c r="P797" s="77" t="str">
        <f>IF(Main[[#This Row],[Tech Start Date]]&lt;1/1/1990,"",IF(Main[[#This Row],[Class]]="C",WORKDAY(Main[[#This Row],[Tech Start Date]],28),IF(Main[[#This Row],[Class]]="B", WORKDAY(Main[[#This Row],[Tech Start Date]],19),IF(Main[[#This Row],[Class]]="A",WORKDAY(Main[[#This Row],[Tech Start Date]],9),""))))</f>
        <v/>
      </c>
      <c r="Q797" s="74"/>
      <c r="R797" s="74"/>
      <c r="S797" s="72" t="s">
        <v>11</v>
      </c>
      <c r="T797" s="80" t="s">
        <v>4</v>
      </c>
      <c r="U797" s="72" t="s">
        <v>12</v>
      </c>
      <c r="V797" s="72" t="s">
        <v>1937</v>
      </c>
      <c r="W797" s="72" t="s">
        <v>1941</v>
      </c>
      <c r="X797" s="72" t="s">
        <v>900</v>
      </c>
      <c r="Y797" s="72" t="s">
        <v>3240</v>
      </c>
      <c r="Z797" s="72" t="s">
        <v>4</v>
      </c>
    </row>
    <row r="798" spans="1:26" ht="18.600000000000001" customHeight="1">
      <c r="A798" s="142" t="str">
        <f>IF(priority(Main[[#This Row],[Comments]])&lt;&gt;0, priority(Main[[#This Row],[Comments]]),"")</f>
        <v/>
      </c>
      <c r="B798" s="90" t="s">
        <v>1585</v>
      </c>
      <c r="C798" s="72" t="s">
        <v>651</v>
      </c>
      <c r="D798" s="73" t="s">
        <v>652</v>
      </c>
      <c r="E798" s="74"/>
      <c r="F798" s="74">
        <v>40632</v>
      </c>
      <c r="G798" s="75" t="str">
        <f>IF(stdProdLT(Main[[#This Row],[Comments]])=0.1,"N/A",IF(stdProdLT(Main[[#This Row],[Comments]])=0,"",stdProdLT(Main[[#This Row],[Comments]])))</f>
        <v/>
      </c>
      <c r="H798" s="76" t="str">
        <f>IF(AND(Main[[#This Row],[In Stock Date]]&lt;&gt;"",Main[[#This Row],[Revised Due Date]]&lt;&gt;""),Main[[#This Row],[In Stock Date]]-Main[[#This Row],[Revised Due Date]],"")</f>
        <v/>
      </c>
      <c r="I798" s="72" t="s">
        <v>4</v>
      </c>
      <c r="J798" s="72" t="s">
        <v>4</v>
      </c>
      <c r="K798" s="72" t="s">
        <v>4</v>
      </c>
      <c r="L798" s="74"/>
      <c r="M798" s="77" t="str">
        <f>IF(Main[[#This Row],[Tech Start Date]]&lt;1/1/1990,"",IF(Main[[#This Row],[Class]]="C",WORKDAY(Main[[#This Row],[Tech Start Date]],9),IF(Main[[#This Row],[Class]]="B", WORKDAY(Main[[#This Row],[Tech Start Date]],6),IF(Main[[#This Row],[Class]]="A",WORKDAY(Main[[#This Row],[Tech Start Date]],2),""))))</f>
        <v/>
      </c>
      <c r="N798" s="77" t="str">
        <f>IF(Main[[#This Row],[Tech Start Date]]&lt;1/1/1990,"",IF(Main[[#This Row],[Class]]="C",WORKDAY(Main[[#This Row],[Tech Start Date]],19),IF(Main[[#This Row],[Class]]="B", WORKDAY(Main[[#This Row],[Tech Start Date]],12),IF(Main[[#This Row],[Class]]="A",WORKDAY(Main[[#This Row],[Tech Start Date]],4),""))))</f>
        <v/>
      </c>
      <c r="O798" s="77" t="str">
        <f>IF(Main[[#This Row],[Tech Start Date]]&lt;1/1/1990,"",IF(Main[[#This Row],[Class]]="C",WORKDAY(Main[[#This Row],[Tech Start Date]],23),IF(Main[[#This Row],[Class]]="B", WORKDAY(Main[[#This Row],[Tech Start Date]],15),IF(Main[[#This Row],[Class]]="A",WORKDAY(Main[[#This Row],[Tech Start Date]],5),""))))</f>
        <v/>
      </c>
      <c r="P798" s="77" t="str">
        <f>IF(Main[[#This Row],[Tech Start Date]]&lt;1/1/1990,"",IF(Main[[#This Row],[Class]]="C",WORKDAY(Main[[#This Row],[Tech Start Date]],28),IF(Main[[#This Row],[Class]]="B", WORKDAY(Main[[#This Row],[Tech Start Date]],19),IF(Main[[#This Row],[Class]]="A",WORKDAY(Main[[#This Row],[Tech Start Date]],9),""))))</f>
        <v/>
      </c>
      <c r="Q798" s="74">
        <v>40613</v>
      </c>
      <c r="R798" s="74"/>
      <c r="S798" s="72" t="s">
        <v>11</v>
      </c>
      <c r="T798" s="80" t="s">
        <v>4</v>
      </c>
      <c r="U798" s="72" t="s">
        <v>14</v>
      </c>
      <c r="V798" s="72" t="s">
        <v>1940</v>
      </c>
      <c r="W798" s="72" t="s">
        <v>1945</v>
      </c>
      <c r="X798" s="72" t="s">
        <v>3020</v>
      </c>
      <c r="Y798" s="72" t="s">
        <v>3170</v>
      </c>
      <c r="Z798" s="72" t="s">
        <v>4</v>
      </c>
    </row>
    <row r="799" spans="1:26" ht="18.600000000000001" customHeight="1">
      <c r="A799" s="142" t="str">
        <f>IF(priority(Main[[#This Row],[Comments]])&lt;&gt;0, priority(Main[[#This Row],[Comments]]),"")</f>
        <v/>
      </c>
      <c r="B799" s="90" t="s">
        <v>1626</v>
      </c>
      <c r="C799" s="72" t="s">
        <v>4</v>
      </c>
      <c r="D799" s="73" t="s">
        <v>688</v>
      </c>
      <c r="E799" s="74">
        <v>40666.673935185187</v>
      </c>
      <c r="F799" s="74"/>
      <c r="G799" s="75" t="str">
        <f>IF(stdProdLT(Main[[#This Row],[Comments]])=0.1,"N/A",IF(stdProdLT(Main[[#This Row],[Comments]])=0,"",stdProdLT(Main[[#This Row],[Comments]])))</f>
        <v/>
      </c>
      <c r="H799" s="76" t="str">
        <f>IF(AND(Main[[#This Row],[In Stock Date]]&lt;&gt;"",Main[[#This Row],[Revised Due Date]]&lt;&gt;""),Main[[#This Row],[In Stock Date]]-Main[[#This Row],[Revised Due Date]],"")</f>
        <v/>
      </c>
      <c r="I799" s="72" t="s">
        <v>375</v>
      </c>
      <c r="J799" s="72" t="s">
        <v>4</v>
      </c>
      <c r="K799" s="72" t="s">
        <v>4</v>
      </c>
      <c r="L799" s="74"/>
      <c r="M799" s="77" t="str">
        <f>IF(Main[[#This Row],[Tech Start Date]]&lt;1/1/1990,"",IF(Main[[#This Row],[Class]]="C",WORKDAY(Main[[#This Row],[Tech Start Date]],9),IF(Main[[#This Row],[Class]]="B", WORKDAY(Main[[#This Row],[Tech Start Date]],6),IF(Main[[#This Row],[Class]]="A",WORKDAY(Main[[#This Row],[Tech Start Date]],2),""))))</f>
        <v/>
      </c>
      <c r="N799" s="77" t="str">
        <f>IF(Main[[#This Row],[Tech Start Date]]&lt;1/1/1990,"",IF(Main[[#This Row],[Class]]="C",WORKDAY(Main[[#This Row],[Tech Start Date]],19),IF(Main[[#This Row],[Class]]="B", WORKDAY(Main[[#This Row],[Tech Start Date]],12),IF(Main[[#This Row],[Class]]="A",WORKDAY(Main[[#This Row],[Tech Start Date]],4),""))))</f>
        <v/>
      </c>
      <c r="O799" s="77" t="str">
        <f>IF(Main[[#This Row],[Tech Start Date]]&lt;1/1/1990,"",IF(Main[[#This Row],[Class]]="C",WORKDAY(Main[[#This Row],[Tech Start Date]],23),IF(Main[[#This Row],[Class]]="B", WORKDAY(Main[[#This Row],[Tech Start Date]],15),IF(Main[[#This Row],[Class]]="A",WORKDAY(Main[[#This Row],[Tech Start Date]],5),""))))</f>
        <v/>
      </c>
      <c r="P799" s="77" t="str">
        <f>IF(Main[[#This Row],[Tech Start Date]]&lt;1/1/1990,"",IF(Main[[#This Row],[Class]]="C",WORKDAY(Main[[#This Row],[Tech Start Date]],28),IF(Main[[#This Row],[Class]]="B", WORKDAY(Main[[#This Row],[Tech Start Date]],19),IF(Main[[#This Row],[Class]]="A",WORKDAY(Main[[#This Row],[Tech Start Date]],9),""))))</f>
        <v/>
      </c>
      <c r="Q799" s="74"/>
      <c r="R799" s="74"/>
      <c r="S799" s="72" t="s">
        <v>6</v>
      </c>
      <c r="T799" s="80" t="s">
        <v>4</v>
      </c>
      <c r="U799" s="72" t="s">
        <v>29</v>
      </c>
      <c r="V799" s="72" t="s">
        <v>1940</v>
      </c>
      <c r="W799" s="72" t="s">
        <v>1941</v>
      </c>
      <c r="X799" s="72" t="s">
        <v>74</v>
      </c>
      <c r="Y799" s="72" t="s">
        <v>3189</v>
      </c>
      <c r="Z799" s="72" t="s">
        <v>421</v>
      </c>
    </row>
    <row r="800" spans="1:26" ht="18.600000000000001" customHeight="1">
      <c r="A800" s="142" t="str">
        <f>IF(priority(Main[[#This Row],[Comments]])&lt;&gt;0, priority(Main[[#This Row],[Comments]]),"")</f>
        <v/>
      </c>
      <c r="B800" s="90" t="s">
        <v>1627</v>
      </c>
      <c r="C800" s="72" t="s">
        <v>4</v>
      </c>
      <c r="D800" s="73" t="s">
        <v>689</v>
      </c>
      <c r="E800" s="74">
        <v>40603.482094907406</v>
      </c>
      <c r="F800" s="74"/>
      <c r="G800" s="75" t="str">
        <f>IF(stdProdLT(Main[[#This Row],[Comments]])=0.1,"N/A",IF(stdProdLT(Main[[#This Row],[Comments]])=0,"",stdProdLT(Main[[#This Row],[Comments]])))</f>
        <v/>
      </c>
      <c r="H800" s="76" t="str">
        <f>IF(AND(Main[[#This Row],[In Stock Date]]&lt;&gt;"",Main[[#This Row],[Revised Due Date]]&lt;&gt;""),Main[[#This Row],[In Stock Date]]-Main[[#This Row],[Revised Due Date]],"")</f>
        <v/>
      </c>
      <c r="I800" s="72" t="s">
        <v>44</v>
      </c>
      <c r="J800" s="72" t="s">
        <v>28</v>
      </c>
      <c r="K800" s="72" t="s">
        <v>1946</v>
      </c>
      <c r="L800" s="74"/>
      <c r="M800" s="77" t="str">
        <f>IF(Main[[#This Row],[Tech Start Date]]&lt;1/1/1990,"",IF(Main[[#This Row],[Class]]="C",WORKDAY(Main[[#This Row],[Tech Start Date]],9),IF(Main[[#This Row],[Class]]="B", WORKDAY(Main[[#This Row],[Tech Start Date]],6),IF(Main[[#This Row],[Class]]="A",WORKDAY(Main[[#This Row],[Tech Start Date]],2),""))))</f>
        <v/>
      </c>
      <c r="N800" s="77" t="str">
        <f>IF(Main[[#This Row],[Tech Start Date]]&lt;1/1/1990,"",IF(Main[[#This Row],[Class]]="C",WORKDAY(Main[[#This Row],[Tech Start Date]],19),IF(Main[[#This Row],[Class]]="B", WORKDAY(Main[[#This Row],[Tech Start Date]],12),IF(Main[[#This Row],[Class]]="A",WORKDAY(Main[[#This Row],[Tech Start Date]],4),""))))</f>
        <v/>
      </c>
      <c r="O800" s="77" t="str">
        <f>IF(Main[[#This Row],[Tech Start Date]]&lt;1/1/1990,"",IF(Main[[#This Row],[Class]]="C",WORKDAY(Main[[#This Row],[Tech Start Date]],23),IF(Main[[#This Row],[Class]]="B", WORKDAY(Main[[#This Row],[Tech Start Date]],15),IF(Main[[#This Row],[Class]]="A",WORKDAY(Main[[#This Row],[Tech Start Date]],5),""))))</f>
        <v/>
      </c>
      <c r="P800" s="77" t="str">
        <f>IF(Main[[#This Row],[Tech Start Date]]&lt;1/1/1990,"",IF(Main[[#This Row],[Class]]="C",WORKDAY(Main[[#This Row],[Tech Start Date]],28),IF(Main[[#This Row],[Class]]="B", WORKDAY(Main[[#This Row],[Tech Start Date]],19),IF(Main[[#This Row],[Class]]="A",WORKDAY(Main[[#This Row],[Tech Start Date]],9),""))))</f>
        <v/>
      </c>
      <c r="Q800" s="74">
        <v>40637</v>
      </c>
      <c r="R800" s="74"/>
      <c r="S800" s="72" t="s">
        <v>6</v>
      </c>
      <c r="T800" s="80" t="s">
        <v>4</v>
      </c>
      <c r="U800" s="72" t="s">
        <v>7</v>
      </c>
      <c r="V800" s="72" t="s">
        <v>1937</v>
      </c>
      <c r="W800" s="72" t="s">
        <v>1939</v>
      </c>
      <c r="X800" s="72" t="s">
        <v>2974</v>
      </c>
      <c r="Y800" s="72" t="s">
        <v>3096</v>
      </c>
      <c r="Z800" s="72" t="s">
        <v>44</v>
      </c>
    </row>
    <row r="801" spans="1:26" ht="18.600000000000001" customHeight="1">
      <c r="A801" s="142" t="str">
        <f>IF(priority(Main[[#This Row],[Comments]])&lt;&gt;0, priority(Main[[#This Row],[Comments]]),"")</f>
        <v/>
      </c>
      <c r="B801" s="90" t="s">
        <v>1628</v>
      </c>
      <c r="C801" s="72" t="s">
        <v>113</v>
      </c>
      <c r="D801" s="73" t="s">
        <v>690</v>
      </c>
      <c r="E801" s="74"/>
      <c r="F801" s="74">
        <v>40193</v>
      </c>
      <c r="G801" s="75" t="str">
        <f>IF(stdProdLT(Main[[#This Row],[Comments]])=0.1,"N/A",IF(stdProdLT(Main[[#This Row],[Comments]])=0,"",stdProdLT(Main[[#This Row],[Comments]])))</f>
        <v/>
      </c>
      <c r="H801" s="76" t="str">
        <f>IF(AND(Main[[#This Row],[In Stock Date]]&lt;&gt;"",Main[[#This Row],[Revised Due Date]]&lt;&gt;""),Main[[#This Row],[In Stock Date]]-Main[[#This Row],[Revised Due Date]],"")</f>
        <v/>
      </c>
      <c r="I801" s="72" t="s">
        <v>4</v>
      </c>
      <c r="J801" s="72" t="s">
        <v>4</v>
      </c>
      <c r="K801" s="72" t="s">
        <v>4</v>
      </c>
      <c r="L801" s="74"/>
      <c r="M801" s="77" t="str">
        <f>IF(Main[[#This Row],[Tech Start Date]]&lt;1/1/1990,"",IF(Main[[#This Row],[Class]]="C",WORKDAY(Main[[#This Row],[Tech Start Date]],9),IF(Main[[#This Row],[Class]]="B", WORKDAY(Main[[#This Row],[Tech Start Date]],6),IF(Main[[#This Row],[Class]]="A",WORKDAY(Main[[#This Row],[Tech Start Date]],2),""))))</f>
        <v/>
      </c>
      <c r="N801" s="77" t="str">
        <f>IF(Main[[#This Row],[Tech Start Date]]&lt;1/1/1990,"",IF(Main[[#This Row],[Class]]="C",WORKDAY(Main[[#This Row],[Tech Start Date]],19),IF(Main[[#This Row],[Class]]="B", WORKDAY(Main[[#This Row],[Tech Start Date]],12),IF(Main[[#This Row],[Class]]="A",WORKDAY(Main[[#This Row],[Tech Start Date]],4),""))))</f>
        <v/>
      </c>
      <c r="O801" s="77" t="str">
        <f>IF(Main[[#This Row],[Tech Start Date]]&lt;1/1/1990,"",IF(Main[[#This Row],[Class]]="C",WORKDAY(Main[[#This Row],[Tech Start Date]],23),IF(Main[[#This Row],[Class]]="B", WORKDAY(Main[[#This Row],[Tech Start Date]],15),IF(Main[[#This Row],[Class]]="A",WORKDAY(Main[[#This Row],[Tech Start Date]],5),""))))</f>
        <v/>
      </c>
      <c r="P801" s="77" t="str">
        <f>IF(Main[[#This Row],[Tech Start Date]]&lt;1/1/1990,"",IF(Main[[#This Row],[Class]]="C",WORKDAY(Main[[#This Row],[Tech Start Date]],28),IF(Main[[#This Row],[Class]]="B", WORKDAY(Main[[#This Row],[Tech Start Date]],19),IF(Main[[#This Row],[Class]]="A",WORKDAY(Main[[#This Row],[Tech Start Date]],9),""))))</f>
        <v/>
      </c>
      <c r="Q801" s="74">
        <v>40470</v>
      </c>
      <c r="R801" s="74"/>
      <c r="S801" s="72" t="s">
        <v>11</v>
      </c>
      <c r="T801" s="80" t="s">
        <v>4</v>
      </c>
      <c r="U801" s="72" t="s">
        <v>14</v>
      </c>
      <c r="V801" s="72" t="s">
        <v>1947</v>
      </c>
      <c r="W801" s="72" t="s">
        <v>1943</v>
      </c>
      <c r="X801" s="72" t="s">
        <v>2996</v>
      </c>
      <c r="Y801" s="72" t="s">
        <v>3135</v>
      </c>
      <c r="Z801" s="72" t="s">
        <v>4</v>
      </c>
    </row>
    <row r="802" spans="1:26" ht="18.600000000000001" customHeight="1">
      <c r="A802" s="142" t="str">
        <f>IF(priority(Main[[#This Row],[Comments]])&lt;&gt;0, priority(Main[[#This Row],[Comments]]),"")</f>
        <v/>
      </c>
      <c r="B802" s="90" t="s">
        <v>1629</v>
      </c>
      <c r="C802" s="72" t="s">
        <v>4</v>
      </c>
      <c r="D802" s="73" t="s">
        <v>691</v>
      </c>
      <c r="E802" s="74"/>
      <c r="F802" s="74"/>
      <c r="G802" s="75" t="str">
        <f>IF(stdProdLT(Main[[#This Row],[Comments]])=0.1,"N/A",IF(stdProdLT(Main[[#This Row],[Comments]])=0,"",stdProdLT(Main[[#This Row],[Comments]])))</f>
        <v/>
      </c>
      <c r="H802" s="76" t="str">
        <f>IF(AND(Main[[#This Row],[In Stock Date]]&lt;&gt;"",Main[[#This Row],[Revised Due Date]]&lt;&gt;""),Main[[#This Row],[In Stock Date]]-Main[[#This Row],[Revised Due Date]],"")</f>
        <v/>
      </c>
      <c r="I802" s="72" t="s">
        <v>423</v>
      </c>
      <c r="J802" s="72" t="s">
        <v>4</v>
      </c>
      <c r="K802" s="72" t="s">
        <v>4</v>
      </c>
      <c r="L802" s="74"/>
      <c r="M802" s="77" t="str">
        <f>IF(Main[[#This Row],[Tech Start Date]]&lt;1/1/1990,"",IF(Main[[#This Row],[Class]]="C",WORKDAY(Main[[#This Row],[Tech Start Date]],9),IF(Main[[#This Row],[Class]]="B", WORKDAY(Main[[#This Row],[Tech Start Date]],6),IF(Main[[#This Row],[Class]]="A",WORKDAY(Main[[#This Row],[Tech Start Date]],2),""))))</f>
        <v/>
      </c>
      <c r="N802" s="77" t="str">
        <f>IF(Main[[#This Row],[Tech Start Date]]&lt;1/1/1990,"",IF(Main[[#This Row],[Class]]="C",WORKDAY(Main[[#This Row],[Tech Start Date]],19),IF(Main[[#This Row],[Class]]="B", WORKDAY(Main[[#This Row],[Tech Start Date]],12),IF(Main[[#This Row],[Class]]="A",WORKDAY(Main[[#This Row],[Tech Start Date]],4),""))))</f>
        <v/>
      </c>
      <c r="O802" s="77" t="str">
        <f>IF(Main[[#This Row],[Tech Start Date]]&lt;1/1/1990,"",IF(Main[[#This Row],[Class]]="C",WORKDAY(Main[[#This Row],[Tech Start Date]],23),IF(Main[[#This Row],[Class]]="B", WORKDAY(Main[[#This Row],[Tech Start Date]],15),IF(Main[[#This Row],[Class]]="A",WORKDAY(Main[[#This Row],[Tech Start Date]],5),""))))</f>
        <v/>
      </c>
      <c r="P802" s="77" t="str">
        <f>IF(Main[[#This Row],[Tech Start Date]]&lt;1/1/1990,"",IF(Main[[#This Row],[Class]]="C",WORKDAY(Main[[#This Row],[Tech Start Date]],28),IF(Main[[#This Row],[Class]]="B", WORKDAY(Main[[#This Row],[Tech Start Date]],19),IF(Main[[#This Row],[Class]]="A",WORKDAY(Main[[#This Row],[Tech Start Date]],9),""))))</f>
        <v/>
      </c>
      <c r="Q802" s="74"/>
      <c r="R802" s="74"/>
      <c r="S802" s="72" t="s">
        <v>23</v>
      </c>
      <c r="T802" s="80" t="s">
        <v>4</v>
      </c>
      <c r="U802" s="72" t="s">
        <v>14</v>
      </c>
      <c r="V802" s="72" t="s">
        <v>1940</v>
      </c>
      <c r="W802" s="72" t="s">
        <v>1941</v>
      </c>
      <c r="X802" s="72" t="s">
        <v>423</v>
      </c>
      <c r="Y802" s="72" t="s">
        <v>3247</v>
      </c>
      <c r="Z802" s="72" t="s">
        <v>30</v>
      </c>
    </row>
    <row r="803" spans="1:26" ht="18.600000000000001" customHeight="1">
      <c r="A803" s="142" t="str">
        <f>IF(priority(Main[[#This Row],[Comments]])&lt;&gt;0, priority(Main[[#This Row],[Comments]]),"")</f>
        <v/>
      </c>
      <c r="B803" s="90" t="s">
        <v>1639</v>
      </c>
      <c r="C803" s="72" t="s">
        <v>4</v>
      </c>
      <c r="D803" s="73" t="s">
        <v>705</v>
      </c>
      <c r="E803" s="74"/>
      <c r="F803" s="74"/>
      <c r="G803" s="75" t="str">
        <f>IF(stdProdLT(Main[[#This Row],[Comments]])=0.1,"N/A",IF(stdProdLT(Main[[#This Row],[Comments]])=0,"",stdProdLT(Main[[#This Row],[Comments]])))</f>
        <v/>
      </c>
      <c r="H803" s="76" t="str">
        <f>IF(AND(Main[[#This Row],[In Stock Date]]&lt;&gt;"",Main[[#This Row],[Revised Due Date]]&lt;&gt;""),Main[[#This Row],[In Stock Date]]-Main[[#This Row],[Revised Due Date]],"")</f>
        <v/>
      </c>
      <c r="I803" s="72" t="s">
        <v>4</v>
      </c>
      <c r="J803" s="72" t="s">
        <v>4</v>
      </c>
      <c r="K803" s="72" t="s">
        <v>4</v>
      </c>
      <c r="L803" s="74"/>
      <c r="M803" s="77" t="str">
        <f>IF(Main[[#This Row],[Tech Start Date]]&lt;1/1/1990,"",IF(Main[[#This Row],[Class]]="C",WORKDAY(Main[[#This Row],[Tech Start Date]],9),IF(Main[[#This Row],[Class]]="B", WORKDAY(Main[[#This Row],[Tech Start Date]],6),IF(Main[[#This Row],[Class]]="A",WORKDAY(Main[[#This Row],[Tech Start Date]],2),""))))</f>
        <v/>
      </c>
      <c r="N803" s="77" t="str">
        <f>IF(Main[[#This Row],[Tech Start Date]]&lt;1/1/1990,"",IF(Main[[#This Row],[Class]]="C",WORKDAY(Main[[#This Row],[Tech Start Date]],19),IF(Main[[#This Row],[Class]]="B", WORKDAY(Main[[#This Row],[Tech Start Date]],12),IF(Main[[#This Row],[Class]]="A",WORKDAY(Main[[#This Row],[Tech Start Date]],4),""))))</f>
        <v/>
      </c>
      <c r="O803" s="77" t="str">
        <f>IF(Main[[#This Row],[Tech Start Date]]&lt;1/1/1990,"",IF(Main[[#This Row],[Class]]="C",WORKDAY(Main[[#This Row],[Tech Start Date]],23),IF(Main[[#This Row],[Class]]="B", WORKDAY(Main[[#This Row],[Tech Start Date]],15),IF(Main[[#This Row],[Class]]="A",WORKDAY(Main[[#This Row],[Tech Start Date]],5),""))))</f>
        <v/>
      </c>
      <c r="P803" s="77" t="str">
        <f>IF(Main[[#This Row],[Tech Start Date]]&lt;1/1/1990,"",IF(Main[[#This Row],[Class]]="C",WORKDAY(Main[[#This Row],[Tech Start Date]],28),IF(Main[[#This Row],[Class]]="B", WORKDAY(Main[[#This Row],[Tech Start Date]],19),IF(Main[[#This Row],[Class]]="A",WORKDAY(Main[[#This Row],[Tech Start Date]],9),""))))</f>
        <v/>
      </c>
      <c r="Q803" s="74"/>
      <c r="R803" s="74"/>
      <c r="S803" s="72" t="s">
        <v>23</v>
      </c>
      <c r="T803" s="80" t="s">
        <v>4</v>
      </c>
      <c r="U803" s="72" t="s">
        <v>14</v>
      </c>
      <c r="V803" s="72" t="s">
        <v>1940</v>
      </c>
      <c r="W803" s="72" t="s">
        <v>1941</v>
      </c>
      <c r="X803" s="72" t="s">
        <v>404</v>
      </c>
      <c r="Y803" s="72" t="s">
        <v>4</v>
      </c>
      <c r="Z803" s="72" t="s">
        <v>4</v>
      </c>
    </row>
    <row r="804" spans="1:26" ht="18.600000000000001" customHeight="1">
      <c r="A804" s="142" t="str">
        <f>IF(priority(Main[[#This Row],[Comments]])&lt;&gt;0, priority(Main[[#This Row],[Comments]]),"")</f>
        <v/>
      </c>
      <c r="B804" s="90" t="s">
        <v>1640</v>
      </c>
      <c r="C804" s="72" t="s">
        <v>122</v>
      </c>
      <c r="D804" s="73" t="s">
        <v>706</v>
      </c>
      <c r="E804" s="74"/>
      <c r="F804" s="74"/>
      <c r="G804" s="75" t="str">
        <f>IF(stdProdLT(Main[[#This Row],[Comments]])=0.1,"N/A",IF(stdProdLT(Main[[#This Row],[Comments]])=0,"",stdProdLT(Main[[#This Row],[Comments]])))</f>
        <v/>
      </c>
      <c r="H804" s="76" t="str">
        <f>IF(AND(Main[[#This Row],[In Stock Date]]&lt;&gt;"",Main[[#This Row],[Revised Due Date]]&lt;&gt;""),Main[[#This Row],[In Stock Date]]-Main[[#This Row],[Revised Due Date]],"")</f>
        <v/>
      </c>
      <c r="I804" s="72" t="s">
        <v>4</v>
      </c>
      <c r="J804" s="72" t="s">
        <v>4</v>
      </c>
      <c r="K804" s="81" t="s">
        <v>4</v>
      </c>
      <c r="L804" s="74"/>
      <c r="M804" s="77" t="str">
        <f>IF(Main[[#This Row],[Tech Start Date]]&lt;1/1/1990,"",IF(Main[[#This Row],[Class]]="C",WORKDAY(Main[[#This Row],[Tech Start Date]],9),IF(Main[[#This Row],[Class]]="B", WORKDAY(Main[[#This Row],[Tech Start Date]],6),IF(Main[[#This Row],[Class]]="A",WORKDAY(Main[[#This Row],[Tech Start Date]],2),""))))</f>
        <v/>
      </c>
      <c r="N804" s="77" t="str">
        <f>IF(Main[[#This Row],[Tech Start Date]]&lt;1/1/1990,"",IF(Main[[#This Row],[Class]]="C",WORKDAY(Main[[#This Row],[Tech Start Date]],19),IF(Main[[#This Row],[Class]]="B", WORKDAY(Main[[#This Row],[Tech Start Date]],12),IF(Main[[#This Row],[Class]]="A",WORKDAY(Main[[#This Row],[Tech Start Date]],4),""))))</f>
        <v/>
      </c>
      <c r="O804" s="77" t="str">
        <f>IF(Main[[#This Row],[Tech Start Date]]&lt;1/1/1990,"",IF(Main[[#This Row],[Class]]="C",WORKDAY(Main[[#This Row],[Tech Start Date]],23),IF(Main[[#This Row],[Class]]="B", WORKDAY(Main[[#This Row],[Tech Start Date]],15),IF(Main[[#This Row],[Class]]="A",WORKDAY(Main[[#This Row],[Tech Start Date]],5),""))))</f>
        <v/>
      </c>
      <c r="P804" s="77" t="str">
        <f>IF(Main[[#This Row],[Tech Start Date]]&lt;1/1/1990,"",IF(Main[[#This Row],[Class]]="C",WORKDAY(Main[[#This Row],[Tech Start Date]],28),IF(Main[[#This Row],[Class]]="B", WORKDAY(Main[[#This Row],[Tech Start Date]],19),IF(Main[[#This Row],[Class]]="A",WORKDAY(Main[[#This Row],[Tech Start Date]],9),""))))</f>
        <v/>
      </c>
      <c r="Q804" s="74"/>
      <c r="R804" s="74"/>
      <c r="S804" s="72" t="s">
        <v>11</v>
      </c>
      <c r="T804" s="80" t="s">
        <v>4</v>
      </c>
      <c r="U804" s="72" t="s">
        <v>14</v>
      </c>
      <c r="V804" s="72" t="s">
        <v>1937</v>
      </c>
      <c r="W804" s="72" t="s">
        <v>1948</v>
      </c>
      <c r="X804" s="72" t="s">
        <v>2972</v>
      </c>
      <c r="Y804" s="72" t="s">
        <v>3251</v>
      </c>
      <c r="Z804" s="72" t="s">
        <v>4</v>
      </c>
    </row>
    <row r="805" spans="1:26" ht="18.600000000000001" customHeight="1">
      <c r="A805" s="142" t="str">
        <f>IF(priority(Main[[#This Row],[Comments]])&lt;&gt;0, priority(Main[[#This Row],[Comments]]),"")</f>
        <v/>
      </c>
      <c r="B805" s="90" t="s">
        <v>1641</v>
      </c>
      <c r="C805" s="72" t="s">
        <v>4</v>
      </c>
      <c r="D805" s="73" t="s">
        <v>707</v>
      </c>
      <c r="E805" s="74">
        <v>40626.478958333333</v>
      </c>
      <c r="F805" s="74"/>
      <c r="G805" s="75" t="str">
        <f>IF(stdProdLT(Main[[#This Row],[Comments]])=0.1,"N/A",IF(stdProdLT(Main[[#This Row],[Comments]])=0,"",stdProdLT(Main[[#This Row],[Comments]])))</f>
        <v/>
      </c>
      <c r="H805" s="76" t="str">
        <f>IF(AND(Main[[#This Row],[In Stock Date]]&lt;&gt;"",Main[[#This Row],[Revised Due Date]]&lt;&gt;""),Main[[#This Row],[In Stock Date]]-Main[[#This Row],[Revised Due Date]],"")</f>
        <v/>
      </c>
      <c r="I805" s="72" t="s">
        <v>375</v>
      </c>
      <c r="J805" s="72" t="s">
        <v>28</v>
      </c>
      <c r="K805" s="72" t="s">
        <v>1946</v>
      </c>
      <c r="L805" s="74"/>
      <c r="M805" s="77" t="str">
        <f>IF(Main[[#This Row],[Tech Start Date]]&lt;1/1/1990,"",IF(Main[[#This Row],[Class]]="C",WORKDAY(Main[[#This Row],[Tech Start Date]],9),IF(Main[[#This Row],[Class]]="B", WORKDAY(Main[[#This Row],[Tech Start Date]],6),IF(Main[[#This Row],[Class]]="A",WORKDAY(Main[[#This Row],[Tech Start Date]],2),""))))</f>
        <v/>
      </c>
      <c r="N805" s="77" t="str">
        <f>IF(Main[[#This Row],[Tech Start Date]]&lt;1/1/1990,"",IF(Main[[#This Row],[Class]]="C",WORKDAY(Main[[#This Row],[Tech Start Date]],19),IF(Main[[#This Row],[Class]]="B", WORKDAY(Main[[#This Row],[Tech Start Date]],12),IF(Main[[#This Row],[Class]]="A",WORKDAY(Main[[#This Row],[Tech Start Date]],4),""))))</f>
        <v/>
      </c>
      <c r="O805" s="77" t="str">
        <f>IF(Main[[#This Row],[Tech Start Date]]&lt;1/1/1990,"",IF(Main[[#This Row],[Class]]="C",WORKDAY(Main[[#This Row],[Tech Start Date]],23),IF(Main[[#This Row],[Class]]="B", WORKDAY(Main[[#This Row],[Tech Start Date]],15),IF(Main[[#This Row],[Class]]="A",WORKDAY(Main[[#This Row],[Tech Start Date]],5),""))))</f>
        <v/>
      </c>
      <c r="P805" s="77" t="str">
        <f>IF(Main[[#This Row],[Tech Start Date]]&lt;1/1/1990,"",IF(Main[[#This Row],[Class]]="C",WORKDAY(Main[[#This Row],[Tech Start Date]],28),IF(Main[[#This Row],[Class]]="B", WORKDAY(Main[[#This Row],[Tech Start Date]],19),IF(Main[[#This Row],[Class]]="A",WORKDAY(Main[[#This Row],[Tech Start Date]],9),""))))</f>
        <v/>
      </c>
      <c r="Q805" s="74"/>
      <c r="R805" s="74"/>
      <c r="S805" s="72" t="s">
        <v>6</v>
      </c>
      <c r="T805" s="80" t="s">
        <v>4</v>
      </c>
      <c r="U805" s="72" t="s">
        <v>29</v>
      </c>
      <c r="V805" s="72" t="s">
        <v>1940</v>
      </c>
      <c r="W805" s="72" t="s">
        <v>1941</v>
      </c>
      <c r="X805" s="72" t="s">
        <v>74</v>
      </c>
      <c r="Y805" s="72" t="s">
        <v>3189</v>
      </c>
      <c r="Z805" s="72" t="s">
        <v>421</v>
      </c>
    </row>
    <row r="806" spans="1:26" ht="18.600000000000001" customHeight="1">
      <c r="A806" s="142" t="str">
        <f>IF(priority(Main[[#This Row],[Comments]])&lt;&gt;0, priority(Main[[#This Row],[Comments]]),"")</f>
        <v/>
      </c>
      <c r="B806" s="90" t="s">
        <v>1642</v>
      </c>
      <c r="C806" s="72" t="s">
        <v>4</v>
      </c>
      <c r="D806" s="73" t="s">
        <v>708</v>
      </c>
      <c r="E806" s="74"/>
      <c r="F806" s="74">
        <v>40598</v>
      </c>
      <c r="G806" s="75" t="str">
        <f>IF(stdProdLT(Main[[#This Row],[Comments]])=0.1,"N/A",IF(stdProdLT(Main[[#This Row],[Comments]])=0,"",stdProdLT(Main[[#This Row],[Comments]])))</f>
        <v/>
      </c>
      <c r="H806" s="76" t="str">
        <f>IF(AND(Main[[#This Row],[In Stock Date]]&lt;&gt;"",Main[[#This Row],[Revised Due Date]]&lt;&gt;""),Main[[#This Row],[In Stock Date]]-Main[[#This Row],[Revised Due Date]],"")</f>
        <v/>
      </c>
      <c r="I806" s="72" t="s">
        <v>404</v>
      </c>
      <c r="J806" s="72" t="s">
        <v>75</v>
      </c>
      <c r="K806" s="72" t="s">
        <v>4</v>
      </c>
      <c r="L806" s="74"/>
      <c r="M806" s="77" t="str">
        <f>IF(Main[[#This Row],[Tech Start Date]]&lt;1/1/1990,"",IF(Main[[#This Row],[Class]]="C",WORKDAY(Main[[#This Row],[Tech Start Date]],9),IF(Main[[#This Row],[Class]]="B", WORKDAY(Main[[#This Row],[Tech Start Date]],6),IF(Main[[#This Row],[Class]]="A",WORKDAY(Main[[#This Row],[Tech Start Date]],2),""))))</f>
        <v/>
      </c>
      <c r="N806" s="77" t="str">
        <f>IF(Main[[#This Row],[Tech Start Date]]&lt;1/1/1990,"",IF(Main[[#This Row],[Class]]="C",WORKDAY(Main[[#This Row],[Tech Start Date]],19),IF(Main[[#This Row],[Class]]="B", WORKDAY(Main[[#This Row],[Tech Start Date]],12),IF(Main[[#This Row],[Class]]="A",WORKDAY(Main[[#This Row],[Tech Start Date]],4),""))))</f>
        <v/>
      </c>
      <c r="O806" s="77" t="str">
        <f>IF(Main[[#This Row],[Tech Start Date]]&lt;1/1/1990,"",IF(Main[[#This Row],[Class]]="C",WORKDAY(Main[[#This Row],[Tech Start Date]],23),IF(Main[[#This Row],[Class]]="B", WORKDAY(Main[[#This Row],[Tech Start Date]],15),IF(Main[[#This Row],[Class]]="A",WORKDAY(Main[[#This Row],[Tech Start Date]],5),""))))</f>
        <v/>
      </c>
      <c r="P806" s="77" t="str">
        <f>IF(Main[[#This Row],[Tech Start Date]]&lt;1/1/1990,"",IF(Main[[#This Row],[Class]]="C",WORKDAY(Main[[#This Row],[Tech Start Date]],28),IF(Main[[#This Row],[Class]]="B", WORKDAY(Main[[#This Row],[Tech Start Date]],19),IF(Main[[#This Row],[Class]]="A",WORKDAY(Main[[#This Row],[Tech Start Date]],9),""))))</f>
        <v/>
      </c>
      <c r="Q806" s="74">
        <v>40598</v>
      </c>
      <c r="R806" s="74"/>
      <c r="S806" s="72" t="s">
        <v>6</v>
      </c>
      <c r="T806" s="80" t="s">
        <v>4</v>
      </c>
      <c r="U806" s="72" t="s">
        <v>14</v>
      </c>
      <c r="V806" s="72" t="s">
        <v>1947</v>
      </c>
      <c r="W806" s="72" t="s">
        <v>1943</v>
      </c>
      <c r="X806" s="72" t="s">
        <v>3000</v>
      </c>
      <c r="Y806" s="72" t="s">
        <v>3137</v>
      </c>
      <c r="Z806" s="72" t="s">
        <v>311</v>
      </c>
    </row>
    <row r="807" spans="1:26" ht="18.600000000000001" customHeight="1">
      <c r="A807" s="142" t="str">
        <f>IF(priority(Main[[#This Row],[Comments]])&lt;&gt;0, priority(Main[[#This Row],[Comments]]),"")</f>
        <v/>
      </c>
      <c r="B807" s="90" t="s">
        <v>2196</v>
      </c>
      <c r="C807" s="72" t="s">
        <v>2191</v>
      </c>
      <c r="D807" s="73" t="s">
        <v>2823</v>
      </c>
      <c r="E807" s="74">
        <v>40781.401631944442</v>
      </c>
      <c r="F807" s="74"/>
      <c r="G807" s="75" t="str">
        <f>IF(stdProdLT(Main[[#This Row],[Comments]])=0.1,"N/A",IF(stdProdLT(Main[[#This Row],[Comments]])=0,"",stdProdLT(Main[[#This Row],[Comments]])))</f>
        <v/>
      </c>
      <c r="H807" s="76" t="str">
        <f>IF(AND(Main[[#This Row],[In Stock Date]]&lt;&gt;"",Main[[#This Row],[Revised Due Date]]&lt;&gt;""),Main[[#This Row],[In Stock Date]]-Main[[#This Row],[Revised Due Date]],"")</f>
        <v/>
      </c>
      <c r="I807" s="72" t="s">
        <v>2078</v>
      </c>
      <c r="J807" s="72" t="s">
        <v>70</v>
      </c>
      <c r="K807" s="81" t="s">
        <v>1946</v>
      </c>
      <c r="L807" s="74"/>
      <c r="M807" s="77" t="str">
        <f>IF(Main[[#This Row],[Tech Start Date]]&lt;1/1/1990,"",IF(Main[[#This Row],[Class]]="C",WORKDAY(Main[[#This Row],[Tech Start Date]],9),IF(Main[[#This Row],[Class]]="B", WORKDAY(Main[[#This Row],[Tech Start Date]],6),IF(Main[[#This Row],[Class]]="A",WORKDAY(Main[[#This Row],[Tech Start Date]],2),""))))</f>
        <v/>
      </c>
      <c r="N807" s="77" t="str">
        <f>IF(Main[[#This Row],[Tech Start Date]]&lt;1/1/1990,"",IF(Main[[#This Row],[Class]]="C",WORKDAY(Main[[#This Row],[Tech Start Date]],19),IF(Main[[#This Row],[Class]]="B", WORKDAY(Main[[#This Row],[Tech Start Date]],12),IF(Main[[#This Row],[Class]]="A",WORKDAY(Main[[#This Row],[Tech Start Date]],4),""))))</f>
        <v/>
      </c>
      <c r="O807" s="77" t="str">
        <f>IF(Main[[#This Row],[Tech Start Date]]&lt;1/1/1990,"",IF(Main[[#This Row],[Class]]="C",WORKDAY(Main[[#This Row],[Tech Start Date]],23),IF(Main[[#This Row],[Class]]="B", WORKDAY(Main[[#This Row],[Tech Start Date]],15),IF(Main[[#This Row],[Class]]="A",WORKDAY(Main[[#This Row],[Tech Start Date]],5),""))))</f>
        <v/>
      </c>
      <c r="P807" s="77" t="str">
        <f>IF(Main[[#This Row],[Tech Start Date]]&lt;1/1/1990,"",IF(Main[[#This Row],[Class]]="C",WORKDAY(Main[[#This Row],[Tech Start Date]],28),IF(Main[[#This Row],[Class]]="B", WORKDAY(Main[[#This Row],[Tech Start Date]],19),IF(Main[[#This Row],[Class]]="A",WORKDAY(Main[[#This Row],[Tech Start Date]],9),""))))</f>
        <v/>
      </c>
      <c r="Q807" s="74">
        <v>40836</v>
      </c>
      <c r="R807" s="74"/>
      <c r="S807" s="72" t="s">
        <v>6</v>
      </c>
      <c r="T807" s="80" t="s">
        <v>4</v>
      </c>
      <c r="U807" s="72" t="s">
        <v>29</v>
      </c>
      <c r="V807" s="72" t="s">
        <v>1940</v>
      </c>
      <c r="W807" s="72" t="s">
        <v>1941</v>
      </c>
      <c r="X807" s="72" t="s">
        <v>2988</v>
      </c>
      <c r="Y807" s="72" t="s">
        <v>3123</v>
      </c>
      <c r="Z807" s="72" t="s">
        <v>30</v>
      </c>
    </row>
    <row r="808" spans="1:26" ht="18.600000000000001" customHeight="1">
      <c r="A808" s="142" t="str">
        <f>IF(priority(Main[[#This Row],[Comments]])&lt;&gt;0, priority(Main[[#This Row],[Comments]]),"")</f>
        <v/>
      </c>
      <c r="B808" s="90" t="s">
        <v>2102</v>
      </c>
      <c r="C808" s="72" t="s">
        <v>4</v>
      </c>
      <c r="D808" s="73" t="s">
        <v>2428</v>
      </c>
      <c r="E808" s="74">
        <v>40760.554780092592</v>
      </c>
      <c r="F808" s="74"/>
      <c r="G808" s="75" t="str">
        <f>IF(stdProdLT(Main[[#This Row],[Comments]])=0.1,"N/A",IF(stdProdLT(Main[[#This Row],[Comments]])=0,"",stdProdLT(Main[[#This Row],[Comments]])))</f>
        <v/>
      </c>
      <c r="H808" s="76" t="str">
        <f>IF(AND(Main[[#This Row],[In Stock Date]]&lt;&gt;"",Main[[#This Row],[Revised Due Date]]&lt;&gt;""),Main[[#This Row],[In Stock Date]]-Main[[#This Row],[Revised Due Date]],"")</f>
        <v/>
      </c>
      <c r="I808" s="72" t="s">
        <v>4</v>
      </c>
      <c r="J808" s="72" t="s">
        <v>4</v>
      </c>
      <c r="K808" s="72" t="s">
        <v>4</v>
      </c>
      <c r="L808" s="74"/>
      <c r="M808" s="77" t="str">
        <f>IF(Main[[#This Row],[Tech Start Date]]&lt;1/1/1990,"",IF(Main[[#This Row],[Class]]="C",WORKDAY(Main[[#This Row],[Tech Start Date]],9),IF(Main[[#This Row],[Class]]="B", WORKDAY(Main[[#This Row],[Tech Start Date]],6),IF(Main[[#This Row],[Class]]="A",WORKDAY(Main[[#This Row],[Tech Start Date]],2),""))))</f>
        <v/>
      </c>
      <c r="N808" s="77" t="str">
        <f>IF(Main[[#This Row],[Tech Start Date]]&lt;1/1/1990,"",IF(Main[[#This Row],[Class]]="C",WORKDAY(Main[[#This Row],[Tech Start Date]],19),IF(Main[[#This Row],[Class]]="B", WORKDAY(Main[[#This Row],[Tech Start Date]],12),IF(Main[[#This Row],[Class]]="A",WORKDAY(Main[[#This Row],[Tech Start Date]],4),""))))</f>
        <v/>
      </c>
      <c r="O808" s="77" t="str">
        <f>IF(Main[[#This Row],[Tech Start Date]]&lt;1/1/1990,"",IF(Main[[#This Row],[Class]]="C",WORKDAY(Main[[#This Row],[Tech Start Date]],23),IF(Main[[#This Row],[Class]]="B", WORKDAY(Main[[#This Row],[Tech Start Date]],15),IF(Main[[#This Row],[Class]]="A",WORKDAY(Main[[#This Row],[Tech Start Date]],5),""))))</f>
        <v/>
      </c>
      <c r="P808" s="77" t="str">
        <f>IF(Main[[#This Row],[Tech Start Date]]&lt;1/1/1990,"",IF(Main[[#This Row],[Class]]="C",WORKDAY(Main[[#This Row],[Tech Start Date]],28),IF(Main[[#This Row],[Class]]="B", WORKDAY(Main[[#This Row],[Tech Start Date]],19),IF(Main[[#This Row],[Class]]="A",WORKDAY(Main[[#This Row],[Tech Start Date]],9),""))))</f>
        <v/>
      </c>
      <c r="Q808" s="74"/>
      <c r="R808" s="74"/>
      <c r="S808" s="72" t="s">
        <v>6</v>
      </c>
      <c r="T808" s="80" t="s">
        <v>4</v>
      </c>
      <c r="U808" s="72" t="s">
        <v>7</v>
      </c>
      <c r="V808" s="72" t="s">
        <v>1937</v>
      </c>
      <c r="W808" s="72" t="s">
        <v>1941</v>
      </c>
      <c r="X808" s="72" t="s">
        <v>311</v>
      </c>
      <c r="Y808" s="72" t="s">
        <v>4</v>
      </c>
      <c r="Z808" s="72" t="s">
        <v>4</v>
      </c>
    </row>
    <row r="809" spans="1:26" ht="18.600000000000001" customHeight="1">
      <c r="A809" s="142" t="str">
        <f>IF(priority(Main[[#This Row],[Comments]])&lt;&gt;0, priority(Main[[#This Row],[Comments]]),"")</f>
        <v/>
      </c>
      <c r="B809" s="90" t="s">
        <v>1643</v>
      </c>
      <c r="C809" s="72" t="s">
        <v>4</v>
      </c>
      <c r="D809" s="73" t="s">
        <v>709</v>
      </c>
      <c r="E809" s="74"/>
      <c r="F809" s="74"/>
      <c r="G809" s="75" t="str">
        <f>IF(stdProdLT(Main[[#This Row],[Comments]])=0.1,"N/A",IF(stdProdLT(Main[[#This Row],[Comments]])=0,"",stdProdLT(Main[[#This Row],[Comments]])))</f>
        <v/>
      </c>
      <c r="H809" s="76" t="str">
        <f>IF(AND(Main[[#This Row],[In Stock Date]]&lt;&gt;"",Main[[#This Row],[Revised Due Date]]&lt;&gt;""),Main[[#This Row],[In Stock Date]]-Main[[#This Row],[Revised Due Date]],"")</f>
        <v/>
      </c>
      <c r="I809" s="72" t="s">
        <v>4</v>
      </c>
      <c r="J809" s="72" t="s">
        <v>4</v>
      </c>
      <c r="K809" s="72" t="s">
        <v>4</v>
      </c>
      <c r="L809" s="74"/>
      <c r="M809" s="77" t="str">
        <f>IF(Main[[#This Row],[Tech Start Date]]&lt;1/1/1990,"",IF(Main[[#This Row],[Class]]="C",WORKDAY(Main[[#This Row],[Tech Start Date]],9),IF(Main[[#This Row],[Class]]="B", WORKDAY(Main[[#This Row],[Tech Start Date]],6),IF(Main[[#This Row],[Class]]="A",WORKDAY(Main[[#This Row],[Tech Start Date]],2),""))))</f>
        <v/>
      </c>
      <c r="N809" s="77" t="str">
        <f>IF(Main[[#This Row],[Tech Start Date]]&lt;1/1/1990,"",IF(Main[[#This Row],[Class]]="C",WORKDAY(Main[[#This Row],[Tech Start Date]],19),IF(Main[[#This Row],[Class]]="B", WORKDAY(Main[[#This Row],[Tech Start Date]],12),IF(Main[[#This Row],[Class]]="A",WORKDAY(Main[[#This Row],[Tech Start Date]],4),""))))</f>
        <v/>
      </c>
      <c r="O809" s="77" t="str">
        <f>IF(Main[[#This Row],[Tech Start Date]]&lt;1/1/1990,"",IF(Main[[#This Row],[Class]]="C",WORKDAY(Main[[#This Row],[Tech Start Date]],23),IF(Main[[#This Row],[Class]]="B", WORKDAY(Main[[#This Row],[Tech Start Date]],15),IF(Main[[#This Row],[Class]]="A",WORKDAY(Main[[#This Row],[Tech Start Date]],5),""))))</f>
        <v/>
      </c>
      <c r="P809" s="77" t="str">
        <f>IF(Main[[#This Row],[Tech Start Date]]&lt;1/1/1990,"",IF(Main[[#This Row],[Class]]="C",WORKDAY(Main[[#This Row],[Tech Start Date]],28),IF(Main[[#This Row],[Class]]="B", WORKDAY(Main[[#This Row],[Tech Start Date]],19),IF(Main[[#This Row],[Class]]="A",WORKDAY(Main[[#This Row],[Tech Start Date]],9),""))))</f>
        <v/>
      </c>
      <c r="Q809" s="74"/>
      <c r="R809" s="74"/>
      <c r="S809" s="72" t="s">
        <v>49</v>
      </c>
      <c r="T809" s="80" t="s">
        <v>4</v>
      </c>
      <c r="U809" s="72" t="s">
        <v>14</v>
      </c>
      <c r="V809" s="72" t="s">
        <v>1937</v>
      </c>
      <c r="W809" s="72" t="s">
        <v>1941</v>
      </c>
      <c r="X809" s="72" t="s">
        <v>311</v>
      </c>
      <c r="Y809" s="72" t="s">
        <v>4</v>
      </c>
      <c r="Z809" s="72" t="s">
        <v>4</v>
      </c>
    </row>
    <row r="810" spans="1:26" ht="18.600000000000001" customHeight="1">
      <c r="A810" s="142" t="str">
        <f>IF(priority(Main[[#This Row],[Comments]])&lt;&gt;0, priority(Main[[#This Row],[Comments]]),"")</f>
        <v/>
      </c>
      <c r="B810" s="90" t="s">
        <v>1644</v>
      </c>
      <c r="C810" s="72" t="s">
        <v>4</v>
      </c>
      <c r="D810" s="73" t="s">
        <v>710</v>
      </c>
      <c r="E810" s="74"/>
      <c r="F810" s="74"/>
      <c r="G810" s="75" t="str">
        <f>IF(stdProdLT(Main[[#This Row],[Comments]])=0.1,"N/A",IF(stdProdLT(Main[[#This Row],[Comments]])=0,"",stdProdLT(Main[[#This Row],[Comments]])))</f>
        <v/>
      </c>
      <c r="H810" s="76" t="str">
        <f>IF(AND(Main[[#This Row],[In Stock Date]]&lt;&gt;"",Main[[#This Row],[Revised Due Date]]&lt;&gt;""),Main[[#This Row],[In Stock Date]]-Main[[#This Row],[Revised Due Date]],"")</f>
        <v/>
      </c>
      <c r="I810" s="72" t="s">
        <v>4</v>
      </c>
      <c r="J810" s="72" t="s">
        <v>4</v>
      </c>
      <c r="K810" s="72" t="s">
        <v>4</v>
      </c>
      <c r="L810" s="74"/>
      <c r="M810" s="77" t="str">
        <f>IF(Main[[#This Row],[Tech Start Date]]&lt;1/1/1990,"",IF(Main[[#This Row],[Class]]="C",WORKDAY(Main[[#This Row],[Tech Start Date]],9),IF(Main[[#This Row],[Class]]="B", WORKDAY(Main[[#This Row],[Tech Start Date]],6),IF(Main[[#This Row],[Class]]="A",WORKDAY(Main[[#This Row],[Tech Start Date]],2),""))))</f>
        <v/>
      </c>
      <c r="N810" s="77" t="str">
        <f>IF(Main[[#This Row],[Tech Start Date]]&lt;1/1/1990,"",IF(Main[[#This Row],[Class]]="C",WORKDAY(Main[[#This Row],[Tech Start Date]],19),IF(Main[[#This Row],[Class]]="B", WORKDAY(Main[[#This Row],[Tech Start Date]],12),IF(Main[[#This Row],[Class]]="A",WORKDAY(Main[[#This Row],[Tech Start Date]],4),""))))</f>
        <v/>
      </c>
      <c r="O810" s="77" t="str">
        <f>IF(Main[[#This Row],[Tech Start Date]]&lt;1/1/1990,"",IF(Main[[#This Row],[Class]]="C",WORKDAY(Main[[#This Row],[Tech Start Date]],23),IF(Main[[#This Row],[Class]]="B", WORKDAY(Main[[#This Row],[Tech Start Date]],15),IF(Main[[#This Row],[Class]]="A",WORKDAY(Main[[#This Row],[Tech Start Date]],5),""))))</f>
        <v/>
      </c>
      <c r="P810" s="77" t="str">
        <f>IF(Main[[#This Row],[Tech Start Date]]&lt;1/1/1990,"",IF(Main[[#This Row],[Class]]="C",WORKDAY(Main[[#This Row],[Tech Start Date]],28),IF(Main[[#This Row],[Class]]="B", WORKDAY(Main[[#This Row],[Tech Start Date]],19),IF(Main[[#This Row],[Class]]="A",WORKDAY(Main[[#This Row],[Tech Start Date]],9),""))))</f>
        <v/>
      </c>
      <c r="Q810" s="74"/>
      <c r="R810" s="74"/>
      <c r="S810" s="72" t="s">
        <v>11</v>
      </c>
      <c r="T810" s="80" t="s">
        <v>4</v>
      </c>
      <c r="U810" s="72" t="s">
        <v>14</v>
      </c>
      <c r="V810" s="72" t="s">
        <v>1940</v>
      </c>
      <c r="W810" s="72" t="s">
        <v>1945</v>
      </c>
      <c r="X810" s="72" t="s">
        <v>311</v>
      </c>
      <c r="Y810" s="72" t="s">
        <v>4</v>
      </c>
      <c r="Z810" s="72" t="s">
        <v>4</v>
      </c>
    </row>
    <row r="811" spans="1:26" ht="18.600000000000001" customHeight="1">
      <c r="A811" s="142" t="str">
        <f>IF(priority(Main[[#This Row],[Comments]])&lt;&gt;0, priority(Main[[#This Row],[Comments]]),"")</f>
        <v/>
      </c>
      <c r="B811" s="90" t="s">
        <v>1645</v>
      </c>
      <c r="C811" s="72" t="s">
        <v>214</v>
      </c>
      <c r="D811" s="73" t="s">
        <v>215</v>
      </c>
      <c r="E811" s="74"/>
      <c r="F811" s="74">
        <v>40452</v>
      </c>
      <c r="G811" s="75" t="str">
        <f>IF(stdProdLT(Main[[#This Row],[Comments]])=0.1,"N/A",IF(stdProdLT(Main[[#This Row],[Comments]])=0,"",stdProdLT(Main[[#This Row],[Comments]])))</f>
        <v/>
      </c>
      <c r="H811" s="76" t="str">
        <f>IF(AND(Main[[#This Row],[In Stock Date]]&lt;&gt;"",Main[[#This Row],[Revised Due Date]]&lt;&gt;""),Main[[#This Row],[In Stock Date]]-Main[[#This Row],[Revised Due Date]],"")</f>
        <v/>
      </c>
      <c r="I811" s="72" t="s">
        <v>4</v>
      </c>
      <c r="J811" s="72" t="s">
        <v>4</v>
      </c>
      <c r="K811" s="81" t="s">
        <v>4</v>
      </c>
      <c r="L811" s="74"/>
      <c r="M811" s="77" t="str">
        <f>IF(Main[[#This Row],[Tech Start Date]]&lt;1/1/1990,"",IF(Main[[#This Row],[Class]]="C",WORKDAY(Main[[#This Row],[Tech Start Date]],9),IF(Main[[#This Row],[Class]]="B", WORKDAY(Main[[#This Row],[Tech Start Date]],6),IF(Main[[#This Row],[Class]]="A",WORKDAY(Main[[#This Row],[Tech Start Date]],2),""))))</f>
        <v/>
      </c>
      <c r="N811" s="77" t="str">
        <f>IF(Main[[#This Row],[Tech Start Date]]&lt;1/1/1990,"",IF(Main[[#This Row],[Class]]="C",WORKDAY(Main[[#This Row],[Tech Start Date]],19),IF(Main[[#This Row],[Class]]="B", WORKDAY(Main[[#This Row],[Tech Start Date]],12),IF(Main[[#This Row],[Class]]="A",WORKDAY(Main[[#This Row],[Tech Start Date]],4),""))))</f>
        <v/>
      </c>
      <c r="O811" s="77" t="str">
        <f>IF(Main[[#This Row],[Tech Start Date]]&lt;1/1/1990,"",IF(Main[[#This Row],[Class]]="C",WORKDAY(Main[[#This Row],[Tech Start Date]],23),IF(Main[[#This Row],[Class]]="B", WORKDAY(Main[[#This Row],[Tech Start Date]],15),IF(Main[[#This Row],[Class]]="A",WORKDAY(Main[[#This Row],[Tech Start Date]],5),""))))</f>
        <v/>
      </c>
      <c r="P811" s="77" t="str">
        <f>IF(Main[[#This Row],[Tech Start Date]]&lt;1/1/1990,"",IF(Main[[#This Row],[Class]]="C",WORKDAY(Main[[#This Row],[Tech Start Date]],28),IF(Main[[#This Row],[Class]]="B", WORKDAY(Main[[#This Row],[Tech Start Date]],19),IF(Main[[#This Row],[Class]]="A",WORKDAY(Main[[#This Row],[Tech Start Date]],9),""))))</f>
        <v/>
      </c>
      <c r="Q811" s="74">
        <v>40357</v>
      </c>
      <c r="R811" s="74"/>
      <c r="S811" s="72" t="s">
        <v>11</v>
      </c>
      <c r="T811" s="80" t="s">
        <v>4</v>
      </c>
      <c r="U811" s="72" t="s">
        <v>12</v>
      </c>
      <c r="V811" s="72" t="s">
        <v>1937</v>
      </c>
      <c r="W811" s="72" t="s">
        <v>1945</v>
      </c>
      <c r="X811" s="72" t="s">
        <v>2985</v>
      </c>
      <c r="Y811" s="72" t="s">
        <v>4</v>
      </c>
      <c r="Z811" s="72" t="s">
        <v>4</v>
      </c>
    </row>
    <row r="812" spans="1:26" ht="18.600000000000001" customHeight="1">
      <c r="A812" s="142" t="str">
        <f>IF(priority(Main[[#This Row],[Comments]])&lt;&gt;0, priority(Main[[#This Row],[Comments]]),"")</f>
        <v/>
      </c>
      <c r="B812" s="90" t="s">
        <v>2259</v>
      </c>
      <c r="C812" s="72" t="s">
        <v>4</v>
      </c>
      <c r="D812" s="73" t="s">
        <v>2260</v>
      </c>
      <c r="E812" s="74">
        <v>40802.257071759261</v>
      </c>
      <c r="F812" s="74"/>
      <c r="G812" s="75" t="str">
        <f>IF(stdProdLT(Main[[#This Row],[Comments]])=0.1,"N/A",IF(stdProdLT(Main[[#This Row],[Comments]])=0,"",stdProdLT(Main[[#This Row],[Comments]])))</f>
        <v/>
      </c>
      <c r="H812" s="76" t="str">
        <f>IF(AND(Main[[#This Row],[In Stock Date]]&lt;&gt;"",Main[[#This Row],[Revised Due Date]]&lt;&gt;""),Main[[#This Row],[In Stock Date]]-Main[[#This Row],[Revised Due Date]],"")</f>
        <v/>
      </c>
      <c r="I812" s="72" t="s">
        <v>4</v>
      </c>
      <c r="J812" s="72" t="s">
        <v>4</v>
      </c>
      <c r="K812" s="72" t="s">
        <v>4</v>
      </c>
      <c r="L812" s="74"/>
      <c r="M812" s="77" t="str">
        <f>IF(Main[[#This Row],[Tech Start Date]]&lt;1/1/1990,"",IF(Main[[#This Row],[Class]]="C",WORKDAY(Main[[#This Row],[Tech Start Date]],9),IF(Main[[#This Row],[Class]]="B", WORKDAY(Main[[#This Row],[Tech Start Date]],6),IF(Main[[#This Row],[Class]]="A",WORKDAY(Main[[#This Row],[Tech Start Date]],2),""))))</f>
        <v/>
      </c>
      <c r="N812" s="77" t="str">
        <f>IF(Main[[#This Row],[Tech Start Date]]&lt;1/1/1990,"",IF(Main[[#This Row],[Class]]="C",WORKDAY(Main[[#This Row],[Tech Start Date]],19),IF(Main[[#This Row],[Class]]="B", WORKDAY(Main[[#This Row],[Tech Start Date]],12),IF(Main[[#This Row],[Class]]="A",WORKDAY(Main[[#This Row],[Tech Start Date]],4),""))))</f>
        <v/>
      </c>
      <c r="O812" s="77" t="str">
        <f>IF(Main[[#This Row],[Tech Start Date]]&lt;1/1/1990,"",IF(Main[[#This Row],[Class]]="C",WORKDAY(Main[[#This Row],[Tech Start Date]],23),IF(Main[[#This Row],[Class]]="B", WORKDAY(Main[[#This Row],[Tech Start Date]],15),IF(Main[[#This Row],[Class]]="A",WORKDAY(Main[[#This Row],[Tech Start Date]],5),""))))</f>
        <v/>
      </c>
      <c r="P812" s="77" t="str">
        <f>IF(Main[[#This Row],[Tech Start Date]]&lt;1/1/1990,"",IF(Main[[#This Row],[Class]]="C",WORKDAY(Main[[#This Row],[Tech Start Date]],28),IF(Main[[#This Row],[Class]]="B", WORKDAY(Main[[#This Row],[Tech Start Date]],19),IF(Main[[#This Row],[Class]]="A",WORKDAY(Main[[#This Row],[Tech Start Date]],9),""))))</f>
        <v/>
      </c>
      <c r="Q812" s="74">
        <v>40816</v>
      </c>
      <c r="R812" s="74"/>
      <c r="S812" s="72" t="s">
        <v>6</v>
      </c>
      <c r="T812" s="80" t="s">
        <v>4</v>
      </c>
      <c r="U812" s="72" t="s">
        <v>7</v>
      </c>
      <c r="V812" s="72" t="s">
        <v>1937</v>
      </c>
      <c r="W812" s="72" t="s">
        <v>1945</v>
      </c>
      <c r="X812" s="72" t="s">
        <v>2973</v>
      </c>
      <c r="Y812" s="72" t="s">
        <v>3094</v>
      </c>
      <c r="Z812" s="72" t="s">
        <v>4</v>
      </c>
    </row>
    <row r="813" spans="1:26" ht="18.600000000000001" customHeight="1">
      <c r="A813" s="142" t="str">
        <f>IF(priority(Main[[#This Row],[Comments]])&lt;&gt;0, priority(Main[[#This Row],[Comments]]),"")</f>
        <v/>
      </c>
      <c r="B813" s="90" t="s">
        <v>1647</v>
      </c>
      <c r="C813" s="72" t="s">
        <v>352</v>
      </c>
      <c r="D813" s="73" t="s">
        <v>712</v>
      </c>
      <c r="E813" s="74"/>
      <c r="F813" s="74">
        <v>40664</v>
      </c>
      <c r="G813" s="75" t="str">
        <f>IF(stdProdLT(Main[[#This Row],[Comments]])=0.1,"N/A",IF(stdProdLT(Main[[#This Row],[Comments]])=0,"",stdProdLT(Main[[#This Row],[Comments]])))</f>
        <v/>
      </c>
      <c r="H813" s="76" t="str">
        <f>IF(AND(Main[[#This Row],[In Stock Date]]&lt;&gt;"",Main[[#This Row],[Revised Due Date]]&lt;&gt;""),Main[[#This Row],[In Stock Date]]-Main[[#This Row],[Revised Due Date]],"")</f>
        <v/>
      </c>
      <c r="I813" s="72" t="s">
        <v>404</v>
      </c>
      <c r="J813" s="72" t="s">
        <v>75</v>
      </c>
      <c r="K813" s="72" t="s">
        <v>1944</v>
      </c>
      <c r="L813" s="74"/>
      <c r="M813" s="77" t="str">
        <f>IF(Main[[#This Row],[Tech Start Date]]&lt;1/1/1990,"",IF(Main[[#This Row],[Class]]="C",WORKDAY(Main[[#This Row],[Tech Start Date]],9),IF(Main[[#This Row],[Class]]="B", WORKDAY(Main[[#This Row],[Tech Start Date]],6),IF(Main[[#This Row],[Class]]="A",WORKDAY(Main[[#This Row],[Tech Start Date]],2),""))))</f>
        <v/>
      </c>
      <c r="N813" s="77" t="str">
        <f>IF(Main[[#This Row],[Tech Start Date]]&lt;1/1/1990,"",IF(Main[[#This Row],[Class]]="C",WORKDAY(Main[[#This Row],[Tech Start Date]],19),IF(Main[[#This Row],[Class]]="B", WORKDAY(Main[[#This Row],[Tech Start Date]],12),IF(Main[[#This Row],[Class]]="A",WORKDAY(Main[[#This Row],[Tech Start Date]],4),""))))</f>
        <v/>
      </c>
      <c r="O813" s="77" t="str">
        <f>IF(Main[[#This Row],[Tech Start Date]]&lt;1/1/1990,"",IF(Main[[#This Row],[Class]]="C",WORKDAY(Main[[#This Row],[Tech Start Date]],23),IF(Main[[#This Row],[Class]]="B", WORKDAY(Main[[#This Row],[Tech Start Date]],15),IF(Main[[#This Row],[Class]]="A",WORKDAY(Main[[#This Row],[Tech Start Date]],5),""))))</f>
        <v/>
      </c>
      <c r="P813" s="77" t="str">
        <f>IF(Main[[#This Row],[Tech Start Date]]&lt;1/1/1990,"",IF(Main[[#This Row],[Class]]="C",WORKDAY(Main[[#This Row],[Tech Start Date]],28),IF(Main[[#This Row],[Class]]="B", WORKDAY(Main[[#This Row],[Tech Start Date]],19),IF(Main[[#This Row],[Class]]="A",WORKDAY(Main[[#This Row],[Tech Start Date]],9),""))))</f>
        <v/>
      </c>
      <c r="Q813" s="74"/>
      <c r="R813" s="74"/>
      <c r="S813" s="72" t="s">
        <v>11</v>
      </c>
      <c r="T813" s="80" t="s">
        <v>4</v>
      </c>
      <c r="U813" s="72" t="s">
        <v>14</v>
      </c>
      <c r="V813" s="72" t="s">
        <v>1940</v>
      </c>
      <c r="W813" s="72" t="s">
        <v>1943</v>
      </c>
      <c r="X813" s="72" t="s">
        <v>50</v>
      </c>
      <c r="Y813" s="72" t="s">
        <v>3252</v>
      </c>
      <c r="Z813" s="72" t="s">
        <v>311</v>
      </c>
    </row>
    <row r="814" spans="1:26" ht="18.600000000000001" customHeight="1">
      <c r="A814" s="142" t="str">
        <f>IF(priority(Main[[#This Row],[Comments]])&lt;&gt;0, priority(Main[[#This Row],[Comments]]),"")</f>
        <v/>
      </c>
      <c r="B814" s="90" t="s">
        <v>1648</v>
      </c>
      <c r="C814" s="72" t="s">
        <v>4</v>
      </c>
      <c r="D814" s="73" t="s">
        <v>97</v>
      </c>
      <c r="E814" s="74"/>
      <c r="F814" s="74"/>
      <c r="G814" s="75" t="str">
        <f>IF(stdProdLT(Main[[#This Row],[Comments]])=0.1,"N/A",IF(stdProdLT(Main[[#This Row],[Comments]])=0,"",stdProdLT(Main[[#This Row],[Comments]])))</f>
        <v/>
      </c>
      <c r="H814" s="76" t="str">
        <f>IF(AND(Main[[#This Row],[In Stock Date]]&lt;&gt;"",Main[[#This Row],[Revised Due Date]]&lt;&gt;""),Main[[#This Row],[In Stock Date]]-Main[[#This Row],[Revised Due Date]],"")</f>
        <v/>
      </c>
      <c r="I814" s="72" t="s">
        <v>4</v>
      </c>
      <c r="J814" s="72" t="s">
        <v>4</v>
      </c>
      <c r="K814" s="72" t="s">
        <v>4</v>
      </c>
      <c r="L814" s="74"/>
      <c r="M814" s="77" t="str">
        <f>IF(Main[[#This Row],[Tech Start Date]]&lt;1/1/1990,"",IF(Main[[#This Row],[Class]]="C",WORKDAY(Main[[#This Row],[Tech Start Date]],9),IF(Main[[#This Row],[Class]]="B", WORKDAY(Main[[#This Row],[Tech Start Date]],6),IF(Main[[#This Row],[Class]]="A",WORKDAY(Main[[#This Row],[Tech Start Date]],2),""))))</f>
        <v/>
      </c>
      <c r="N814" s="77" t="str">
        <f>IF(Main[[#This Row],[Tech Start Date]]&lt;1/1/1990,"",IF(Main[[#This Row],[Class]]="C",WORKDAY(Main[[#This Row],[Tech Start Date]],19),IF(Main[[#This Row],[Class]]="B", WORKDAY(Main[[#This Row],[Tech Start Date]],12),IF(Main[[#This Row],[Class]]="A",WORKDAY(Main[[#This Row],[Tech Start Date]],4),""))))</f>
        <v/>
      </c>
      <c r="O814" s="77" t="str">
        <f>IF(Main[[#This Row],[Tech Start Date]]&lt;1/1/1990,"",IF(Main[[#This Row],[Class]]="C",WORKDAY(Main[[#This Row],[Tech Start Date]],23),IF(Main[[#This Row],[Class]]="B", WORKDAY(Main[[#This Row],[Tech Start Date]],15),IF(Main[[#This Row],[Class]]="A",WORKDAY(Main[[#This Row],[Tech Start Date]],5),""))))</f>
        <v/>
      </c>
      <c r="P814" s="77" t="str">
        <f>IF(Main[[#This Row],[Tech Start Date]]&lt;1/1/1990,"",IF(Main[[#This Row],[Class]]="C",WORKDAY(Main[[#This Row],[Tech Start Date]],28),IF(Main[[#This Row],[Class]]="B", WORKDAY(Main[[#This Row],[Tech Start Date]],19),IF(Main[[#This Row],[Class]]="A",WORKDAY(Main[[#This Row],[Tech Start Date]],9),""))))</f>
        <v/>
      </c>
      <c r="Q814" s="74">
        <v>40858</v>
      </c>
      <c r="R814" s="74"/>
      <c r="S814" s="72" t="s">
        <v>17</v>
      </c>
      <c r="T814" s="80" t="s">
        <v>4</v>
      </c>
      <c r="U814" s="72" t="s">
        <v>14</v>
      </c>
      <c r="V814" s="72" t="s">
        <v>1937</v>
      </c>
      <c r="W814" s="72" t="s">
        <v>1942</v>
      </c>
      <c r="X814" s="72" t="s">
        <v>50</v>
      </c>
      <c r="Y814" s="72" t="s">
        <v>3117</v>
      </c>
      <c r="Z814" s="72" t="s">
        <v>4</v>
      </c>
    </row>
    <row r="815" spans="1:26" ht="18.600000000000001" customHeight="1">
      <c r="A815" s="142" t="str">
        <f>IF(priority(Main[[#This Row],[Comments]])&lt;&gt;0, priority(Main[[#This Row],[Comments]]),"")</f>
        <v/>
      </c>
      <c r="B815" s="90" t="s">
        <v>1649</v>
      </c>
      <c r="C815" s="72" t="s">
        <v>4</v>
      </c>
      <c r="D815" s="73" t="s">
        <v>97</v>
      </c>
      <c r="E815" s="74"/>
      <c r="F815" s="74"/>
      <c r="G815" s="75" t="str">
        <f>IF(stdProdLT(Main[[#This Row],[Comments]])=0.1,"N/A",IF(stdProdLT(Main[[#This Row],[Comments]])=0,"",stdProdLT(Main[[#This Row],[Comments]])))</f>
        <v/>
      </c>
      <c r="H815" s="76" t="str">
        <f>IF(AND(Main[[#This Row],[In Stock Date]]&lt;&gt;"",Main[[#This Row],[Revised Due Date]]&lt;&gt;""),Main[[#This Row],[In Stock Date]]-Main[[#This Row],[Revised Due Date]],"")</f>
        <v/>
      </c>
      <c r="I815" s="72" t="s">
        <v>4</v>
      </c>
      <c r="J815" s="72" t="s">
        <v>4</v>
      </c>
      <c r="K815" s="72" t="s">
        <v>4</v>
      </c>
      <c r="L815" s="74"/>
      <c r="M815" s="77" t="str">
        <f>IF(Main[[#This Row],[Tech Start Date]]&lt;1/1/1990,"",IF(Main[[#This Row],[Class]]="C",WORKDAY(Main[[#This Row],[Tech Start Date]],9),IF(Main[[#This Row],[Class]]="B", WORKDAY(Main[[#This Row],[Tech Start Date]],6),IF(Main[[#This Row],[Class]]="A",WORKDAY(Main[[#This Row],[Tech Start Date]],2),""))))</f>
        <v/>
      </c>
      <c r="N815" s="77" t="str">
        <f>IF(Main[[#This Row],[Tech Start Date]]&lt;1/1/1990,"",IF(Main[[#This Row],[Class]]="C",WORKDAY(Main[[#This Row],[Tech Start Date]],19),IF(Main[[#This Row],[Class]]="B", WORKDAY(Main[[#This Row],[Tech Start Date]],12),IF(Main[[#This Row],[Class]]="A",WORKDAY(Main[[#This Row],[Tech Start Date]],4),""))))</f>
        <v/>
      </c>
      <c r="O815" s="77" t="str">
        <f>IF(Main[[#This Row],[Tech Start Date]]&lt;1/1/1990,"",IF(Main[[#This Row],[Class]]="C",WORKDAY(Main[[#This Row],[Tech Start Date]],23),IF(Main[[#This Row],[Class]]="B", WORKDAY(Main[[#This Row],[Tech Start Date]],15),IF(Main[[#This Row],[Class]]="A",WORKDAY(Main[[#This Row],[Tech Start Date]],5),""))))</f>
        <v/>
      </c>
      <c r="P815" s="77" t="str">
        <f>IF(Main[[#This Row],[Tech Start Date]]&lt;1/1/1990,"",IF(Main[[#This Row],[Class]]="C",WORKDAY(Main[[#This Row],[Tech Start Date]],28),IF(Main[[#This Row],[Class]]="B", WORKDAY(Main[[#This Row],[Tech Start Date]],19),IF(Main[[#This Row],[Class]]="A",WORKDAY(Main[[#This Row],[Tech Start Date]],9),""))))</f>
        <v/>
      </c>
      <c r="Q815" s="74">
        <v>40858</v>
      </c>
      <c r="R815" s="74"/>
      <c r="S815" s="72" t="s">
        <v>17</v>
      </c>
      <c r="T815" s="80" t="s">
        <v>4</v>
      </c>
      <c r="U815" s="72" t="s">
        <v>12</v>
      </c>
      <c r="V815" s="72" t="s">
        <v>1937</v>
      </c>
      <c r="W815" s="72" t="s">
        <v>1942</v>
      </c>
      <c r="X815" s="72" t="s">
        <v>50</v>
      </c>
      <c r="Y815" s="72" t="s">
        <v>3117</v>
      </c>
      <c r="Z815" s="72" t="s">
        <v>4</v>
      </c>
    </row>
    <row r="816" spans="1:26" ht="18.600000000000001" customHeight="1">
      <c r="A816" s="142" t="str">
        <f>IF(priority(Main[[#This Row],[Comments]])&lt;&gt;0, priority(Main[[#This Row],[Comments]]),"")</f>
        <v/>
      </c>
      <c r="B816" s="90" t="s">
        <v>1650</v>
      </c>
      <c r="C816" s="72" t="s">
        <v>4</v>
      </c>
      <c r="D816" s="73" t="s">
        <v>713</v>
      </c>
      <c r="E816" s="74">
        <v>40455.919641203705</v>
      </c>
      <c r="F816" s="74"/>
      <c r="G816" s="75" t="str">
        <f>IF(stdProdLT(Main[[#This Row],[Comments]])=0.1,"N/A",IF(stdProdLT(Main[[#This Row],[Comments]])=0,"",stdProdLT(Main[[#This Row],[Comments]])))</f>
        <v/>
      </c>
      <c r="H816" s="76" t="str">
        <f>IF(AND(Main[[#This Row],[In Stock Date]]&lt;&gt;"",Main[[#This Row],[Revised Due Date]]&lt;&gt;""),Main[[#This Row],[In Stock Date]]-Main[[#This Row],[Revised Due Date]],"")</f>
        <v/>
      </c>
      <c r="I816" s="72" t="s">
        <v>4</v>
      </c>
      <c r="J816" s="72" t="s">
        <v>28</v>
      </c>
      <c r="K816" s="72" t="s">
        <v>1949</v>
      </c>
      <c r="L816" s="74"/>
      <c r="M816" s="77" t="str">
        <f>IF(Main[[#This Row],[Tech Start Date]]&lt;1/1/1990,"",IF(Main[[#This Row],[Class]]="C",WORKDAY(Main[[#This Row],[Tech Start Date]],9),IF(Main[[#This Row],[Class]]="B", WORKDAY(Main[[#This Row],[Tech Start Date]],6),IF(Main[[#This Row],[Class]]="A",WORKDAY(Main[[#This Row],[Tech Start Date]],2),""))))</f>
        <v/>
      </c>
      <c r="N816" s="77" t="str">
        <f>IF(Main[[#This Row],[Tech Start Date]]&lt;1/1/1990,"",IF(Main[[#This Row],[Class]]="C",WORKDAY(Main[[#This Row],[Tech Start Date]],19),IF(Main[[#This Row],[Class]]="B", WORKDAY(Main[[#This Row],[Tech Start Date]],12),IF(Main[[#This Row],[Class]]="A",WORKDAY(Main[[#This Row],[Tech Start Date]],4),""))))</f>
        <v/>
      </c>
      <c r="O816" s="77" t="str">
        <f>IF(Main[[#This Row],[Tech Start Date]]&lt;1/1/1990,"",IF(Main[[#This Row],[Class]]="C",WORKDAY(Main[[#This Row],[Tech Start Date]],23),IF(Main[[#This Row],[Class]]="B", WORKDAY(Main[[#This Row],[Tech Start Date]],15),IF(Main[[#This Row],[Class]]="A",WORKDAY(Main[[#This Row],[Tech Start Date]],5),""))))</f>
        <v/>
      </c>
      <c r="P816" s="77" t="str">
        <f>IF(Main[[#This Row],[Tech Start Date]]&lt;1/1/1990,"",IF(Main[[#This Row],[Class]]="C",WORKDAY(Main[[#This Row],[Tech Start Date]],28),IF(Main[[#This Row],[Class]]="B", WORKDAY(Main[[#This Row],[Tech Start Date]],19),IF(Main[[#This Row],[Class]]="A",WORKDAY(Main[[#This Row],[Tech Start Date]],9),""))))</f>
        <v/>
      </c>
      <c r="Q816" s="74">
        <v>40543</v>
      </c>
      <c r="R816" s="74"/>
      <c r="S816" s="72" t="s">
        <v>17</v>
      </c>
      <c r="T816" s="80" t="s">
        <v>4</v>
      </c>
      <c r="U816" s="72" t="s">
        <v>7</v>
      </c>
      <c r="V816" s="72" t="s">
        <v>1937</v>
      </c>
      <c r="W816" s="72" t="s">
        <v>1941</v>
      </c>
      <c r="X816" s="72" t="s">
        <v>129</v>
      </c>
      <c r="Y816" s="72" t="s">
        <v>3091</v>
      </c>
      <c r="Z816" s="72" t="s">
        <v>129</v>
      </c>
    </row>
    <row r="817" spans="1:26" ht="18.600000000000001" customHeight="1">
      <c r="A817" s="142" t="str">
        <f>IF(priority(Main[[#This Row],[Comments]])&lt;&gt;0, priority(Main[[#This Row],[Comments]]),"")</f>
        <v/>
      </c>
      <c r="B817" s="90" t="s">
        <v>1651</v>
      </c>
      <c r="C817" s="72" t="s">
        <v>4</v>
      </c>
      <c r="D817" s="73" t="s">
        <v>714</v>
      </c>
      <c r="E817" s="74">
        <v>40711.477789351855</v>
      </c>
      <c r="F817" s="74"/>
      <c r="G817" s="75" t="str">
        <f>IF(stdProdLT(Main[[#This Row],[Comments]])=0.1,"N/A",IF(stdProdLT(Main[[#This Row],[Comments]])=0,"",stdProdLT(Main[[#This Row],[Comments]])))</f>
        <v/>
      </c>
      <c r="H817" s="76" t="str">
        <f>IF(AND(Main[[#This Row],[In Stock Date]]&lt;&gt;"",Main[[#This Row],[Revised Due Date]]&lt;&gt;""),Main[[#This Row],[In Stock Date]]-Main[[#This Row],[Revised Due Date]],"")</f>
        <v/>
      </c>
      <c r="I817" s="72" t="s">
        <v>4</v>
      </c>
      <c r="J817" s="72" t="s">
        <v>4</v>
      </c>
      <c r="K817" s="72" t="s">
        <v>4</v>
      </c>
      <c r="L817" s="74"/>
      <c r="M817" s="77" t="str">
        <f>IF(Main[[#This Row],[Tech Start Date]]&lt;1/1/1990,"",IF(Main[[#This Row],[Class]]="C",WORKDAY(Main[[#This Row],[Tech Start Date]],9),IF(Main[[#This Row],[Class]]="B", WORKDAY(Main[[#This Row],[Tech Start Date]],6),IF(Main[[#This Row],[Class]]="A",WORKDAY(Main[[#This Row],[Tech Start Date]],2),""))))</f>
        <v/>
      </c>
      <c r="N817" s="77" t="str">
        <f>IF(Main[[#This Row],[Tech Start Date]]&lt;1/1/1990,"",IF(Main[[#This Row],[Class]]="C",WORKDAY(Main[[#This Row],[Tech Start Date]],19),IF(Main[[#This Row],[Class]]="B", WORKDAY(Main[[#This Row],[Tech Start Date]],12),IF(Main[[#This Row],[Class]]="A",WORKDAY(Main[[#This Row],[Tech Start Date]],4),""))))</f>
        <v/>
      </c>
      <c r="O817" s="77" t="str">
        <f>IF(Main[[#This Row],[Tech Start Date]]&lt;1/1/1990,"",IF(Main[[#This Row],[Class]]="C",WORKDAY(Main[[#This Row],[Tech Start Date]],23),IF(Main[[#This Row],[Class]]="B", WORKDAY(Main[[#This Row],[Tech Start Date]],15),IF(Main[[#This Row],[Class]]="A",WORKDAY(Main[[#This Row],[Tech Start Date]],5),""))))</f>
        <v/>
      </c>
      <c r="P817" s="77" t="str">
        <f>IF(Main[[#This Row],[Tech Start Date]]&lt;1/1/1990,"",IF(Main[[#This Row],[Class]]="C",WORKDAY(Main[[#This Row],[Tech Start Date]],28),IF(Main[[#This Row],[Class]]="B", WORKDAY(Main[[#This Row],[Tech Start Date]],19),IF(Main[[#This Row],[Class]]="A",WORKDAY(Main[[#This Row],[Tech Start Date]],9),""))))</f>
        <v/>
      </c>
      <c r="Q817" s="74">
        <v>40753</v>
      </c>
      <c r="R817" s="74"/>
      <c r="S817" s="72" t="s">
        <v>6</v>
      </c>
      <c r="T817" s="80" t="s">
        <v>4</v>
      </c>
      <c r="U817" s="72" t="s">
        <v>7</v>
      </c>
      <c r="V817" s="72" t="s">
        <v>1937</v>
      </c>
      <c r="W817" s="72" t="s">
        <v>1945</v>
      </c>
      <c r="X817" s="72" t="s">
        <v>2973</v>
      </c>
      <c r="Y817" s="72" t="s">
        <v>3094</v>
      </c>
      <c r="Z817" s="72" t="s">
        <v>4</v>
      </c>
    </row>
    <row r="818" spans="1:26" ht="18.600000000000001" customHeight="1">
      <c r="A818" s="142" t="str">
        <f>IF(priority(Main[[#This Row],[Comments]])&lt;&gt;0, priority(Main[[#This Row],[Comments]]),"")</f>
        <v/>
      </c>
      <c r="B818" s="90" t="s">
        <v>1653</v>
      </c>
      <c r="C818" s="72" t="s">
        <v>47</v>
      </c>
      <c r="D818" s="73" t="s">
        <v>716</v>
      </c>
      <c r="E818" s="74"/>
      <c r="F818" s="74"/>
      <c r="G818" s="75" t="str">
        <f>IF(stdProdLT(Main[[#This Row],[Comments]])=0.1,"N/A",IF(stdProdLT(Main[[#This Row],[Comments]])=0,"",stdProdLT(Main[[#This Row],[Comments]])))</f>
        <v/>
      </c>
      <c r="H818" s="76" t="str">
        <f>IF(AND(Main[[#This Row],[In Stock Date]]&lt;&gt;"",Main[[#This Row],[Revised Due Date]]&lt;&gt;""),Main[[#This Row],[In Stock Date]]-Main[[#This Row],[Revised Due Date]],"")</f>
        <v/>
      </c>
      <c r="I818" s="72" t="s">
        <v>4</v>
      </c>
      <c r="J818" s="72" t="s">
        <v>4</v>
      </c>
      <c r="K818" s="72" t="s">
        <v>4</v>
      </c>
      <c r="L818" s="74"/>
      <c r="M818" s="77" t="str">
        <f>IF(Main[[#This Row],[Tech Start Date]]&lt;1/1/1990,"",IF(Main[[#This Row],[Class]]="C",WORKDAY(Main[[#This Row],[Tech Start Date]],9),IF(Main[[#This Row],[Class]]="B", WORKDAY(Main[[#This Row],[Tech Start Date]],6),IF(Main[[#This Row],[Class]]="A",WORKDAY(Main[[#This Row],[Tech Start Date]],2),""))))</f>
        <v/>
      </c>
      <c r="N818" s="77" t="str">
        <f>IF(Main[[#This Row],[Tech Start Date]]&lt;1/1/1990,"",IF(Main[[#This Row],[Class]]="C",WORKDAY(Main[[#This Row],[Tech Start Date]],19),IF(Main[[#This Row],[Class]]="B", WORKDAY(Main[[#This Row],[Tech Start Date]],12),IF(Main[[#This Row],[Class]]="A",WORKDAY(Main[[#This Row],[Tech Start Date]],4),""))))</f>
        <v/>
      </c>
      <c r="O818" s="77" t="str">
        <f>IF(Main[[#This Row],[Tech Start Date]]&lt;1/1/1990,"",IF(Main[[#This Row],[Class]]="C",WORKDAY(Main[[#This Row],[Tech Start Date]],23),IF(Main[[#This Row],[Class]]="B", WORKDAY(Main[[#This Row],[Tech Start Date]],15),IF(Main[[#This Row],[Class]]="A",WORKDAY(Main[[#This Row],[Tech Start Date]],5),""))))</f>
        <v/>
      </c>
      <c r="P818" s="77" t="str">
        <f>IF(Main[[#This Row],[Tech Start Date]]&lt;1/1/1990,"",IF(Main[[#This Row],[Class]]="C",WORKDAY(Main[[#This Row],[Tech Start Date]],28),IF(Main[[#This Row],[Class]]="B", WORKDAY(Main[[#This Row],[Tech Start Date]],19),IF(Main[[#This Row],[Class]]="A",WORKDAY(Main[[#This Row],[Tech Start Date]],9),""))))</f>
        <v/>
      </c>
      <c r="Q818" s="74"/>
      <c r="R818" s="74"/>
      <c r="S818" s="72" t="s">
        <v>49</v>
      </c>
      <c r="T818" s="80" t="s">
        <v>4</v>
      </c>
      <c r="U818" s="72" t="s">
        <v>14</v>
      </c>
      <c r="V818" s="72" t="s">
        <v>1940</v>
      </c>
      <c r="W818" s="72" t="s">
        <v>1941</v>
      </c>
      <c r="X818" s="72" t="s">
        <v>311</v>
      </c>
      <c r="Y818" s="72" t="s">
        <v>3099</v>
      </c>
      <c r="Z818" s="72" t="s">
        <v>4</v>
      </c>
    </row>
    <row r="819" spans="1:26" ht="18.600000000000001" customHeight="1">
      <c r="A819" s="142" t="str">
        <f>IF(priority(Main[[#This Row],[Comments]])&lt;&gt;0, priority(Main[[#This Row],[Comments]]),"")</f>
        <v/>
      </c>
      <c r="B819" s="90" t="s">
        <v>2074</v>
      </c>
      <c r="C819" s="72" t="s">
        <v>4</v>
      </c>
      <c r="D819" s="73" t="s">
        <v>2075</v>
      </c>
      <c r="E819" s="74">
        <v>40753.114606481482</v>
      </c>
      <c r="F819" s="74"/>
      <c r="G819" s="75" t="str">
        <f>IF(stdProdLT(Main[[#This Row],[Comments]])=0.1,"N/A",IF(stdProdLT(Main[[#This Row],[Comments]])=0,"",stdProdLT(Main[[#This Row],[Comments]])))</f>
        <v/>
      </c>
      <c r="H819" s="76" t="str">
        <f>IF(AND(Main[[#This Row],[In Stock Date]]&lt;&gt;"",Main[[#This Row],[Revised Due Date]]&lt;&gt;""),Main[[#This Row],[In Stock Date]]-Main[[#This Row],[Revised Due Date]],"")</f>
        <v/>
      </c>
      <c r="I819" s="72" t="s">
        <v>4</v>
      </c>
      <c r="J819" s="72" t="s">
        <v>4</v>
      </c>
      <c r="K819" s="72" t="s">
        <v>4</v>
      </c>
      <c r="L819" s="74"/>
      <c r="M819" s="77" t="str">
        <f>IF(Main[[#This Row],[Tech Start Date]]&lt;1/1/1990,"",IF(Main[[#This Row],[Class]]="C",WORKDAY(Main[[#This Row],[Tech Start Date]],9),IF(Main[[#This Row],[Class]]="B", WORKDAY(Main[[#This Row],[Tech Start Date]],6),IF(Main[[#This Row],[Class]]="A",WORKDAY(Main[[#This Row],[Tech Start Date]],2),""))))</f>
        <v/>
      </c>
      <c r="N819" s="77" t="str">
        <f>IF(Main[[#This Row],[Tech Start Date]]&lt;1/1/1990,"",IF(Main[[#This Row],[Class]]="C",WORKDAY(Main[[#This Row],[Tech Start Date]],19),IF(Main[[#This Row],[Class]]="B", WORKDAY(Main[[#This Row],[Tech Start Date]],12),IF(Main[[#This Row],[Class]]="A",WORKDAY(Main[[#This Row],[Tech Start Date]],4),""))))</f>
        <v/>
      </c>
      <c r="O819" s="77" t="str">
        <f>IF(Main[[#This Row],[Tech Start Date]]&lt;1/1/1990,"",IF(Main[[#This Row],[Class]]="C",WORKDAY(Main[[#This Row],[Tech Start Date]],23),IF(Main[[#This Row],[Class]]="B", WORKDAY(Main[[#This Row],[Tech Start Date]],15),IF(Main[[#This Row],[Class]]="A",WORKDAY(Main[[#This Row],[Tech Start Date]],5),""))))</f>
        <v/>
      </c>
      <c r="P819" s="77" t="str">
        <f>IF(Main[[#This Row],[Tech Start Date]]&lt;1/1/1990,"",IF(Main[[#This Row],[Class]]="C",WORKDAY(Main[[#This Row],[Tech Start Date]],28),IF(Main[[#This Row],[Class]]="B", WORKDAY(Main[[#This Row],[Tech Start Date]],19),IF(Main[[#This Row],[Class]]="A",WORKDAY(Main[[#This Row],[Tech Start Date]],9),""))))</f>
        <v/>
      </c>
      <c r="Q819" s="74">
        <v>40786</v>
      </c>
      <c r="R819" s="74"/>
      <c r="S819" s="72" t="s">
        <v>6</v>
      </c>
      <c r="T819" s="80" t="s">
        <v>4</v>
      </c>
      <c r="U819" s="72" t="s">
        <v>7</v>
      </c>
      <c r="V819" s="72" t="s">
        <v>1937</v>
      </c>
      <c r="W819" s="72" t="s">
        <v>4</v>
      </c>
      <c r="X819" s="72" t="s">
        <v>2974</v>
      </c>
      <c r="Y819" s="72" t="s">
        <v>3096</v>
      </c>
      <c r="Z819" s="72" t="s">
        <v>4</v>
      </c>
    </row>
    <row r="820" spans="1:26" ht="18.600000000000001" customHeight="1">
      <c r="A820" s="142" t="str">
        <f>IF(priority(Main[[#This Row],[Comments]])&lt;&gt;0, priority(Main[[#This Row],[Comments]]),"")</f>
        <v/>
      </c>
      <c r="B820" s="90" t="s">
        <v>1661</v>
      </c>
      <c r="C820" s="72" t="s">
        <v>4</v>
      </c>
      <c r="D820" s="73" t="s">
        <v>39</v>
      </c>
      <c r="E820" s="74"/>
      <c r="F820" s="74"/>
      <c r="G820" s="75" t="str">
        <f>IF(stdProdLT(Main[[#This Row],[Comments]])=0.1,"N/A",IF(stdProdLT(Main[[#This Row],[Comments]])=0,"",stdProdLT(Main[[#This Row],[Comments]])))</f>
        <v/>
      </c>
      <c r="H820" s="76" t="str">
        <f>IF(AND(Main[[#This Row],[In Stock Date]]&lt;&gt;"",Main[[#This Row],[Revised Due Date]]&lt;&gt;""),Main[[#This Row],[In Stock Date]]-Main[[#This Row],[Revised Due Date]],"")</f>
        <v/>
      </c>
      <c r="I820" s="72" t="s">
        <v>4</v>
      </c>
      <c r="J820" s="72" t="s">
        <v>4</v>
      </c>
      <c r="K820" s="72" t="s">
        <v>4</v>
      </c>
      <c r="L820" s="74"/>
      <c r="M820" s="77" t="str">
        <f>IF(Main[[#This Row],[Tech Start Date]]&lt;1/1/1990,"",IF(Main[[#This Row],[Class]]="C",WORKDAY(Main[[#This Row],[Tech Start Date]],9),IF(Main[[#This Row],[Class]]="B", WORKDAY(Main[[#This Row],[Tech Start Date]],6),IF(Main[[#This Row],[Class]]="A",WORKDAY(Main[[#This Row],[Tech Start Date]],2),""))))</f>
        <v/>
      </c>
      <c r="N820" s="77" t="str">
        <f>IF(Main[[#This Row],[Tech Start Date]]&lt;1/1/1990,"",IF(Main[[#This Row],[Class]]="C",WORKDAY(Main[[#This Row],[Tech Start Date]],19),IF(Main[[#This Row],[Class]]="B", WORKDAY(Main[[#This Row],[Tech Start Date]],12),IF(Main[[#This Row],[Class]]="A",WORKDAY(Main[[#This Row],[Tech Start Date]],4),""))))</f>
        <v/>
      </c>
      <c r="O820" s="77" t="str">
        <f>IF(Main[[#This Row],[Tech Start Date]]&lt;1/1/1990,"",IF(Main[[#This Row],[Class]]="C",WORKDAY(Main[[#This Row],[Tech Start Date]],23),IF(Main[[#This Row],[Class]]="B", WORKDAY(Main[[#This Row],[Tech Start Date]],15),IF(Main[[#This Row],[Class]]="A",WORKDAY(Main[[#This Row],[Tech Start Date]],5),""))))</f>
        <v/>
      </c>
      <c r="P820" s="77" t="str">
        <f>IF(Main[[#This Row],[Tech Start Date]]&lt;1/1/1990,"",IF(Main[[#This Row],[Class]]="C",WORKDAY(Main[[#This Row],[Tech Start Date]],28),IF(Main[[#This Row],[Class]]="B", WORKDAY(Main[[#This Row],[Tech Start Date]],19),IF(Main[[#This Row],[Class]]="A",WORKDAY(Main[[#This Row],[Tech Start Date]],9),""))))</f>
        <v/>
      </c>
      <c r="Q820" s="74">
        <v>40669</v>
      </c>
      <c r="R820" s="74"/>
      <c r="S820" s="72" t="s">
        <v>6</v>
      </c>
      <c r="T820" s="80" t="s">
        <v>4</v>
      </c>
      <c r="U820" s="72" t="s">
        <v>14</v>
      </c>
      <c r="V820" s="72" t="s">
        <v>1940</v>
      </c>
      <c r="W820" s="72" t="s">
        <v>4</v>
      </c>
      <c r="X820" s="72" t="s">
        <v>2970</v>
      </c>
      <c r="Y820" s="72" t="s">
        <v>3087</v>
      </c>
      <c r="Z820" s="72" t="s">
        <v>4</v>
      </c>
    </row>
    <row r="821" spans="1:26" ht="18.600000000000001" customHeight="1">
      <c r="A821" s="142" t="str">
        <f>IF(priority(Main[[#This Row],[Comments]])&lt;&gt;0, priority(Main[[#This Row],[Comments]]),"")</f>
        <v/>
      </c>
      <c r="B821" s="90" t="s">
        <v>1659</v>
      </c>
      <c r="C821" s="72" t="s">
        <v>67</v>
      </c>
      <c r="D821" s="73" t="s">
        <v>720</v>
      </c>
      <c r="E821" s="74"/>
      <c r="F821" s="74">
        <v>40751</v>
      </c>
      <c r="G821" s="75" t="str">
        <f>IF(stdProdLT(Main[[#This Row],[Comments]])=0.1,"N/A",IF(stdProdLT(Main[[#This Row],[Comments]])=0,"",stdProdLT(Main[[#This Row],[Comments]])))</f>
        <v/>
      </c>
      <c r="H821" s="76" t="str">
        <f>IF(AND(Main[[#This Row],[In Stock Date]]&lt;&gt;"",Main[[#This Row],[Revised Due Date]]&lt;&gt;""),Main[[#This Row],[In Stock Date]]-Main[[#This Row],[Revised Due Date]],"")</f>
        <v/>
      </c>
      <c r="I821" s="72" t="s">
        <v>4</v>
      </c>
      <c r="J821" s="72" t="s">
        <v>28</v>
      </c>
      <c r="K821" s="72" t="s">
        <v>1949</v>
      </c>
      <c r="L821" s="74"/>
      <c r="M821" s="77" t="str">
        <f>IF(Main[[#This Row],[Tech Start Date]]&lt;1/1/1990,"",IF(Main[[#This Row],[Class]]="C",WORKDAY(Main[[#This Row],[Tech Start Date]],9),IF(Main[[#This Row],[Class]]="B", WORKDAY(Main[[#This Row],[Tech Start Date]],6),IF(Main[[#This Row],[Class]]="A",WORKDAY(Main[[#This Row],[Tech Start Date]],2),""))))</f>
        <v/>
      </c>
      <c r="N821" s="77" t="str">
        <f>IF(Main[[#This Row],[Tech Start Date]]&lt;1/1/1990,"",IF(Main[[#This Row],[Class]]="C",WORKDAY(Main[[#This Row],[Tech Start Date]],19),IF(Main[[#This Row],[Class]]="B", WORKDAY(Main[[#This Row],[Tech Start Date]],12),IF(Main[[#This Row],[Class]]="A",WORKDAY(Main[[#This Row],[Tech Start Date]],4),""))))</f>
        <v/>
      </c>
      <c r="O821" s="77" t="str">
        <f>IF(Main[[#This Row],[Tech Start Date]]&lt;1/1/1990,"",IF(Main[[#This Row],[Class]]="C",WORKDAY(Main[[#This Row],[Tech Start Date]],23),IF(Main[[#This Row],[Class]]="B", WORKDAY(Main[[#This Row],[Tech Start Date]],15),IF(Main[[#This Row],[Class]]="A",WORKDAY(Main[[#This Row],[Tech Start Date]],5),""))))</f>
        <v/>
      </c>
      <c r="P821" s="77" t="str">
        <f>IF(Main[[#This Row],[Tech Start Date]]&lt;1/1/1990,"",IF(Main[[#This Row],[Class]]="C",WORKDAY(Main[[#This Row],[Tech Start Date]],28),IF(Main[[#This Row],[Class]]="B", WORKDAY(Main[[#This Row],[Tech Start Date]],19),IF(Main[[#This Row],[Class]]="A",WORKDAY(Main[[#This Row],[Tech Start Date]],9),""))))</f>
        <v/>
      </c>
      <c r="Q821" s="74">
        <v>40581</v>
      </c>
      <c r="R821" s="74"/>
      <c r="S821" s="72" t="s">
        <v>17</v>
      </c>
      <c r="T821" s="80" t="s">
        <v>4</v>
      </c>
      <c r="U821" s="72" t="s">
        <v>14</v>
      </c>
      <c r="V821" s="72" t="s">
        <v>1940</v>
      </c>
      <c r="W821" s="72" t="s">
        <v>1943</v>
      </c>
      <c r="X821" s="72" t="s">
        <v>2981</v>
      </c>
      <c r="Y821" s="72" t="s">
        <v>3109</v>
      </c>
      <c r="Z821" s="72" t="s">
        <v>984</v>
      </c>
    </row>
    <row r="822" spans="1:26" ht="18.600000000000001" customHeight="1">
      <c r="A822" s="142" t="str">
        <f>IF(priority(Main[[#This Row],[Comments]])&lt;&gt;0, priority(Main[[#This Row],[Comments]]),"")</f>
        <v/>
      </c>
      <c r="B822" s="90" t="s">
        <v>1662</v>
      </c>
      <c r="C822" s="72" t="s">
        <v>4</v>
      </c>
      <c r="D822" s="73" t="s">
        <v>721</v>
      </c>
      <c r="E822" s="74"/>
      <c r="F822" s="74"/>
      <c r="G822" s="75" t="str">
        <f>IF(stdProdLT(Main[[#This Row],[Comments]])=0.1,"N/A",IF(stdProdLT(Main[[#This Row],[Comments]])=0,"",stdProdLT(Main[[#This Row],[Comments]])))</f>
        <v/>
      </c>
      <c r="H822" s="76" t="str">
        <f>IF(AND(Main[[#This Row],[In Stock Date]]&lt;&gt;"",Main[[#This Row],[Revised Due Date]]&lt;&gt;""),Main[[#This Row],[In Stock Date]]-Main[[#This Row],[Revised Due Date]],"")</f>
        <v/>
      </c>
      <c r="I822" s="72" t="s">
        <v>4</v>
      </c>
      <c r="J822" s="72" t="s">
        <v>28</v>
      </c>
      <c r="K822" s="72" t="s">
        <v>1946</v>
      </c>
      <c r="L822" s="74"/>
      <c r="M822" s="77" t="str">
        <f>IF(Main[[#This Row],[Tech Start Date]]&lt;1/1/1990,"",IF(Main[[#This Row],[Class]]="C",WORKDAY(Main[[#This Row],[Tech Start Date]],9),IF(Main[[#This Row],[Class]]="B", WORKDAY(Main[[#This Row],[Tech Start Date]],6),IF(Main[[#This Row],[Class]]="A",WORKDAY(Main[[#This Row],[Tech Start Date]],2),""))))</f>
        <v/>
      </c>
      <c r="N822" s="77" t="str">
        <f>IF(Main[[#This Row],[Tech Start Date]]&lt;1/1/1990,"",IF(Main[[#This Row],[Class]]="C",WORKDAY(Main[[#This Row],[Tech Start Date]],19),IF(Main[[#This Row],[Class]]="B", WORKDAY(Main[[#This Row],[Tech Start Date]],12),IF(Main[[#This Row],[Class]]="A",WORKDAY(Main[[#This Row],[Tech Start Date]],4),""))))</f>
        <v/>
      </c>
      <c r="O822" s="77" t="str">
        <f>IF(Main[[#This Row],[Tech Start Date]]&lt;1/1/1990,"",IF(Main[[#This Row],[Class]]="C",WORKDAY(Main[[#This Row],[Tech Start Date]],23),IF(Main[[#This Row],[Class]]="B", WORKDAY(Main[[#This Row],[Tech Start Date]],15),IF(Main[[#This Row],[Class]]="A",WORKDAY(Main[[#This Row],[Tech Start Date]],5),""))))</f>
        <v/>
      </c>
      <c r="P822" s="77" t="str">
        <f>IF(Main[[#This Row],[Tech Start Date]]&lt;1/1/1990,"",IF(Main[[#This Row],[Class]]="C",WORKDAY(Main[[#This Row],[Tech Start Date]],28),IF(Main[[#This Row],[Class]]="B", WORKDAY(Main[[#This Row],[Tech Start Date]],19),IF(Main[[#This Row],[Class]]="A",WORKDAY(Main[[#This Row],[Tech Start Date]],9),""))))</f>
        <v/>
      </c>
      <c r="Q822" s="74">
        <v>40647</v>
      </c>
      <c r="R822" s="74"/>
      <c r="S822" s="72" t="s">
        <v>6</v>
      </c>
      <c r="T822" s="80" t="s">
        <v>4</v>
      </c>
      <c r="U822" s="72" t="s">
        <v>14</v>
      </c>
      <c r="V822" s="72" t="s">
        <v>1937</v>
      </c>
      <c r="W822" s="72" t="s">
        <v>1941</v>
      </c>
      <c r="X822" s="72" t="s">
        <v>2973</v>
      </c>
      <c r="Y822" s="72" t="s">
        <v>3094</v>
      </c>
      <c r="Z822" s="72" t="s">
        <v>129</v>
      </c>
    </row>
    <row r="823" spans="1:26" ht="18.600000000000001" customHeight="1">
      <c r="A823" s="142" t="str">
        <f>IF(priority(Main[[#This Row],[Comments]])&lt;&gt;0, priority(Main[[#This Row],[Comments]]),"")</f>
        <v/>
      </c>
      <c r="B823" s="90" t="s">
        <v>1637</v>
      </c>
      <c r="C823" s="72" t="s">
        <v>4</v>
      </c>
      <c r="D823" s="73" t="s">
        <v>701</v>
      </c>
      <c r="E823" s="74"/>
      <c r="F823" s="74"/>
      <c r="G823" s="75" t="str">
        <f>IF(stdProdLT(Main[[#This Row],[Comments]])=0.1,"N/A",IF(stdProdLT(Main[[#This Row],[Comments]])=0,"",stdProdLT(Main[[#This Row],[Comments]])))</f>
        <v/>
      </c>
      <c r="H823" s="76" t="str">
        <f>IF(AND(Main[[#This Row],[In Stock Date]]&lt;&gt;"",Main[[#This Row],[Revised Due Date]]&lt;&gt;""),Main[[#This Row],[In Stock Date]]-Main[[#This Row],[Revised Due Date]],"")</f>
        <v/>
      </c>
      <c r="I823" s="72" t="s">
        <v>4</v>
      </c>
      <c r="J823" s="72" t="s">
        <v>4</v>
      </c>
      <c r="K823" s="72" t="s">
        <v>4</v>
      </c>
      <c r="L823" s="74"/>
      <c r="M823" s="77" t="str">
        <f>IF(Main[[#This Row],[Tech Start Date]]&lt;1/1/1990,"",IF(Main[[#This Row],[Class]]="C",WORKDAY(Main[[#This Row],[Tech Start Date]],9),IF(Main[[#This Row],[Class]]="B", WORKDAY(Main[[#This Row],[Tech Start Date]],6),IF(Main[[#This Row],[Class]]="A",WORKDAY(Main[[#This Row],[Tech Start Date]],2),""))))</f>
        <v/>
      </c>
      <c r="N823" s="77" t="str">
        <f>IF(Main[[#This Row],[Tech Start Date]]&lt;1/1/1990,"",IF(Main[[#This Row],[Class]]="C",WORKDAY(Main[[#This Row],[Tech Start Date]],19),IF(Main[[#This Row],[Class]]="B", WORKDAY(Main[[#This Row],[Tech Start Date]],12),IF(Main[[#This Row],[Class]]="A",WORKDAY(Main[[#This Row],[Tech Start Date]],4),""))))</f>
        <v/>
      </c>
      <c r="O823" s="77" t="str">
        <f>IF(Main[[#This Row],[Tech Start Date]]&lt;1/1/1990,"",IF(Main[[#This Row],[Class]]="C",WORKDAY(Main[[#This Row],[Tech Start Date]],23),IF(Main[[#This Row],[Class]]="B", WORKDAY(Main[[#This Row],[Tech Start Date]],15),IF(Main[[#This Row],[Class]]="A",WORKDAY(Main[[#This Row],[Tech Start Date]],5),""))))</f>
        <v/>
      </c>
      <c r="P823" s="77" t="str">
        <f>IF(Main[[#This Row],[Tech Start Date]]&lt;1/1/1990,"",IF(Main[[#This Row],[Class]]="C",WORKDAY(Main[[#This Row],[Tech Start Date]],28),IF(Main[[#This Row],[Class]]="B", WORKDAY(Main[[#This Row],[Tech Start Date]],19),IF(Main[[#This Row],[Class]]="A",WORKDAY(Main[[#This Row],[Tech Start Date]],9),""))))</f>
        <v/>
      </c>
      <c r="Q823" s="74"/>
      <c r="R823" s="74"/>
      <c r="S823" s="72" t="s">
        <v>11</v>
      </c>
      <c r="T823" s="80" t="s">
        <v>4</v>
      </c>
      <c r="U823" s="72" t="s">
        <v>14</v>
      </c>
      <c r="V823" s="72" t="s">
        <v>1937</v>
      </c>
      <c r="W823" s="72" t="s">
        <v>4</v>
      </c>
      <c r="X823" s="72" t="s">
        <v>719</v>
      </c>
      <c r="Y823" s="72" t="s">
        <v>3180</v>
      </c>
      <c r="Z823" s="72" t="s">
        <v>4</v>
      </c>
    </row>
    <row r="824" spans="1:26" ht="18.600000000000001" customHeight="1">
      <c r="A824" s="142" t="str">
        <f>IF(priority(Main[[#This Row],[Comments]])&lt;&gt;0, priority(Main[[#This Row],[Comments]]),"")</f>
        <v/>
      </c>
      <c r="B824" s="90" t="s">
        <v>1827</v>
      </c>
      <c r="C824" s="72" t="s">
        <v>4</v>
      </c>
      <c r="D824" s="73" t="s">
        <v>850</v>
      </c>
      <c r="E824" s="74">
        <v>40430.597812499997</v>
      </c>
      <c r="F824" s="74">
        <v>40574</v>
      </c>
      <c r="G824" s="75" t="str">
        <f>IF(stdProdLT(Main[[#This Row],[Comments]])=0.1,"N/A",IF(stdProdLT(Main[[#This Row],[Comments]])=0,"",stdProdLT(Main[[#This Row],[Comments]])))</f>
        <v/>
      </c>
      <c r="H824" s="76">
        <f>IF(AND(Main[[#This Row],[In Stock Date]]&lt;&gt;"",Main[[#This Row],[Revised Due Date]]&lt;&gt;""),Main[[#This Row],[In Stock Date]]-Main[[#This Row],[Revised Due Date]],"")</f>
        <v>384</v>
      </c>
      <c r="I824" s="72" t="s">
        <v>81</v>
      </c>
      <c r="J824" s="72" t="s">
        <v>52</v>
      </c>
      <c r="K824" s="72" t="s">
        <v>1949</v>
      </c>
      <c r="L824" s="74"/>
      <c r="M824" s="77" t="str">
        <f>IF(Main[[#This Row],[Tech Start Date]]&lt;1/1/1990,"",IF(Main[[#This Row],[Class]]="C",WORKDAY(Main[[#This Row],[Tech Start Date]],9),IF(Main[[#This Row],[Class]]="B", WORKDAY(Main[[#This Row],[Tech Start Date]],6),IF(Main[[#This Row],[Class]]="A",WORKDAY(Main[[#This Row],[Tech Start Date]],2),""))))</f>
        <v/>
      </c>
      <c r="N824" s="77" t="str">
        <f>IF(Main[[#This Row],[Tech Start Date]]&lt;1/1/1990,"",IF(Main[[#This Row],[Class]]="C",WORKDAY(Main[[#This Row],[Tech Start Date]],19),IF(Main[[#This Row],[Class]]="B", WORKDAY(Main[[#This Row],[Tech Start Date]],12),IF(Main[[#This Row],[Class]]="A",WORKDAY(Main[[#This Row],[Tech Start Date]],4),""))))</f>
        <v/>
      </c>
      <c r="O824" s="77" t="str">
        <f>IF(Main[[#This Row],[Tech Start Date]]&lt;1/1/1990,"",IF(Main[[#This Row],[Class]]="C",WORKDAY(Main[[#This Row],[Tech Start Date]],23),IF(Main[[#This Row],[Class]]="B", WORKDAY(Main[[#This Row],[Tech Start Date]],15),IF(Main[[#This Row],[Class]]="A",WORKDAY(Main[[#This Row],[Tech Start Date]],5),""))))</f>
        <v/>
      </c>
      <c r="P824" s="77" t="str">
        <f>IF(Main[[#This Row],[Tech Start Date]]&lt;1/1/1990,"",IF(Main[[#This Row],[Class]]="C",WORKDAY(Main[[#This Row],[Tech Start Date]],28),IF(Main[[#This Row],[Class]]="B", WORKDAY(Main[[#This Row],[Tech Start Date]],19),IF(Main[[#This Row],[Class]]="A",WORKDAY(Main[[#This Row],[Tech Start Date]],9),""))))</f>
        <v/>
      </c>
      <c r="Q824" s="74">
        <v>40190</v>
      </c>
      <c r="R824" s="74">
        <v>40190</v>
      </c>
      <c r="S824" s="72" t="s">
        <v>17</v>
      </c>
      <c r="T824" s="80" t="s">
        <v>4</v>
      </c>
      <c r="U824" s="72" t="s">
        <v>29</v>
      </c>
      <c r="V824" s="72" t="s">
        <v>1940</v>
      </c>
      <c r="W824" s="72" t="s">
        <v>1942</v>
      </c>
      <c r="X824" s="72" t="s">
        <v>50</v>
      </c>
      <c r="Y824" s="72" t="s">
        <v>3143</v>
      </c>
      <c r="Z824" s="72" t="s">
        <v>81</v>
      </c>
    </row>
    <row r="825" spans="1:26" ht="18.600000000000001" customHeight="1">
      <c r="A825" s="142" t="str">
        <f>IF(priority(Main[[#This Row],[Comments]])&lt;&gt;0, priority(Main[[#This Row],[Comments]]),"")</f>
        <v/>
      </c>
      <c r="B825" s="90" t="s">
        <v>2131</v>
      </c>
      <c r="C825" s="72" t="s">
        <v>2116</v>
      </c>
      <c r="D825" s="73" t="s">
        <v>2117</v>
      </c>
      <c r="E825" s="74"/>
      <c r="F825" s="74">
        <v>40831</v>
      </c>
      <c r="G825" s="75" t="str">
        <f>IF(stdProdLT(Main[[#This Row],[Comments]])=0.1,"N/A",IF(stdProdLT(Main[[#This Row],[Comments]])=0,"",stdProdLT(Main[[#This Row],[Comments]])))</f>
        <v/>
      </c>
      <c r="H825" s="76" t="str">
        <f>IF(AND(Main[[#This Row],[In Stock Date]]&lt;&gt;"",Main[[#This Row],[Revised Due Date]]&lt;&gt;""),Main[[#This Row],[In Stock Date]]-Main[[#This Row],[Revised Due Date]],"")</f>
        <v/>
      </c>
      <c r="I825" s="72" t="s">
        <v>4</v>
      </c>
      <c r="J825" s="72" t="s">
        <v>4</v>
      </c>
      <c r="K825" s="72" t="s">
        <v>4</v>
      </c>
      <c r="L825" s="74"/>
      <c r="M825" s="77" t="str">
        <f>IF(Main[[#This Row],[Tech Start Date]]&lt;1/1/1990,"",IF(Main[[#This Row],[Class]]="C",WORKDAY(Main[[#This Row],[Tech Start Date]],9),IF(Main[[#This Row],[Class]]="B", WORKDAY(Main[[#This Row],[Tech Start Date]],6),IF(Main[[#This Row],[Class]]="A",WORKDAY(Main[[#This Row],[Tech Start Date]],2),""))))</f>
        <v/>
      </c>
      <c r="N825" s="77" t="str">
        <f>IF(Main[[#This Row],[Tech Start Date]]&lt;1/1/1990,"",IF(Main[[#This Row],[Class]]="C",WORKDAY(Main[[#This Row],[Tech Start Date]],19),IF(Main[[#This Row],[Class]]="B", WORKDAY(Main[[#This Row],[Tech Start Date]],12),IF(Main[[#This Row],[Class]]="A",WORKDAY(Main[[#This Row],[Tech Start Date]],4),""))))</f>
        <v/>
      </c>
      <c r="O825" s="77" t="str">
        <f>IF(Main[[#This Row],[Tech Start Date]]&lt;1/1/1990,"",IF(Main[[#This Row],[Class]]="C",WORKDAY(Main[[#This Row],[Tech Start Date]],23),IF(Main[[#This Row],[Class]]="B", WORKDAY(Main[[#This Row],[Tech Start Date]],15),IF(Main[[#This Row],[Class]]="A",WORKDAY(Main[[#This Row],[Tech Start Date]],5),""))))</f>
        <v/>
      </c>
      <c r="P825" s="77" t="str">
        <f>IF(Main[[#This Row],[Tech Start Date]]&lt;1/1/1990,"",IF(Main[[#This Row],[Class]]="C",WORKDAY(Main[[#This Row],[Tech Start Date]],28),IF(Main[[#This Row],[Class]]="B", WORKDAY(Main[[#This Row],[Tech Start Date]],19),IF(Main[[#This Row],[Class]]="A",WORKDAY(Main[[#This Row],[Tech Start Date]],9),""))))</f>
        <v/>
      </c>
      <c r="Q825" s="74">
        <v>40786</v>
      </c>
      <c r="R825" s="74"/>
      <c r="S825" s="72" t="s">
        <v>11</v>
      </c>
      <c r="T825" s="80" t="s">
        <v>4</v>
      </c>
      <c r="U825" s="72" t="s">
        <v>12</v>
      </c>
      <c r="V825" s="72" t="s">
        <v>1940</v>
      </c>
      <c r="W825" s="72" t="s">
        <v>1945</v>
      </c>
      <c r="X825" s="72" t="s">
        <v>2983</v>
      </c>
      <c r="Y825" s="72" t="s">
        <v>3112</v>
      </c>
      <c r="Z825" s="72" t="s">
        <v>4</v>
      </c>
    </row>
    <row r="826" spans="1:26" ht="18.600000000000001" customHeight="1">
      <c r="A826" s="142" t="str">
        <f>IF(priority(Main[[#This Row],[Comments]])&lt;&gt;0, priority(Main[[#This Row],[Comments]]),"")</f>
        <v/>
      </c>
      <c r="B826" s="90" t="s">
        <v>2109</v>
      </c>
      <c r="C826" s="72" t="s">
        <v>4</v>
      </c>
      <c r="D826" s="73" t="s">
        <v>2110</v>
      </c>
      <c r="E826" s="74"/>
      <c r="F826" s="74"/>
      <c r="G826" s="75" t="str">
        <f>IF(stdProdLT(Main[[#This Row],[Comments]])=0.1,"N/A",IF(stdProdLT(Main[[#This Row],[Comments]])=0,"",stdProdLT(Main[[#This Row],[Comments]])))</f>
        <v/>
      </c>
      <c r="H826" s="76" t="str">
        <f>IF(AND(Main[[#This Row],[In Stock Date]]&lt;&gt;"",Main[[#This Row],[Revised Due Date]]&lt;&gt;""),Main[[#This Row],[In Stock Date]]-Main[[#This Row],[Revised Due Date]],"")</f>
        <v/>
      </c>
      <c r="I826" s="72" t="s">
        <v>536</v>
      </c>
      <c r="J826" s="72" t="s">
        <v>28</v>
      </c>
      <c r="K826" s="72" t="s">
        <v>1946</v>
      </c>
      <c r="L826" s="74"/>
      <c r="M826" s="77" t="str">
        <f>IF(Main[[#This Row],[Tech Start Date]]&lt;1/1/1990,"",IF(Main[[#This Row],[Class]]="C",WORKDAY(Main[[#This Row],[Tech Start Date]],9),IF(Main[[#This Row],[Class]]="B", WORKDAY(Main[[#This Row],[Tech Start Date]],6),IF(Main[[#This Row],[Class]]="A",WORKDAY(Main[[#This Row],[Tech Start Date]],2),""))))</f>
        <v/>
      </c>
      <c r="N826" s="77" t="str">
        <f>IF(Main[[#This Row],[Tech Start Date]]&lt;1/1/1990,"",IF(Main[[#This Row],[Class]]="C",WORKDAY(Main[[#This Row],[Tech Start Date]],19),IF(Main[[#This Row],[Class]]="B", WORKDAY(Main[[#This Row],[Tech Start Date]],12),IF(Main[[#This Row],[Class]]="A",WORKDAY(Main[[#This Row],[Tech Start Date]],4),""))))</f>
        <v/>
      </c>
      <c r="O826" s="77" t="str">
        <f>IF(Main[[#This Row],[Tech Start Date]]&lt;1/1/1990,"",IF(Main[[#This Row],[Class]]="C",WORKDAY(Main[[#This Row],[Tech Start Date]],23),IF(Main[[#This Row],[Class]]="B", WORKDAY(Main[[#This Row],[Tech Start Date]],15),IF(Main[[#This Row],[Class]]="A",WORKDAY(Main[[#This Row],[Tech Start Date]],5),""))))</f>
        <v/>
      </c>
      <c r="P826" s="77" t="str">
        <f>IF(Main[[#This Row],[Tech Start Date]]&lt;1/1/1990,"",IF(Main[[#This Row],[Class]]="C",WORKDAY(Main[[#This Row],[Tech Start Date]],28),IF(Main[[#This Row],[Class]]="B", WORKDAY(Main[[#This Row],[Tech Start Date]],19),IF(Main[[#This Row],[Class]]="A",WORKDAY(Main[[#This Row],[Tech Start Date]],9),""))))</f>
        <v/>
      </c>
      <c r="Q826" s="74"/>
      <c r="R826" s="74"/>
      <c r="S826" s="72" t="s">
        <v>6</v>
      </c>
      <c r="T826" s="80" t="s">
        <v>4</v>
      </c>
      <c r="U826" s="72" t="s">
        <v>14</v>
      </c>
      <c r="V826" s="72" t="s">
        <v>1940</v>
      </c>
      <c r="W826" s="72" t="s">
        <v>1941</v>
      </c>
      <c r="X826" s="72" t="s">
        <v>3018</v>
      </c>
      <c r="Y826" s="72" t="s">
        <v>3158</v>
      </c>
      <c r="Z826" s="72" t="s">
        <v>44</v>
      </c>
    </row>
    <row r="827" spans="1:26" ht="18.600000000000001" customHeight="1">
      <c r="A827" s="142" t="str">
        <f>IF(priority(Main[[#This Row],[Comments]])&lt;&gt;0, priority(Main[[#This Row],[Comments]]),"")</f>
        <v/>
      </c>
      <c r="B827" s="90" t="s">
        <v>1415</v>
      </c>
      <c r="C827" s="72" t="s">
        <v>4</v>
      </c>
      <c r="D827" s="73" t="s">
        <v>487</v>
      </c>
      <c r="E827" s="74">
        <v>40485.329618055555</v>
      </c>
      <c r="F827" s="74"/>
      <c r="G827" s="75" t="str">
        <f>IF(stdProdLT(Main[[#This Row],[Comments]])=0.1,"N/A",IF(stdProdLT(Main[[#This Row],[Comments]])=0,"",stdProdLT(Main[[#This Row],[Comments]])))</f>
        <v/>
      </c>
      <c r="H827" s="76" t="str">
        <f>IF(AND(Main[[#This Row],[In Stock Date]]&lt;&gt;"",Main[[#This Row],[Revised Due Date]]&lt;&gt;""),Main[[#This Row],[In Stock Date]]-Main[[#This Row],[Revised Due Date]],"")</f>
        <v/>
      </c>
      <c r="I827" s="72" t="s">
        <v>4</v>
      </c>
      <c r="J827" s="72" t="s">
        <v>28</v>
      </c>
      <c r="K827" s="72" t="s">
        <v>1949</v>
      </c>
      <c r="L827" s="74"/>
      <c r="M827" s="77" t="str">
        <f>IF(Main[[#This Row],[Tech Start Date]]&lt;1/1/1990,"",IF(Main[[#This Row],[Class]]="C",WORKDAY(Main[[#This Row],[Tech Start Date]],9),IF(Main[[#This Row],[Class]]="B", WORKDAY(Main[[#This Row],[Tech Start Date]],6),IF(Main[[#This Row],[Class]]="A",WORKDAY(Main[[#This Row],[Tech Start Date]],2),""))))</f>
        <v/>
      </c>
      <c r="N827" s="77" t="str">
        <f>IF(Main[[#This Row],[Tech Start Date]]&lt;1/1/1990,"",IF(Main[[#This Row],[Class]]="C",WORKDAY(Main[[#This Row],[Tech Start Date]],19),IF(Main[[#This Row],[Class]]="B", WORKDAY(Main[[#This Row],[Tech Start Date]],12),IF(Main[[#This Row],[Class]]="A",WORKDAY(Main[[#This Row],[Tech Start Date]],4),""))))</f>
        <v/>
      </c>
      <c r="O827" s="77" t="str">
        <f>IF(Main[[#This Row],[Tech Start Date]]&lt;1/1/1990,"",IF(Main[[#This Row],[Class]]="C",WORKDAY(Main[[#This Row],[Tech Start Date]],23),IF(Main[[#This Row],[Class]]="B", WORKDAY(Main[[#This Row],[Tech Start Date]],15),IF(Main[[#This Row],[Class]]="A",WORKDAY(Main[[#This Row],[Tech Start Date]],5),""))))</f>
        <v/>
      </c>
      <c r="P827" s="77" t="str">
        <f>IF(Main[[#This Row],[Tech Start Date]]&lt;1/1/1990,"",IF(Main[[#This Row],[Class]]="C",WORKDAY(Main[[#This Row],[Tech Start Date]],28),IF(Main[[#This Row],[Class]]="B", WORKDAY(Main[[#This Row],[Tech Start Date]],19),IF(Main[[#This Row],[Class]]="A",WORKDAY(Main[[#This Row],[Tech Start Date]],9),""))))</f>
        <v/>
      </c>
      <c r="Q827" s="74"/>
      <c r="R827" s="74"/>
      <c r="S827" s="72" t="s">
        <v>17</v>
      </c>
      <c r="T827" s="80" t="s">
        <v>4</v>
      </c>
      <c r="U827" s="72" t="s">
        <v>29</v>
      </c>
      <c r="V827" s="72" t="s">
        <v>1937</v>
      </c>
      <c r="W827" s="72" t="s">
        <v>1951</v>
      </c>
      <c r="X827" s="72" t="s">
        <v>2079</v>
      </c>
      <c r="Y827" s="72" t="s">
        <v>3160</v>
      </c>
      <c r="Z827" s="72" t="s">
        <v>4</v>
      </c>
    </row>
    <row r="828" spans="1:26" ht="18.600000000000001" customHeight="1">
      <c r="A828" s="142" t="str">
        <f>IF(priority(Main[[#This Row],[Comments]])&lt;&gt;0, priority(Main[[#This Row],[Comments]]),"")</f>
        <v/>
      </c>
      <c r="B828" s="90" t="s">
        <v>1839</v>
      </c>
      <c r="C828" s="72" t="s">
        <v>42</v>
      </c>
      <c r="D828" s="73" t="s">
        <v>883</v>
      </c>
      <c r="E828" s="74">
        <v>39932.455243055556</v>
      </c>
      <c r="F828" s="74"/>
      <c r="G828" s="75" t="str">
        <f>IF(stdProdLT(Main[[#This Row],[Comments]])=0.1,"N/A",IF(stdProdLT(Main[[#This Row],[Comments]])=0,"",stdProdLT(Main[[#This Row],[Comments]])))</f>
        <v/>
      </c>
      <c r="H828" s="76" t="str">
        <f>IF(AND(Main[[#This Row],[In Stock Date]]&lt;&gt;"",Main[[#This Row],[Revised Due Date]]&lt;&gt;""),Main[[#This Row],[In Stock Date]]-Main[[#This Row],[Revised Due Date]],"")</f>
        <v/>
      </c>
      <c r="I828" s="72" t="s">
        <v>4</v>
      </c>
      <c r="J828" s="72" t="s">
        <v>4</v>
      </c>
      <c r="K828" s="72" t="s">
        <v>4</v>
      </c>
      <c r="L828" s="74"/>
      <c r="M828" s="77" t="str">
        <f>IF(Main[[#This Row],[Tech Start Date]]&lt;1/1/1990,"",IF(Main[[#This Row],[Class]]="C",WORKDAY(Main[[#This Row],[Tech Start Date]],9),IF(Main[[#This Row],[Class]]="B", WORKDAY(Main[[#This Row],[Tech Start Date]],6),IF(Main[[#This Row],[Class]]="A",WORKDAY(Main[[#This Row],[Tech Start Date]],2),""))))</f>
        <v/>
      </c>
      <c r="N828" s="77" t="str">
        <f>IF(Main[[#This Row],[Tech Start Date]]&lt;1/1/1990,"",IF(Main[[#This Row],[Class]]="C",WORKDAY(Main[[#This Row],[Tech Start Date]],19),IF(Main[[#This Row],[Class]]="B", WORKDAY(Main[[#This Row],[Tech Start Date]],12),IF(Main[[#This Row],[Class]]="A",WORKDAY(Main[[#This Row],[Tech Start Date]],4),""))))</f>
        <v/>
      </c>
      <c r="O828" s="77" t="str">
        <f>IF(Main[[#This Row],[Tech Start Date]]&lt;1/1/1990,"",IF(Main[[#This Row],[Class]]="C",WORKDAY(Main[[#This Row],[Tech Start Date]],23),IF(Main[[#This Row],[Class]]="B", WORKDAY(Main[[#This Row],[Tech Start Date]],15),IF(Main[[#This Row],[Class]]="A",WORKDAY(Main[[#This Row],[Tech Start Date]],5),""))))</f>
        <v/>
      </c>
      <c r="P828" s="77" t="str">
        <f>IF(Main[[#This Row],[Tech Start Date]]&lt;1/1/1990,"",IF(Main[[#This Row],[Class]]="C",WORKDAY(Main[[#This Row],[Tech Start Date]],28),IF(Main[[#This Row],[Class]]="B", WORKDAY(Main[[#This Row],[Tech Start Date]],19),IF(Main[[#This Row],[Class]]="A",WORKDAY(Main[[#This Row],[Tech Start Date]],9),""))))</f>
        <v/>
      </c>
      <c r="Q828" s="74">
        <v>40165</v>
      </c>
      <c r="R828" s="74">
        <v>40298</v>
      </c>
      <c r="S828" s="72" t="s">
        <v>17</v>
      </c>
      <c r="T828" s="80" t="s">
        <v>4</v>
      </c>
      <c r="U828" s="72" t="s">
        <v>29</v>
      </c>
      <c r="V828" s="72" t="s">
        <v>1938</v>
      </c>
      <c r="W828" s="72" t="s">
        <v>1941</v>
      </c>
      <c r="X828" s="72" t="s">
        <v>404</v>
      </c>
      <c r="Y828" s="72" t="s">
        <v>4</v>
      </c>
      <c r="Z828" s="72" t="s">
        <v>4</v>
      </c>
    </row>
    <row r="829" spans="1:26" ht="18.600000000000001" customHeight="1">
      <c r="A829" s="142" t="str">
        <f>IF(priority(Main[[#This Row],[Comments]])&lt;&gt;0, priority(Main[[#This Row],[Comments]]),"")</f>
        <v/>
      </c>
      <c r="B829" s="90" t="s">
        <v>1633</v>
      </c>
      <c r="C829" s="72" t="s">
        <v>695</v>
      </c>
      <c r="D829" s="73" t="s">
        <v>696</v>
      </c>
      <c r="E829" s="74"/>
      <c r="F829" s="74">
        <v>40527</v>
      </c>
      <c r="G829" s="75" t="str">
        <f>IF(stdProdLT(Main[[#This Row],[Comments]])=0.1,"N/A",IF(stdProdLT(Main[[#This Row],[Comments]])=0,"",stdProdLT(Main[[#This Row],[Comments]])))</f>
        <v/>
      </c>
      <c r="H829" s="76" t="str">
        <f>IF(AND(Main[[#This Row],[In Stock Date]]&lt;&gt;"",Main[[#This Row],[Revised Due Date]]&lt;&gt;""),Main[[#This Row],[In Stock Date]]-Main[[#This Row],[Revised Due Date]],"")</f>
        <v/>
      </c>
      <c r="I829" s="72" t="s">
        <v>4</v>
      </c>
      <c r="J829" s="72" t="s">
        <v>4</v>
      </c>
      <c r="K829" s="72" t="s">
        <v>4</v>
      </c>
      <c r="L829" s="74"/>
      <c r="M829" s="77" t="str">
        <f>IF(Main[[#This Row],[Tech Start Date]]&lt;1/1/1990,"",IF(Main[[#This Row],[Class]]="C",WORKDAY(Main[[#This Row],[Tech Start Date]],9),IF(Main[[#This Row],[Class]]="B", WORKDAY(Main[[#This Row],[Tech Start Date]],6),IF(Main[[#This Row],[Class]]="A",WORKDAY(Main[[#This Row],[Tech Start Date]],2),""))))</f>
        <v/>
      </c>
      <c r="N829" s="77" t="str">
        <f>IF(Main[[#This Row],[Tech Start Date]]&lt;1/1/1990,"",IF(Main[[#This Row],[Class]]="C",WORKDAY(Main[[#This Row],[Tech Start Date]],19),IF(Main[[#This Row],[Class]]="B", WORKDAY(Main[[#This Row],[Tech Start Date]],12),IF(Main[[#This Row],[Class]]="A",WORKDAY(Main[[#This Row],[Tech Start Date]],4),""))))</f>
        <v/>
      </c>
      <c r="O829" s="77" t="str">
        <f>IF(Main[[#This Row],[Tech Start Date]]&lt;1/1/1990,"",IF(Main[[#This Row],[Class]]="C",WORKDAY(Main[[#This Row],[Tech Start Date]],23),IF(Main[[#This Row],[Class]]="B", WORKDAY(Main[[#This Row],[Tech Start Date]],15),IF(Main[[#This Row],[Class]]="A",WORKDAY(Main[[#This Row],[Tech Start Date]],5),""))))</f>
        <v/>
      </c>
      <c r="P829" s="77" t="str">
        <f>IF(Main[[#This Row],[Tech Start Date]]&lt;1/1/1990,"",IF(Main[[#This Row],[Class]]="C",WORKDAY(Main[[#This Row],[Tech Start Date]],28),IF(Main[[#This Row],[Class]]="B", WORKDAY(Main[[#This Row],[Tech Start Date]],19),IF(Main[[#This Row],[Class]]="A",WORKDAY(Main[[#This Row],[Tech Start Date]],9),""))))</f>
        <v/>
      </c>
      <c r="Q829" s="74">
        <v>40480</v>
      </c>
      <c r="R829" s="74"/>
      <c r="S829" s="72" t="s">
        <v>11</v>
      </c>
      <c r="T829" s="80" t="s">
        <v>4</v>
      </c>
      <c r="U829" s="72" t="s">
        <v>14</v>
      </c>
      <c r="V829" s="72" t="s">
        <v>1938</v>
      </c>
      <c r="W829" s="72" t="s">
        <v>1943</v>
      </c>
      <c r="X829" s="72" t="s">
        <v>3031</v>
      </c>
      <c r="Y829" s="72" t="s">
        <v>3185</v>
      </c>
      <c r="Z829" s="72" t="s">
        <v>4</v>
      </c>
    </row>
    <row r="830" spans="1:26" ht="18.600000000000001" customHeight="1">
      <c r="A830" s="142" t="str">
        <f>IF(priority(Main[[#This Row],[Comments]])&lt;&gt;0, priority(Main[[#This Row],[Comments]]),"")</f>
        <v/>
      </c>
      <c r="B830" s="90" t="s">
        <v>1634</v>
      </c>
      <c r="C830" s="72" t="s">
        <v>4</v>
      </c>
      <c r="D830" s="73" t="s">
        <v>697</v>
      </c>
      <c r="E830" s="74"/>
      <c r="F830" s="74"/>
      <c r="G830" s="75" t="str">
        <f>IF(stdProdLT(Main[[#This Row],[Comments]])=0.1,"N/A",IF(stdProdLT(Main[[#This Row],[Comments]])=0,"",stdProdLT(Main[[#This Row],[Comments]])))</f>
        <v/>
      </c>
      <c r="H830" s="76" t="str">
        <f>IF(AND(Main[[#This Row],[In Stock Date]]&lt;&gt;"",Main[[#This Row],[Revised Due Date]]&lt;&gt;""),Main[[#This Row],[In Stock Date]]-Main[[#This Row],[Revised Due Date]],"")</f>
        <v/>
      </c>
      <c r="I830" s="72" t="s">
        <v>4</v>
      </c>
      <c r="J830" s="72" t="s">
        <v>4</v>
      </c>
      <c r="K830" s="72" t="s">
        <v>4</v>
      </c>
      <c r="L830" s="74"/>
      <c r="M830" s="77" t="str">
        <f>IF(Main[[#This Row],[Tech Start Date]]&lt;1/1/1990,"",IF(Main[[#This Row],[Class]]="C",WORKDAY(Main[[#This Row],[Tech Start Date]],9),IF(Main[[#This Row],[Class]]="B", WORKDAY(Main[[#This Row],[Tech Start Date]],6),IF(Main[[#This Row],[Class]]="A",WORKDAY(Main[[#This Row],[Tech Start Date]],2),""))))</f>
        <v/>
      </c>
      <c r="N830" s="77" t="str">
        <f>IF(Main[[#This Row],[Tech Start Date]]&lt;1/1/1990,"",IF(Main[[#This Row],[Class]]="C",WORKDAY(Main[[#This Row],[Tech Start Date]],19),IF(Main[[#This Row],[Class]]="B", WORKDAY(Main[[#This Row],[Tech Start Date]],12),IF(Main[[#This Row],[Class]]="A",WORKDAY(Main[[#This Row],[Tech Start Date]],4),""))))</f>
        <v/>
      </c>
      <c r="O830" s="77" t="str">
        <f>IF(Main[[#This Row],[Tech Start Date]]&lt;1/1/1990,"",IF(Main[[#This Row],[Class]]="C",WORKDAY(Main[[#This Row],[Tech Start Date]],23),IF(Main[[#This Row],[Class]]="B", WORKDAY(Main[[#This Row],[Tech Start Date]],15),IF(Main[[#This Row],[Class]]="A",WORKDAY(Main[[#This Row],[Tech Start Date]],5),""))))</f>
        <v/>
      </c>
      <c r="P830" s="77" t="str">
        <f>IF(Main[[#This Row],[Tech Start Date]]&lt;1/1/1990,"",IF(Main[[#This Row],[Class]]="C",WORKDAY(Main[[#This Row],[Tech Start Date]],28),IF(Main[[#This Row],[Class]]="B", WORKDAY(Main[[#This Row],[Tech Start Date]],19),IF(Main[[#This Row],[Class]]="A",WORKDAY(Main[[#This Row],[Tech Start Date]],9),""))))</f>
        <v/>
      </c>
      <c r="Q830" s="74"/>
      <c r="R830" s="74"/>
      <c r="S830" s="72" t="s">
        <v>6</v>
      </c>
      <c r="T830" s="80" t="s">
        <v>4</v>
      </c>
      <c r="U830" s="72" t="s">
        <v>14</v>
      </c>
      <c r="V830" s="72" t="s">
        <v>1937</v>
      </c>
      <c r="W830" s="72" t="s">
        <v>1945</v>
      </c>
      <c r="X830" s="72" t="s">
        <v>2079</v>
      </c>
      <c r="Y830" s="72" t="s">
        <v>3160</v>
      </c>
      <c r="Z830" s="72" t="s">
        <v>4</v>
      </c>
    </row>
    <row r="831" spans="1:26" ht="18.600000000000001" customHeight="1">
      <c r="A831" s="142" t="str">
        <f>IF(priority(Main[[#This Row],[Comments]])&lt;&gt;0, priority(Main[[#This Row],[Comments]]),"")</f>
        <v/>
      </c>
      <c r="B831" s="90" t="s">
        <v>2421</v>
      </c>
      <c r="C831" s="72" t="s">
        <v>4</v>
      </c>
      <c r="D831" s="73" t="s">
        <v>2422</v>
      </c>
      <c r="E831" s="74"/>
      <c r="F831" s="74"/>
      <c r="G831" s="75" t="str">
        <f>IF(stdProdLT(Main[[#This Row],[Comments]])=0.1,"N/A",IF(stdProdLT(Main[[#This Row],[Comments]])=0,"",stdProdLT(Main[[#This Row],[Comments]])))</f>
        <v/>
      </c>
      <c r="H831" s="76" t="str">
        <f>IF(AND(Main[[#This Row],[In Stock Date]]&lt;&gt;"",Main[[#This Row],[Revised Due Date]]&lt;&gt;""),Main[[#This Row],[In Stock Date]]-Main[[#This Row],[Revised Due Date]],"")</f>
        <v/>
      </c>
      <c r="I831" s="72" t="s">
        <v>4</v>
      </c>
      <c r="J831" s="72" t="s">
        <v>70</v>
      </c>
      <c r="K831" s="72" t="s">
        <v>4</v>
      </c>
      <c r="L831" s="74"/>
      <c r="M831" s="77" t="str">
        <f>IF(Main[[#This Row],[Tech Start Date]]&lt;1/1/1990,"",IF(Main[[#This Row],[Class]]="C",WORKDAY(Main[[#This Row],[Tech Start Date]],9),IF(Main[[#This Row],[Class]]="B", WORKDAY(Main[[#This Row],[Tech Start Date]],6),IF(Main[[#This Row],[Class]]="A",WORKDAY(Main[[#This Row],[Tech Start Date]],2),""))))</f>
        <v/>
      </c>
      <c r="N831" s="77" t="str">
        <f>IF(Main[[#This Row],[Tech Start Date]]&lt;1/1/1990,"",IF(Main[[#This Row],[Class]]="C",WORKDAY(Main[[#This Row],[Tech Start Date]],19),IF(Main[[#This Row],[Class]]="B", WORKDAY(Main[[#This Row],[Tech Start Date]],12),IF(Main[[#This Row],[Class]]="A",WORKDAY(Main[[#This Row],[Tech Start Date]],4),""))))</f>
        <v/>
      </c>
      <c r="O831" s="77" t="str">
        <f>IF(Main[[#This Row],[Tech Start Date]]&lt;1/1/1990,"",IF(Main[[#This Row],[Class]]="C",WORKDAY(Main[[#This Row],[Tech Start Date]],23),IF(Main[[#This Row],[Class]]="B", WORKDAY(Main[[#This Row],[Tech Start Date]],15),IF(Main[[#This Row],[Class]]="A",WORKDAY(Main[[#This Row],[Tech Start Date]],5),""))))</f>
        <v/>
      </c>
      <c r="P831" s="77" t="str">
        <f>IF(Main[[#This Row],[Tech Start Date]]&lt;1/1/1990,"",IF(Main[[#This Row],[Class]]="C",WORKDAY(Main[[#This Row],[Tech Start Date]],28),IF(Main[[#This Row],[Class]]="B", WORKDAY(Main[[#This Row],[Tech Start Date]],19),IF(Main[[#This Row],[Class]]="A",WORKDAY(Main[[#This Row],[Tech Start Date]],9),""))))</f>
        <v/>
      </c>
      <c r="Q831" s="74">
        <v>40877</v>
      </c>
      <c r="R831" s="74"/>
      <c r="S831" s="72" t="s">
        <v>6</v>
      </c>
      <c r="T831" s="80" t="s">
        <v>4</v>
      </c>
      <c r="U831" s="72" t="s">
        <v>14</v>
      </c>
      <c r="V831" s="72" t="s">
        <v>1940</v>
      </c>
      <c r="W831" s="72" t="s">
        <v>1941</v>
      </c>
      <c r="X831" s="72" t="s">
        <v>30</v>
      </c>
      <c r="Y831" s="72" t="s">
        <v>3249</v>
      </c>
      <c r="Z831" s="72" t="s">
        <v>30</v>
      </c>
    </row>
    <row r="832" spans="1:26" ht="18.600000000000001" customHeight="1">
      <c r="A832" s="142" t="str">
        <f>IF(priority(Main[[#This Row],[Comments]])&lt;&gt;0, priority(Main[[#This Row],[Comments]]),"")</f>
        <v/>
      </c>
      <c r="B832" s="90" t="s">
        <v>1635</v>
      </c>
      <c r="C832" s="72" t="s">
        <v>4</v>
      </c>
      <c r="D832" s="73" t="s">
        <v>698</v>
      </c>
      <c r="E832" s="74"/>
      <c r="F832" s="74"/>
      <c r="G832" s="75" t="str">
        <f>IF(stdProdLT(Main[[#This Row],[Comments]])=0.1,"N/A",IF(stdProdLT(Main[[#This Row],[Comments]])=0,"",stdProdLT(Main[[#This Row],[Comments]])))</f>
        <v/>
      </c>
      <c r="H832" s="76" t="str">
        <f>IF(AND(Main[[#This Row],[In Stock Date]]&lt;&gt;"",Main[[#This Row],[Revised Due Date]]&lt;&gt;""),Main[[#This Row],[In Stock Date]]-Main[[#This Row],[Revised Due Date]],"")</f>
        <v/>
      </c>
      <c r="I832" s="72" t="s">
        <v>4</v>
      </c>
      <c r="J832" s="72" t="s">
        <v>4</v>
      </c>
      <c r="K832" s="72" t="s">
        <v>4</v>
      </c>
      <c r="L832" s="74"/>
      <c r="M832" s="77" t="str">
        <f>IF(Main[[#This Row],[Tech Start Date]]&lt;1/1/1990,"",IF(Main[[#This Row],[Class]]="C",WORKDAY(Main[[#This Row],[Tech Start Date]],9),IF(Main[[#This Row],[Class]]="B", WORKDAY(Main[[#This Row],[Tech Start Date]],6),IF(Main[[#This Row],[Class]]="A",WORKDAY(Main[[#This Row],[Tech Start Date]],2),""))))</f>
        <v/>
      </c>
      <c r="N832" s="77" t="str">
        <f>IF(Main[[#This Row],[Tech Start Date]]&lt;1/1/1990,"",IF(Main[[#This Row],[Class]]="C",WORKDAY(Main[[#This Row],[Tech Start Date]],19),IF(Main[[#This Row],[Class]]="B", WORKDAY(Main[[#This Row],[Tech Start Date]],12),IF(Main[[#This Row],[Class]]="A",WORKDAY(Main[[#This Row],[Tech Start Date]],4),""))))</f>
        <v/>
      </c>
      <c r="O832" s="77" t="str">
        <f>IF(Main[[#This Row],[Tech Start Date]]&lt;1/1/1990,"",IF(Main[[#This Row],[Class]]="C",WORKDAY(Main[[#This Row],[Tech Start Date]],23),IF(Main[[#This Row],[Class]]="B", WORKDAY(Main[[#This Row],[Tech Start Date]],15),IF(Main[[#This Row],[Class]]="A",WORKDAY(Main[[#This Row],[Tech Start Date]],5),""))))</f>
        <v/>
      </c>
      <c r="P832" s="77" t="str">
        <f>IF(Main[[#This Row],[Tech Start Date]]&lt;1/1/1990,"",IF(Main[[#This Row],[Class]]="C",WORKDAY(Main[[#This Row],[Tech Start Date]],28),IF(Main[[#This Row],[Class]]="B", WORKDAY(Main[[#This Row],[Tech Start Date]],19),IF(Main[[#This Row],[Class]]="A",WORKDAY(Main[[#This Row],[Tech Start Date]],9),""))))</f>
        <v/>
      </c>
      <c r="Q832" s="74"/>
      <c r="R832" s="74"/>
      <c r="S832" s="72" t="s">
        <v>6</v>
      </c>
      <c r="T832" s="80" t="s">
        <v>4</v>
      </c>
      <c r="U832" s="72" t="s">
        <v>14</v>
      </c>
      <c r="V832" s="72" t="s">
        <v>1937</v>
      </c>
      <c r="W832" s="72" t="s">
        <v>4</v>
      </c>
      <c r="X832" s="72" t="s">
        <v>719</v>
      </c>
      <c r="Y832" s="72" t="s">
        <v>3228</v>
      </c>
      <c r="Z832" s="72" t="s">
        <v>4</v>
      </c>
    </row>
    <row r="833" spans="1:26" ht="18.600000000000001" customHeight="1">
      <c r="A833" s="142" t="str">
        <f>IF(priority(Main[[#This Row],[Comments]])&lt;&gt;0, priority(Main[[#This Row],[Comments]]),"")</f>
        <v/>
      </c>
      <c r="B833" s="90" t="s">
        <v>1636</v>
      </c>
      <c r="C833" s="72" t="s">
        <v>699</v>
      </c>
      <c r="D833" s="73" t="s">
        <v>700</v>
      </c>
      <c r="E833" s="74"/>
      <c r="F833" s="74">
        <v>40664</v>
      </c>
      <c r="G833" s="75" t="str">
        <f>IF(stdProdLT(Main[[#This Row],[Comments]])=0.1,"N/A",IF(stdProdLT(Main[[#This Row],[Comments]])=0,"",stdProdLT(Main[[#This Row],[Comments]])))</f>
        <v/>
      </c>
      <c r="H833" s="76" t="str">
        <f>IF(AND(Main[[#This Row],[In Stock Date]]&lt;&gt;"",Main[[#This Row],[Revised Due Date]]&lt;&gt;""),Main[[#This Row],[In Stock Date]]-Main[[#This Row],[Revised Due Date]],"")</f>
        <v/>
      </c>
      <c r="I833" s="72" t="s">
        <v>4</v>
      </c>
      <c r="J833" s="72" t="s">
        <v>4</v>
      </c>
      <c r="K833" s="72" t="s">
        <v>4</v>
      </c>
      <c r="L833" s="74"/>
      <c r="M833" s="77" t="str">
        <f>IF(Main[[#This Row],[Tech Start Date]]&lt;1/1/1990,"",IF(Main[[#This Row],[Class]]="C",WORKDAY(Main[[#This Row],[Tech Start Date]],9),IF(Main[[#This Row],[Class]]="B", WORKDAY(Main[[#This Row],[Tech Start Date]],6),IF(Main[[#This Row],[Class]]="A",WORKDAY(Main[[#This Row],[Tech Start Date]],2),""))))</f>
        <v/>
      </c>
      <c r="N833" s="77" t="str">
        <f>IF(Main[[#This Row],[Tech Start Date]]&lt;1/1/1990,"",IF(Main[[#This Row],[Class]]="C",WORKDAY(Main[[#This Row],[Tech Start Date]],19),IF(Main[[#This Row],[Class]]="B", WORKDAY(Main[[#This Row],[Tech Start Date]],12),IF(Main[[#This Row],[Class]]="A",WORKDAY(Main[[#This Row],[Tech Start Date]],4),""))))</f>
        <v/>
      </c>
      <c r="O833" s="77" t="str">
        <f>IF(Main[[#This Row],[Tech Start Date]]&lt;1/1/1990,"",IF(Main[[#This Row],[Class]]="C",WORKDAY(Main[[#This Row],[Tech Start Date]],23),IF(Main[[#This Row],[Class]]="B", WORKDAY(Main[[#This Row],[Tech Start Date]],15),IF(Main[[#This Row],[Class]]="A",WORKDAY(Main[[#This Row],[Tech Start Date]],5),""))))</f>
        <v/>
      </c>
      <c r="P833" s="77" t="str">
        <f>IF(Main[[#This Row],[Tech Start Date]]&lt;1/1/1990,"",IF(Main[[#This Row],[Class]]="C",WORKDAY(Main[[#This Row],[Tech Start Date]],28),IF(Main[[#This Row],[Class]]="B", WORKDAY(Main[[#This Row],[Tech Start Date]],19),IF(Main[[#This Row],[Class]]="A",WORKDAY(Main[[#This Row],[Tech Start Date]],9),""))))</f>
        <v/>
      </c>
      <c r="Q833" s="74">
        <v>40557</v>
      </c>
      <c r="R833" s="74"/>
      <c r="S833" s="72" t="s">
        <v>11</v>
      </c>
      <c r="T833" s="80" t="s">
        <v>4</v>
      </c>
      <c r="U833" s="72" t="s">
        <v>14</v>
      </c>
      <c r="V833" s="72" t="s">
        <v>1937</v>
      </c>
      <c r="W833" s="72" t="s">
        <v>1945</v>
      </c>
      <c r="X833" s="72" t="s">
        <v>2980</v>
      </c>
      <c r="Y833" s="72" t="s">
        <v>3250</v>
      </c>
      <c r="Z833" s="72" t="s">
        <v>4</v>
      </c>
    </row>
    <row r="834" spans="1:26" ht="18.600000000000001" customHeight="1">
      <c r="A834" s="142" t="str">
        <f>IF(priority(Main[[#This Row],[Comments]])&lt;&gt;0, priority(Main[[#This Row],[Comments]]),"")</f>
        <v/>
      </c>
      <c r="B834" s="90" t="s">
        <v>2016</v>
      </c>
      <c r="C834" s="72" t="s">
        <v>4</v>
      </c>
      <c r="D834" s="73" t="s">
        <v>2017</v>
      </c>
      <c r="E834" s="74">
        <v>40737.450219907405</v>
      </c>
      <c r="F834" s="74"/>
      <c r="G834" s="75" t="str">
        <f>IF(stdProdLT(Main[[#This Row],[Comments]])=0.1,"N/A",IF(stdProdLT(Main[[#This Row],[Comments]])=0,"",stdProdLT(Main[[#This Row],[Comments]])))</f>
        <v/>
      </c>
      <c r="H834" s="76" t="str">
        <f>IF(AND(Main[[#This Row],[In Stock Date]]&lt;&gt;"",Main[[#This Row],[Revised Due Date]]&lt;&gt;""),Main[[#This Row],[In Stock Date]]-Main[[#This Row],[Revised Due Date]],"")</f>
        <v/>
      </c>
      <c r="I834" s="72" t="s">
        <v>4</v>
      </c>
      <c r="J834" s="72" t="s">
        <v>4</v>
      </c>
      <c r="K834" s="81" t="s">
        <v>4</v>
      </c>
      <c r="L834" s="74"/>
      <c r="M834" s="77" t="str">
        <f>IF(Main[[#This Row],[Tech Start Date]]&lt;1/1/1990,"",IF(Main[[#This Row],[Class]]="C",WORKDAY(Main[[#This Row],[Tech Start Date]],9),IF(Main[[#This Row],[Class]]="B", WORKDAY(Main[[#This Row],[Tech Start Date]],6),IF(Main[[#This Row],[Class]]="A",WORKDAY(Main[[#This Row],[Tech Start Date]],2),""))))</f>
        <v/>
      </c>
      <c r="N834" s="77" t="str">
        <f>IF(Main[[#This Row],[Tech Start Date]]&lt;1/1/1990,"",IF(Main[[#This Row],[Class]]="C",WORKDAY(Main[[#This Row],[Tech Start Date]],19),IF(Main[[#This Row],[Class]]="B", WORKDAY(Main[[#This Row],[Tech Start Date]],12),IF(Main[[#This Row],[Class]]="A",WORKDAY(Main[[#This Row],[Tech Start Date]],4),""))))</f>
        <v/>
      </c>
      <c r="O834" s="77" t="str">
        <f>IF(Main[[#This Row],[Tech Start Date]]&lt;1/1/1990,"",IF(Main[[#This Row],[Class]]="C",WORKDAY(Main[[#This Row],[Tech Start Date]],23),IF(Main[[#This Row],[Class]]="B", WORKDAY(Main[[#This Row],[Tech Start Date]],15),IF(Main[[#This Row],[Class]]="A",WORKDAY(Main[[#This Row],[Tech Start Date]],5),""))))</f>
        <v/>
      </c>
      <c r="P834" s="77" t="str">
        <f>IF(Main[[#This Row],[Tech Start Date]]&lt;1/1/1990,"",IF(Main[[#This Row],[Class]]="C",WORKDAY(Main[[#This Row],[Tech Start Date]],28),IF(Main[[#This Row],[Class]]="B", WORKDAY(Main[[#This Row],[Tech Start Date]],19),IF(Main[[#This Row],[Class]]="A",WORKDAY(Main[[#This Row],[Tech Start Date]],9),""))))</f>
        <v/>
      </c>
      <c r="Q834" s="74">
        <v>40759</v>
      </c>
      <c r="R834" s="74"/>
      <c r="S834" s="72" t="s">
        <v>6</v>
      </c>
      <c r="T834" s="80" t="s">
        <v>4</v>
      </c>
      <c r="U834" s="72" t="s">
        <v>7</v>
      </c>
      <c r="V834" s="72" t="s">
        <v>1937</v>
      </c>
      <c r="W834" s="72" t="s">
        <v>1945</v>
      </c>
      <c r="X834" s="72" t="s">
        <v>2973</v>
      </c>
      <c r="Y834" s="72" t="s">
        <v>3094</v>
      </c>
      <c r="Z834" s="72" t="s">
        <v>4</v>
      </c>
    </row>
    <row r="835" spans="1:26" ht="18.600000000000001" customHeight="1">
      <c r="A835" s="142" t="str">
        <f>IF(priority(Main[[#This Row],[Comments]])&lt;&gt;0, priority(Main[[#This Row],[Comments]]),"")</f>
        <v/>
      </c>
      <c r="B835" s="90" t="s">
        <v>1456</v>
      </c>
      <c r="C835" s="72" t="s">
        <v>183</v>
      </c>
      <c r="D835" s="73" t="s">
        <v>521</v>
      </c>
      <c r="E835" s="74"/>
      <c r="F835" s="74">
        <v>40374</v>
      </c>
      <c r="G835" s="75" t="str">
        <f>IF(stdProdLT(Main[[#This Row],[Comments]])=0.1,"N/A",IF(stdProdLT(Main[[#This Row],[Comments]])=0,"",stdProdLT(Main[[#This Row],[Comments]])))</f>
        <v/>
      </c>
      <c r="H835" s="76" t="str">
        <f>IF(AND(Main[[#This Row],[In Stock Date]]&lt;&gt;"",Main[[#This Row],[Revised Due Date]]&lt;&gt;""),Main[[#This Row],[In Stock Date]]-Main[[#This Row],[Revised Due Date]],"")</f>
        <v/>
      </c>
      <c r="I835" s="72" t="s">
        <v>4</v>
      </c>
      <c r="J835" s="72" t="s">
        <v>4</v>
      </c>
      <c r="K835" s="72" t="s">
        <v>4</v>
      </c>
      <c r="L835" s="74"/>
      <c r="M835" s="77" t="str">
        <f>IF(Main[[#This Row],[Tech Start Date]]&lt;1/1/1990,"",IF(Main[[#This Row],[Class]]="C",WORKDAY(Main[[#This Row],[Tech Start Date]],9),IF(Main[[#This Row],[Class]]="B", WORKDAY(Main[[#This Row],[Tech Start Date]],6),IF(Main[[#This Row],[Class]]="A",WORKDAY(Main[[#This Row],[Tech Start Date]],2),""))))</f>
        <v/>
      </c>
      <c r="N835" s="77" t="str">
        <f>IF(Main[[#This Row],[Tech Start Date]]&lt;1/1/1990,"",IF(Main[[#This Row],[Class]]="C",WORKDAY(Main[[#This Row],[Tech Start Date]],19),IF(Main[[#This Row],[Class]]="B", WORKDAY(Main[[#This Row],[Tech Start Date]],12),IF(Main[[#This Row],[Class]]="A",WORKDAY(Main[[#This Row],[Tech Start Date]],4),""))))</f>
        <v/>
      </c>
      <c r="O835" s="77" t="str">
        <f>IF(Main[[#This Row],[Tech Start Date]]&lt;1/1/1990,"",IF(Main[[#This Row],[Class]]="C",WORKDAY(Main[[#This Row],[Tech Start Date]],23),IF(Main[[#This Row],[Class]]="B", WORKDAY(Main[[#This Row],[Tech Start Date]],15),IF(Main[[#This Row],[Class]]="A",WORKDAY(Main[[#This Row],[Tech Start Date]],5),""))))</f>
        <v/>
      </c>
      <c r="P835" s="77" t="str">
        <f>IF(Main[[#This Row],[Tech Start Date]]&lt;1/1/1990,"",IF(Main[[#This Row],[Class]]="C",WORKDAY(Main[[#This Row],[Tech Start Date]],28),IF(Main[[#This Row],[Class]]="B", WORKDAY(Main[[#This Row],[Tech Start Date]],19),IF(Main[[#This Row],[Class]]="A",WORKDAY(Main[[#This Row],[Tech Start Date]],9),""))))</f>
        <v/>
      </c>
      <c r="Q835" s="74">
        <v>40298</v>
      </c>
      <c r="R835" s="74"/>
      <c r="S835" s="72" t="s">
        <v>11</v>
      </c>
      <c r="T835" s="80" t="s">
        <v>4</v>
      </c>
      <c r="U835" s="72" t="s">
        <v>14</v>
      </c>
      <c r="V835" s="72" t="s">
        <v>1937</v>
      </c>
      <c r="W835" s="72" t="s">
        <v>1943</v>
      </c>
      <c r="X835" s="72" t="s">
        <v>2976</v>
      </c>
      <c r="Y835" s="72" t="s">
        <v>3101</v>
      </c>
      <c r="Z835" s="72" t="s">
        <v>4</v>
      </c>
    </row>
    <row r="836" spans="1:26" ht="18.600000000000001" customHeight="1">
      <c r="A836" s="142" t="str">
        <f>IF(priority(Main[[#This Row],[Comments]])&lt;&gt;0, priority(Main[[#This Row],[Comments]]),"")</f>
        <v/>
      </c>
      <c r="B836" s="90" t="s">
        <v>1663</v>
      </c>
      <c r="C836" s="72" t="s">
        <v>4</v>
      </c>
      <c r="D836" s="73" t="s">
        <v>722</v>
      </c>
      <c r="E836" s="74"/>
      <c r="F836" s="74"/>
      <c r="G836" s="75" t="str">
        <f>IF(stdProdLT(Main[[#This Row],[Comments]])=0.1,"N/A",IF(stdProdLT(Main[[#This Row],[Comments]])=0,"",stdProdLT(Main[[#This Row],[Comments]])))</f>
        <v/>
      </c>
      <c r="H836" s="76" t="str">
        <f>IF(AND(Main[[#This Row],[In Stock Date]]&lt;&gt;"",Main[[#This Row],[Revised Due Date]]&lt;&gt;""),Main[[#This Row],[In Stock Date]]-Main[[#This Row],[Revised Due Date]],"")</f>
        <v/>
      </c>
      <c r="I836" s="72" t="s">
        <v>4</v>
      </c>
      <c r="J836" s="72" t="s">
        <v>4</v>
      </c>
      <c r="K836" s="72" t="s">
        <v>4</v>
      </c>
      <c r="L836" s="74"/>
      <c r="M836" s="77" t="str">
        <f>IF(Main[[#This Row],[Tech Start Date]]&lt;1/1/1990,"",IF(Main[[#This Row],[Class]]="C",WORKDAY(Main[[#This Row],[Tech Start Date]],9),IF(Main[[#This Row],[Class]]="B", WORKDAY(Main[[#This Row],[Tech Start Date]],6),IF(Main[[#This Row],[Class]]="A",WORKDAY(Main[[#This Row],[Tech Start Date]],2),""))))</f>
        <v/>
      </c>
      <c r="N836" s="77" t="str">
        <f>IF(Main[[#This Row],[Tech Start Date]]&lt;1/1/1990,"",IF(Main[[#This Row],[Class]]="C",WORKDAY(Main[[#This Row],[Tech Start Date]],19),IF(Main[[#This Row],[Class]]="B", WORKDAY(Main[[#This Row],[Tech Start Date]],12),IF(Main[[#This Row],[Class]]="A",WORKDAY(Main[[#This Row],[Tech Start Date]],4),""))))</f>
        <v/>
      </c>
      <c r="O836" s="77" t="str">
        <f>IF(Main[[#This Row],[Tech Start Date]]&lt;1/1/1990,"",IF(Main[[#This Row],[Class]]="C",WORKDAY(Main[[#This Row],[Tech Start Date]],23),IF(Main[[#This Row],[Class]]="B", WORKDAY(Main[[#This Row],[Tech Start Date]],15),IF(Main[[#This Row],[Class]]="A",WORKDAY(Main[[#This Row],[Tech Start Date]],5),""))))</f>
        <v/>
      </c>
      <c r="P836" s="77" t="str">
        <f>IF(Main[[#This Row],[Tech Start Date]]&lt;1/1/1990,"",IF(Main[[#This Row],[Class]]="C",WORKDAY(Main[[#This Row],[Tech Start Date]],28),IF(Main[[#This Row],[Class]]="B", WORKDAY(Main[[#This Row],[Tech Start Date]],19),IF(Main[[#This Row],[Class]]="A",WORKDAY(Main[[#This Row],[Tech Start Date]],9),""))))</f>
        <v/>
      </c>
      <c r="Q836" s="74">
        <v>40672</v>
      </c>
      <c r="R836" s="74"/>
      <c r="S836" s="72" t="s">
        <v>6</v>
      </c>
      <c r="T836" s="80" t="s">
        <v>4</v>
      </c>
      <c r="U836" s="72" t="s">
        <v>14</v>
      </c>
      <c r="V836" s="72" t="s">
        <v>1940</v>
      </c>
      <c r="W836" s="72" t="s">
        <v>4</v>
      </c>
      <c r="X836" s="72" t="s">
        <v>2974</v>
      </c>
      <c r="Y836" s="72" t="s">
        <v>3096</v>
      </c>
      <c r="Z836" s="72" t="s">
        <v>4</v>
      </c>
    </row>
    <row r="837" spans="1:26" ht="18.600000000000001" customHeight="1">
      <c r="A837" s="142" t="str">
        <f>IF(priority(Main[[#This Row],[Comments]])&lt;&gt;0, priority(Main[[#This Row],[Comments]]),"")</f>
        <v/>
      </c>
      <c r="B837" s="90" t="s">
        <v>2092</v>
      </c>
      <c r="C837" s="72" t="s">
        <v>4</v>
      </c>
      <c r="D837" s="73" t="s">
        <v>2093</v>
      </c>
      <c r="E837" s="74">
        <v>40926.59207175926</v>
      </c>
      <c r="F837" s="74"/>
      <c r="G837" s="75" t="str">
        <f>IF(stdProdLT(Main[[#This Row],[Comments]])=0.1,"N/A",IF(stdProdLT(Main[[#This Row],[Comments]])=0,"",stdProdLT(Main[[#This Row],[Comments]])))</f>
        <v/>
      </c>
      <c r="H837" s="76" t="str">
        <f>IF(AND(Main[[#This Row],[In Stock Date]]&lt;&gt;"",Main[[#This Row],[Revised Due Date]]&lt;&gt;""),Main[[#This Row],[In Stock Date]]-Main[[#This Row],[Revised Due Date]],"")</f>
        <v/>
      </c>
      <c r="I837" s="72" t="s">
        <v>4</v>
      </c>
      <c r="J837" s="72" t="s">
        <v>4</v>
      </c>
      <c r="K837" s="72" t="s">
        <v>4</v>
      </c>
      <c r="L837" s="74"/>
      <c r="M837" s="77" t="str">
        <f>IF(Main[[#This Row],[Tech Start Date]]&lt;1/1/1990,"",IF(Main[[#This Row],[Class]]="C",WORKDAY(Main[[#This Row],[Tech Start Date]],9),IF(Main[[#This Row],[Class]]="B", WORKDAY(Main[[#This Row],[Tech Start Date]],6),IF(Main[[#This Row],[Class]]="A",WORKDAY(Main[[#This Row],[Tech Start Date]],2),""))))</f>
        <v/>
      </c>
      <c r="N837" s="77" t="str">
        <f>IF(Main[[#This Row],[Tech Start Date]]&lt;1/1/1990,"",IF(Main[[#This Row],[Class]]="C",WORKDAY(Main[[#This Row],[Tech Start Date]],19),IF(Main[[#This Row],[Class]]="B", WORKDAY(Main[[#This Row],[Tech Start Date]],12),IF(Main[[#This Row],[Class]]="A",WORKDAY(Main[[#This Row],[Tech Start Date]],4),""))))</f>
        <v/>
      </c>
      <c r="O837" s="77" t="str">
        <f>IF(Main[[#This Row],[Tech Start Date]]&lt;1/1/1990,"",IF(Main[[#This Row],[Class]]="C",WORKDAY(Main[[#This Row],[Tech Start Date]],23),IF(Main[[#This Row],[Class]]="B", WORKDAY(Main[[#This Row],[Tech Start Date]],15),IF(Main[[#This Row],[Class]]="A",WORKDAY(Main[[#This Row],[Tech Start Date]],5),""))))</f>
        <v/>
      </c>
      <c r="P837" s="77" t="str">
        <f>IF(Main[[#This Row],[Tech Start Date]]&lt;1/1/1990,"",IF(Main[[#This Row],[Class]]="C",WORKDAY(Main[[#This Row],[Tech Start Date]],28),IF(Main[[#This Row],[Class]]="B", WORKDAY(Main[[#This Row],[Tech Start Date]],19),IF(Main[[#This Row],[Class]]="A",WORKDAY(Main[[#This Row],[Tech Start Date]],9),""))))</f>
        <v/>
      </c>
      <c r="Q837" s="74">
        <v>40798</v>
      </c>
      <c r="R837" s="74"/>
      <c r="S837" s="72" t="s">
        <v>6</v>
      </c>
      <c r="T837" s="80" t="s">
        <v>4</v>
      </c>
      <c r="U837" s="72" t="s">
        <v>7</v>
      </c>
      <c r="V837" s="72" t="s">
        <v>1940</v>
      </c>
      <c r="W837" s="72" t="s">
        <v>4</v>
      </c>
      <c r="X837" s="72" t="s">
        <v>2971</v>
      </c>
      <c r="Y837" s="72" t="s">
        <v>3090</v>
      </c>
      <c r="Z837" s="72" t="s">
        <v>4</v>
      </c>
    </row>
    <row r="838" spans="1:26" ht="18.600000000000001" customHeight="1">
      <c r="A838" s="142" t="str">
        <f>IF(priority(Main[[#This Row],[Comments]])&lt;&gt;0, priority(Main[[#This Row],[Comments]]),"")</f>
        <v/>
      </c>
      <c r="B838" s="90" t="s">
        <v>2132</v>
      </c>
      <c r="C838" s="72" t="s">
        <v>4</v>
      </c>
      <c r="D838" s="73" t="s">
        <v>2133</v>
      </c>
      <c r="E838" s="74">
        <v>40770.430092592593</v>
      </c>
      <c r="F838" s="74"/>
      <c r="G838" s="75" t="str">
        <f>IF(stdProdLT(Main[[#This Row],[Comments]])=0.1,"N/A",IF(stdProdLT(Main[[#This Row],[Comments]])=0,"",stdProdLT(Main[[#This Row],[Comments]])))</f>
        <v/>
      </c>
      <c r="H838" s="76" t="str">
        <f>IF(AND(Main[[#This Row],[In Stock Date]]&lt;&gt;"",Main[[#This Row],[Revised Due Date]]&lt;&gt;""),Main[[#This Row],[In Stock Date]]-Main[[#This Row],[Revised Due Date]],"")</f>
        <v/>
      </c>
      <c r="I838" s="72" t="s">
        <v>4</v>
      </c>
      <c r="J838" s="72" t="s">
        <v>4</v>
      </c>
      <c r="K838" s="72" t="s">
        <v>4</v>
      </c>
      <c r="L838" s="74"/>
      <c r="M838" s="77" t="str">
        <f>IF(Main[[#This Row],[Tech Start Date]]&lt;1/1/1990,"",IF(Main[[#This Row],[Class]]="C",WORKDAY(Main[[#This Row],[Tech Start Date]],9),IF(Main[[#This Row],[Class]]="B", WORKDAY(Main[[#This Row],[Tech Start Date]],6),IF(Main[[#This Row],[Class]]="A",WORKDAY(Main[[#This Row],[Tech Start Date]],2),""))))</f>
        <v/>
      </c>
      <c r="N838" s="77" t="str">
        <f>IF(Main[[#This Row],[Tech Start Date]]&lt;1/1/1990,"",IF(Main[[#This Row],[Class]]="C",WORKDAY(Main[[#This Row],[Tech Start Date]],19),IF(Main[[#This Row],[Class]]="B", WORKDAY(Main[[#This Row],[Tech Start Date]],12),IF(Main[[#This Row],[Class]]="A",WORKDAY(Main[[#This Row],[Tech Start Date]],4),""))))</f>
        <v/>
      </c>
      <c r="O838" s="77" t="str">
        <f>IF(Main[[#This Row],[Tech Start Date]]&lt;1/1/1990,"",IF(Main[[#This Row],[Class]]="C",WORKDAY(Main[[#This Row],[Tech Start Date]],23),IF(Main[[#This Row],[Class]]="B", WORKDAY(Main[[#This Row],[Tech Start Date]],15),IF(Main[[#This Row],[Class]]="A",WORKDAY(Main[[#This Row],[Tech Start Date]],5),""))))</f>
        <v/>
      </c>
      <c r="P838" s="77" t="str">
        <f>IF(Main[[#This Row],[Tech Start Date]]&lt;1/1/1990,"",IF(Main[[#This Row],[Class]]="C",WORKDAY(Main[[#This Row],[Tech Start Date]],28),IF(Main[[#This Row],[Class]]="B", WORKDAY(Main[[#This Row],[Tech Start Date]],19),IF(Main[[#This Row],[Class]]="A",WORKDAY(Main[[#This Row],[Tech Start Date]],9),""))))</f>
        <v/>
      </c>
      <c r="Q838" s="74">
        <v>40791</v>
      </c>
      <c r="R838" s="74"/>
      <c r="S838" s="72" t="s">
        <v>6</v>
      </c>
      <c r="T838" s="80" t="s">
        <v>4</v>
      </c>
      <c r="U838" s="72" t="s">
        <v>7</v>
      </c>
      <c r="V838" s="72" t="s">
        <v>1937</v>
      </c>
      <c r="W838" s="72" t="s">
        <v>4</v>
      </c>
      <c r="X838" s="72" t="s">
        <v>2974</v>
      </c>
      <c r="Y838" s="72" t="s">
        <v>3096</v>
      </c>
      <c r="Z838" s="72" t="s">
        <v>4</v>
      </c>
    </row>
    <row r="839" spans="1:26" ht="18.600000000000001" customHeight="1">
      <c r="A839" s="142" t="str">
        <f>IF(priority(Main[[#This Row],[Comments]])&lt;&gt;0, priority(Main[[#This Row],[Comments]]),"")</f>
        <v/>
      </c>
      <c r="B839" s="90" t="s">
        <v>1670</v>
      </c>
      <c r="C839" s="72" t="s">
        <v>4</v>
      </c>
      <c r="D839" s="73" t="s">
        <v>727</v>
      </c>
      <c r="E839" s="74">
        <v>40651.462372685186</v>
      </c>
      <c r="F839" s="74"/>
      <c r="G839" s="75" t="str">
        <f>IF(stdProdLT(Main[[#This Row],[Comments]])=0.1,"N/A",IF(stdProdLT(Main[[#This Row],[Comments]])=0,"",stdProdLT(Main[[#This Row],[Comments]])))</f>
        <v/>
      </c>
      <c r="H839" s="76" t="str">
        <f>IF(AND(Main[[#This Row],[In Stock Date]]&lt;&gt;"",Main[[#This Row],[Revised Due Date]]&lt;&gt;""),Main[[#This Row],[In Stock Date]]-Main[[#This Row],[Revised Due Date]],"")</f>
        <v/>
      </c>
      <c r="I839" s="72" t="s">
        <v>30</v>
      </c>
      <c r="J839" s="72" t="s">
        <v>28</v>
      </c>
      <c r="K839" s="81" t="s">
        <v>1946</v>
      </c>
      <c r="L839" s="74"/>
      <c r="M839" s="77" t="str">
        <f>IF(Main[[#This Row],[Tech Start Date]]&lt;1/1/1990,"",IF(Main[[#This Row],[Class]]="C",WORKDAY(Main[[#This Row],[Tech Start Date]],9),IF(Main[[#This Row],[Class]]="B", WORKDAY(Main[[#This Row],[Tech Start Date]],6),IF(Main[[#This Row],[Class]]="A",WORKDAY(Main[[#This Row],[Tech Start Date]],2),""))))</f>
        <v/>
      </c>
      <c r="N839" s="77" t="str">
        <f>IF(Main[[#This Row],[Tech Start Date]]&lt;1/1/1990,"",IF(Main[[#This Row],[Class]]="C",WORKDAY(Main[[#This Row],[Tech Start Date]],19),IF(Main[[#This Row],[Class]]="B", WORKDAY(Main[[#This Row],[Tech Start Date]],12),IF(Main[[#This Row],[Class]]="A",WORKDAY(Main[[#This Row],[Tech Start Date]],4),""))))</f>
        <v/>
      </c>
      <c r="O839" s="77" t="str">
        <f>IF(Main[[#This Row],[Tech Start Date]]&lt;1/1/1990,"",IF(Main[[#This Row],[Class]]="C",WORKDAY(Main[[#This Row],[Tech Start Date]],23),IF(Main[[#This Row],[Class]]="B", WORKDAY(Main[[#This Row],[Tech Start Date]],15),IF(Main[[#This Row],[Class]]="A",WORKDAY(Main[[#This Row],[Tech Start Date]],5),""))))</f>
        <v/>
      </c>
      <c r="P839" s="77" t="str">
        <f>IF(Main[[#This Row],[Tech Start Date]]&lt;1/1/1990,"",IF(Main[[#This Row],[Class]]="C",WORKDAY(Main[[#This Row],[Tech Start Date]],28),IF(Main[[#This Row],[Class]]="B", WORKDAY(Main[[#This Row],[Tech Start Date]],19),IF(Main[[#This Row],[Class]]="A",WORKDAY(Main[[#This Row],[Tech Start Date]],9),""))))</f>
        <v/>
      </c>
      <c r="Q839" s="74">
        <v>40694</v>
      </c>
      <c r="R839" s="74"/>
      <c r="S839" s="72" t="s">
        <v>6</v>
      </c>
      <c r="T839" s="80" t="s">
        <v>4</v>
      </c>
      <c r="U839" s="72" t="s">
        <v>29</v>
      </c>
      <c r="V839" s="72" t="s">
        <v>1940</v>
      </c>
      <c r="W839" s="72" t="s">
        <v>1941</v>
      </c>
      <c r="X839" s="72" t="s">
        <v>30</v>
      </c>
      <c r="Y839" s="72" t="s">
        <v>3115</v>
      </c>
      <c r="Z839" s="72" t="s">
        <v>30</v>
      </c>
    </row>
    <row r="840" spans="1:26" ht="18.600000000000001" customHeight="1">
      <c r="A840" s="142" t="str">
        <f>IF(priority(Main[[#This Row],[Comments]])&lt;&gt;0, priority(Main[[#This Row],[Comments]]),"")</f>
        <v/>
      </c>
      <c r="B840" s="90" t="s">
        <v>2155</v>
      </c>
      <c r="C840" s="72" t="s">
        <v>4</v>
      </c>
      <c r="D840" s="73" t="s">
        <v>2156</v>
      </c>
      <c r="E840" s="74">
        <v>40764.690844907411</v>
      </c>
      <c r="F840" s="74"/>
      <c r="G840" s="75" t="str">
        <f>IF(stdProdLT(Main[[#This Row],[Comments]])=0.1,"N/A",IF(stdProdLT(Main[[#This Row],[Comments]])=0,"",stdProdLT(Main[[#This Row],[Comments]])))</f>
        <v/>
      </c>
      <c r="H840" s="76" t="str">
        <f>IF(AND(Main[[#This Row],[In Stock Date]]&lt;&gt;"",Main[[#This Row],[Revised Due Date]]&lt;&gt;""),Main[[#This Row],[In Stock Date]]-Main[[#This Row],[Revised Due Date]],"")</f>
        <v/>
      </c>
      <c r="I840" s="72" t="s">
        <v>2242</v>
      </c>
      <c r="J840" s="72" t="s">
        <v>4</v>
      </c>
      <c r="K840" s="72" t="s">
        <v>4</v>
      </c>
      <c r="L840" s="74"/>
      <c r="M840" s="77" t="str">
        <f>IF(Main[[#This Row],[Tech Start Date]]&lt;1/1/1990,"",IF(Main[[#This Row],[Class]]="C",WORKDAY(Main[[#This Row],[Tech Start Date]],9),IF(Main[[#This Row],[Class]]="B", WORKDAY(Main[[#This Row],[Tech Start Date]],6),IF(Main[[#This Row],[Class]]="A",WORKDAY(Main[[#This Row],[Tech Start Date]],2),""))))</f>
        <v/>
      </c>
      <c r="N840" s="77" t="str">
        <f>IF(Main[[#This Row],[Tech Start Date]]&lt;1/1/1990,"",IF(Main[[#This Row],[Class]]="C",WORKDAY(Main[[#This Row],[Tech Start Date]],19),IF(Main[[#This Row],[Class]]="B", WORKDAY(Main[[#This Row],[Tech Start Date]],12),IF(Main[[#This Row],[Class]]="A",WORKDAY(Main[[#This Row],[Tech Start Date]],4),""))))</f>
        <v/>
      </c>
      <c r="O840" s="77" t="str">
        <f>IF(Main[[#This Row],[Tech Start Date]]&lt;1/1/1990,"",IF(Main[[#This Row],[Class]]="C",WORKDAY(Main[[#This Row],[Tech Start Date]],23),IF(Main[[#This Row],[Class]]="B", WORKDAY(Main[[#This Row],[Tech Start Date]],15),IF(Main[[#This Row],[Class]]="A",WORKDAY(Main[[#This Row],[Tech Start Date]],5),""))))</f>
        <v/>
      </c>
      <c r="P840" s="77" t="str">
        <f>IF(Main[[#This Row],[Tech Start Date]]&lt;1/1/1990,"",IF(Main[[#This Row],[Class]]="C",WORKDAY(Main[[#This Row],[Tech Start Date]],28),IF(Main[[#This Row],[Class]]="B", WORKDAY(Main[[#This Row],[Tech Start Date]],19),IF(Main[[#This Row],[Class]]="A",WORKDAY(Main[[#This Row],[Tech Start Date]],9),""))))</f>
        <v/>
      </c>
      <c r="Q840" s="74"/>
      <c r="R840" s="74"/>
      <c r="S840" s="72" t="s">
        <v>6</v>
      </c>
      <c r="T840" s="80" t="s">
        <v>4</v>
      </c>
      <c r="U840" s="72" t="s">
        <v>7</v>
      </c>
      <c r="V840" s="72" t="s">
        <v>1952</v>
      </c>
      <c r="W840" s="72" t="s">
        <v>1939</v>
      </c>
      <c r="X840" s="72" t="s">
        <v>311</v>
      </c>
      <c r="Y840" s="72" t="s">
        <v>4</v>
      </c>
      <c r="Z840" s="72" t="s">
        <v>2242</v>
      </c>
    </row>
    <row r="841" spans="1:26" ht="18.600000000000001" customHeight="1">
      <c r="A841" s="142" t="str">
        <f>IF(priority(Main[[#This Row],[Comments]])&lt;&gt;0, priority(Main[[#This Row],[Comments]]),"")</f>
        <v/>
      </c>
      <c r="B841" s="90" t="s">
        <v>1219</v>
      </c>
      <c r="C841" s="72" t="s">
        <v>4</v>
      </c>
      <c r="D841" s="73" t="s">
        <v>264</v>
      </c>
      <c r="E841" s="74">
        <v>40667.612881944442</v>
      </c>
      <c r="F841" s="74"/>
      <c r="G841" s="75" t="str">
        <f>IF(stdProdLT(Main[[#This Row],[Comments]])=0.1,"N/A",IF(stdProdLT(Main[[#This Row],[Comments]])=0,"",stdProdLT(Main[[#This Row],[Comments]])))</f>
        <v/>
      </c>
      <c r="H841" s="76" t="str">
        <f>IF(AND(Main[[#This Row],[In Stock Date]]&lt;&gt;"",Main[[#This Row],[Revised Due Date]]&lt;&gt;""),Main[[#This Row],[In Stock Date]]-Main[[#This Row],[Revised Due Date]],"")</f>
        <v/>
      </c>
      <c r="I841" s="72" t="s">
        <v>4</v>
      </c>
      <c r="J841" s="72" t="s">
        <v>4</v>
      </c>
      <c r="K841" s="72" t="s">
        <v>4</v>
      </c>
      <c r="L841" s="74"/>
      <c r="M841" s="77" t="str">
        <f>IF(Main[[#This Row],[Tech Start Date]]&lt;1/1/1990,"",IF(Main[[#This Row],[Class]]="C",WORKDAY(Main[[#This Row],[Tech Start Date]],9),IF(Main[[#This Row],[Class]]="B", WORKDAY(Main[[#This Row],[Tech Start Date]],6),IF(Main[[#This Row],[Class]]="A",WORKDAY(Main[[#This Row],[Tech Start Date]],2),""))))</f>
        <v/>
      </c>
      <c r="N841" s="77" t="str">
        <f>IF(Main[[#This Row],[Tech Start Date]]&lt;1/1/1990,"",IF(Main[[#This Row],[Class]]="C",WORKDAY(Main[[#This Row],[Tech Start Date]],19),IF(Main[[#This Row],[Class]]="B", WORKDAY(Main[[#This Row],[Tech Start Date]],12),IF(Main[[#This Row],[Class]]="A",WORKDAY(Main[[#This Row],[Tech Start Date]],4),""))))</f>
        <v/>
      </c>
      <c r="O841" s="77" t="str">
        <f>IF(Main[[#This Row],[Tech Start Date]]&lt;1/1/1990,"",IF(Main[[#This Row],[Class]]="C",WORKDAY(Main[[#This Row],[Tech Start Date]],23),IF(Main[[#This Row],[Class]]="B", WORKDAY(Main[[#This Row],[Tech Start Date]],15),IF(Main[[#This Row],[Class]]="A",WORKDAY(Main[[#This Row],[Tech Start Date]],5),""))))</f>
        <v/>
      </c>
      <c r="P841" s="77" t="str">
        <f>IF(Main[[#This Row],[Tech Start Date]]&lt;1/1/1990,"",IF(Main[[#This Row],[Class]]="C",WORKDAY(Main[[#This Row],[Tech Start Date]],28),IF(Main[[#This Row],[Class]]="B", WORKDAY(Main[[#This Row],[Tech Start Date]],19),IF(Main[[#This Row],[Class]]="A",WORKDAY(Main[[#This Row],[Tech Start Date]],9),""))))</f>
        <v/>
      </c>
      <c r="Q841" s="74">
        <v>40858</v>
      </c>
      <c r="R841" s="74"/>
      <c r="S841" s="72" t="s">
        <v>17</v>
      </c>
      <c r="T841" s="80" t="s">
        <v>4</v>
      </c>
      <c r="U841" s="72" t="s">
        <v>7</v>
      </c>
      <c r="V841" s="72" t="s">
        <v>1937</v>
      </c>
      <c r="W841" s="72" t="s">
        <v>1942</v>
      </c>
      <c r="X841" s="72" t="s">
        <v>50</v>
      </c>
      <c r="Y841" s="72" t="s">
        <v>3117</v>
      </c>
      <c r="Z841" s="72" t="s">
        <v>4</v>
      </c>
    </row>
    <row r="842" spans="1:26" ht="18.600000000000001" customHeight="1">
      <c r="A842" s="142" t="str">
        <f>IF(priority(Main[[#This Row],[Comments]])&lt;&gt;0, priority(Main[[#This Row],[Comments]]),"")</f>
        <v/>
      </c>
      <c r="B842" s="90" t="s">
        <v>2089</v>
      </c>
      <c r="C842" s="72" t="s">
        <v>4</v>
      </c>
      <c r="D842" s="73" t="s">
        <v>2090</v>
      </c>
      <c r="E842" s="74">
        <v>40759.465995370374</v>
      </c>
      <c r="F842" s="74"/>
      <c r="G842" s="75" t="str">
        <f>IF(stdProdLT(Main[[#This Row],[Comments]])=0.1,"N/A",IF(stdProdLT(Main[[#This Row],[Comments]])=0,"",stdProdLT(Main[[#This Row],[Comments]])))</f>
        <v/>
      </c>
      <c r="H842" s="76" t="str">
        <f>IF(AND(Main[[#This Row],[In Stock Date]]&lt;&gt;"",Main[[#This Row],[Revised Due Date]]&lt;&gt;""),Main[[#This Row],[In Stock Date]]-Main[[#This Row],[Revised Due Date]],"")</f>
        <v/>
      </c>
      <c r="I842" s="72" t="s">
        <v>927</v>
      </c>
      <c r="J842" s="72" t="s">
        <v>52</v>
      </c>
      <c r="K842" s="81" t="s">
        <v>4</v>
      </c>
      <c r="L842" s="74"/>
      <c r="M842" s="77" t="str">
        <f>IF(Main[[#This Row],[Tech Start Date]]&lt;1/1/1990,"",IF(Main[[#This Row],[Class]]="C",WORKDAY(Main[[#This Row],[Tech Start Date]],9),IF(Main[[#This Row],[Class]]="B", WORKDAY(Main[[#This Row],[Tech Start Date]],6),IF(Main[[#This Row],[Class]]="A",WORKDAY(Main[[#This Row],[Tech Start Date]],2),""))))</f>
        <v/>
      </c>
      <c r="N842" s="77" t="str">
        <f>IF(Main[[#This Row],[Tech Start Date]]&lt;1/1/1990,"",IF(Main[[#This Row],[Class]]="C",WORKDAY(Main[[#This Row],[Tech Start Date]],19),IF(Main[[#This Row],[Class]]="B", WORKDAY(Main[[#This Row],[Tech Start Date]],12),IF(Main[[#This Row],[Class]]="A",WORKDAY(Main[[#This Row],[Tech Start Date]],4),""))))</f>
        <v/>
      </c>
      <c r="O842" s="77" t="str">
        <f>IF(Main[[#This Row],[Tech Start Date]]&lt;1/1/1990,"",IF(Main[[#This Row],[Class]]="C",WORKDAY(Main[[#This Row],[Tech Start Date]],23),IF(Main[[#This Row],[Class]]="B", WORKDAY(Main[[#This Row],[Tech Start Date]],15),IF(Main[[#This Row],[Class]]="A",WORKDAY(Main[[#This Row],[Tech Start Date]],5),""))))</f>
        <v/>
      </c>
      <c r="P842" s="77" t="str">
        <f>IF(Main[[#This Row],[Tech Start Date]]&lt;1/1/1990,"",IF(Main[[#This Row],[Class]]="C",WORKDAY(Main[[#This Row],[Tech Start Date]],28),IF(Main[[#This Row],[Class]]="B", WORKDAY(Main[[#This Row],[Tech Start Date]],19),IF(Main[[#This Row],[Class]]="A",WORKDAY(Main[[#This Row],[Tech Start Date]],9),""))))</f>
        <v/>
      </c>
      <c r="Q842" s="74"/>
      <c r="R842" s="74"/>
      <c r="S842" s="72" t="s">
        <v>6</v>
      </c>
      <c r="T842" s="80" t="s">
        <v>4</v>
      </c>
      <c r="U842" s="72" t="s">
        <v>29</v>
      </c>
      <c r="V842" s="72" t="s">
        <v>1937</v>
      </c>
      <c r="W842" s="72" t="s">
        <v>1941</v>
      </c>
      <c r="X842" s="72" t="s">
        <v>927</v>
      </c>
      <c r="Y842" s="72" t="s">
        <v>3215</v>
      </c>
      <c r="Z842" s="72" t="s">
        <v>4</v>
      </c>
    </row>
    <row r="843" spans="1:26" ht="18.600000000000001" customHeight="1">
      <c r="A843" s="142" t="str">
        <f>IF(priority(Main[[#This Row],[Comments]])&lt;&gt;0, priority(Main[[#This Row],[Comments]]),"")</f>
        <v/>
      </c>
      <c r="B843" s="90" t="s">
        <v>2826</v>
      </c>
      <c r="C843" s="72" t="s">
        <v>4</v>
      </c>
      <c r="D843" s="73" t="s">
        <v>2827</v>
      </c>
      <c r="E843" s="74">
        <v>40891.136469907404</v>
      </c>
      <c r="F843" s="74"/>
      <c r="G843" s="75" t="str">
        <f>IF(stdProdLT(Main[[#This Row],[Comments]])=0.1,"N/A",IF(stdProdLT(Main[[#This Row],[Comments]])=0,"",stdProdLT(Main[[#This Row],[Comments]])))</f>
        <v/>
      </c>
      <c r="H843" s="76" t="str">
        <f>IF(AND(Main[[#This Row],[In Stock Date]]&lt;&gt;"",Main[[#This Row],[Revised Due Date]]&lt;&gt;""),Main[[#This Row],[In Stock Date]]-Main[[#This Row],[Revised Due Date]],"")</f>
        <v/>
      </c>
      <c r="I843" s="72" t="s">
        <v>536</v>
      </c>
      <c r="J843" s="72" t="s">
        <v>28</v>
      </c>
      <c r="K843" s="72" t="s">
        <v>1946</v>
      </c>
      <c r="L843" s="74"/>
      <c r="M843" s="77" t="str">
        <f>IF(Main[[#This Row],[Tech Start Date]]&lt;1/1/1990,"",IF(Main[[#This Row],[Class]]="C",WORKDAY(Main[[#This Row],[Tech Start Date]],9),IF(Main[[#This Row],[Class]]="B", WORKDAY(Main[[#This Row],[Tech Start Date]],6),IF(Main[[#This Row],[Class]]="A",WORKDAY(Main[[#This Row],[Tech Start Date]],2),""))))</f>
        <v/>
      </c>
      <c r="N843" s="77" t="str">
        <f>IF(Main[[#This Row],[Tech Start Date]]&lt;1/1/1990,"",IF(Main[[#This Row],[Class]]="C",WORKDAY(Main[[#This Row],[Tech Start Date]],19),IF(Main[[#This Row],[Class]]="B", WORKDAY(Main[[#This Row],[Tech Start Date]],12),IF(Main[[#This Row],[Class]]="A",WORKDAY(Main[[#This Row],[Tech Start Date]],4),""))))</f>
        <v/>
      </c>
      <c r="O843" s="77" t="str">
        <f>IF(Main[[#This Row],[Tech Start Date]]&lt;1/1/1990,"",IF(Main[[#This Row],[Class]]="C",WORKDAY(Main[[#This Row],[Tech Start Date]],23),IF(Main[[#This Row],[Class]]="B", WORKDAY(Main[[#This Row],[Tech Start Date]],15),IF(Main[[#This Row],[Class]]="A",WORKDAY(Main[[#This Row],[Tech Start Date]],5),""))))</f>
        <v/>
      </c>
      <c r="P843" s="77" t="str">
        <f>IF(Main[[#This Row],[Tech Start Date]]&lt;1/1/1990,"",IF(Main[[#This Row],[Class]]="C",WORKDAY(Main[[#This Row],[Tech Start Date]],28),IF(Main[[#This Row],[Class]]="B", WORKDAY(Main[[#This Row],[Tech Start Date]],19),IF(Main[[#This Row],[Class]]="A",WORKDAY(Main[[#This Row],[Tech Start Date]],9),""))))</f>
        <v/>
      </c>
      <c r="Q843" s="74">
        <v>40914</v>
      </c>
      <c r="R843" s="74"/>
      <c r="S843" s="72" t="s">
        <v>6</v>
      </c>
      <c r="T843" s="80" t="s">
        <v>4</v>
      </c>
      <c r="U843" s="72" t="s">
        <v>29</v>
      </c>
      <c r="V843" s="72" t="s">
        <v>1940</v>
      </c>
      <c r="W843" s="72" t="s">
        <v>1941</v>
      </c>
      <c r="X843" s="72" t="s">
        <v>3003</v>
      </c>
      <c r="Y843" s="72" t="s">
        <v>3144</v>
      </c>
      <c r="Z843" s="72" t="s">
        <v>30</v>
      </c>
    </row>
    <row r="844" spans="1:26" ht="18.600000000000001" customHeight="1">
      <c r="A844" s="142" t="str">
        <f>IF(priority(Main[[#This Row],[Comments]])&lt;&gt;0, priority(Main[[#This Row],[Comments]]),"")</f>
        <v/>
      </c>
      <c r="B844" s="90" t="s">
        <v>1671</v>
      </c>
      <c r="C844" s="72" t="s">
        <v>33</v>
      </c>
      <c r="D844" s="73" t="s">
        <v>728</v>
      </c>
      <c r="E844" s="74"/>
      <c r="F844" s="74">
        <v>40530</v>
      </c>
      <c r="G844" s="75" t="str">
        <f>IF(stdProdLT(Main[[#This Row],[Comments]])=0.1,"N/A",IF(stdProdLT(Main[[#This Row],[Comments]])=0,"",stdProdLT(Main[[#This Row],[Comments]])))</f>
        <v/>
      </c>
      <c r="H844" s="76" t="str">
        <f>IF(AND(Main[[#This Row],[In Stock Date]]&lt;&gt;"",Main[[#This Row],[Revised Due Date]]&lt;&gt;""),Main[[#This Row],[In Stock Date]]-Main[[#This Row],[Revised Due Date]],"")</f>
        <v/>
      </c>
      <c r="I844" s="72" t="s">
        <v>74</v>
      </c>
      <c r="J844" s="72" t="s">
        <v>28</v>
      </c>
      <c r="K844" s="81" t="s">
        <v>1949</v>
      </c>
      <c r="L844" s="74"/>
      <c r="M844" s="77" t="str">
        <f>IF(Main[[#This Row],[Tech Start Date]]&lt;1/1/1990,"",IF(Main[[#This Row],[Class]]="C",WORKDAY(Main[[#This Row],[Tech Start Date]],9),IF(Main[[#This Row],[Class]]="B", WORKDAY(Main[[#This Row],[Tech Start Date]],6),IF(Main[[#This Row],[Class]]="A",WORKDAY(Main[[#This Row],[Tech Start Date]],2),""))))</f>
        <v/>
      </c>
      <c r="N844" s="77" t="str">
        <f>IF(Main[[#This Row],[Tech Start Date]]&lt;1/1/1990,"",IF(Main[[#This Row],[Class]]="C",WORKDAY(Main[[#This Row],[Tech Start Date]],19),IF(Main[[#This Row],[Class]]="B", WORKDAY(Main[[#This Row],[Tech Start Date]],12),IF(Main[[#This Row],[Class]]="A",WORKDAY(Main[[#This Row],[Tech Start Date]],4),""))))</f>
        <v/>
      </c>
      <c r="O844" s="77" t="str">
        <f>IF(Main[[#This Row],[Tech Start Date]]&lt;1/1/1990,"",IF(Main[[#This Row],[Class]]="C",WORKDAY(Main[[#This Row],[Tech Start Date]],23),IF(Main[[#This Row],[Class]]="B", WORKDAY(Main[[#This Row],[Tech Start Date]],15),IF(Main[[#This Row],[Class]]="A",WORKDAY(Main[[#This Row],[Tech Start Date]],5),""))))</f>
        <v/>
      </c>
      <c r="P844" s="77" t="str">
        <f>IF(Main[[#This Row],[Tech Start Date]]&lt;1/1/1990,"",IF(Main[[#This Row],[Class]]="C",WORKDAY(Main[[#This Row],[Tech Start Date]],28),IF(Main[[#This Row],[Class]]="B", WORKDAY(Main[[#This Row],[Tech Start Date]],19),IF(Main[[#This Row],[Class]]="A",WORKDAY(Main[[#This Row],[Tech Start Date]],9),""))))</f>
        <v/>
      </c>
      <c r="Q844" s="74">
        <v>40390</v>
      </c>
      <c r="R844" s="74"/>
      <c r="S844" s="72" t="s">
        <v>17</v>
      </c>
      <c r="T844" s="80" t="s">
        <v>4</v>
      </c>
      <c r="U844" s="72" t="s">
        <v>14</v>
      </c>
      <c r="V844" s="72" t="s">
        <v>1940</v>
      </c>
      <c r="W844" s="72" t="s">
        <v>1942</v>
      </c>
      <c r="X844" s="72" t="s">
        <v>2978</v>
      </c>
      <c r="Y844" s="72" t="s">
        <v>4</v>
      </c>
      <c r="Z844" s="72" t="s">
        <v>74</v>
      </c>
    </row>
    <row r="845" spans="1:26" ht="18.600000000000001" customHeight="1">
      <c r="A845" s="142" t="str">
        <f>IF(priority(Main[[#This Row],[Comments]])&lt;&gt;0, priority(Main[[#This Row],[Comments]]),"")</f>
        <v/>
      </c>
      <c r="B845" s="90" t="s">
        <v>1672</v>
      </c>
      <c r="C845" s="72" t="s">
        <v>4</v>
      </c>
      <c r="D845" s="73" t="s">
        <v>543</v>
      </c>
      <c r="E845" s="74"/>
      <c r="F845" s="74"/>
      <c r="G845" s="75" t="str">
        <f>IF(stdProdLT(Main[[#This Row],[Comments]])=0.1,"N/A",IF(stdProdLT(Main[[#This Row],[Comments]])=0,"",stdProdLT(Main[[#This Row],[Comments]])))</f>
        <v/>
      </c>
      <c r="H845" s="76" t="str">
        <f>IF(AND(Main[[#This Row],[In Stock Date]]&lt;&gt;"",Main[[#This Row],[Revised Due Date]]&lt;&gt;""),Main[[#This Row],[In Stock Date]]-Main[[#This Row],[Revised Due Date]],"")</f>
        <v/>
      </c>
      <c r="I845" s="72" t="s">
        <v>4</v>
      </c>
      <c r="J845" s="72" t="s">
        <v>4</v>
      </c>
      <c r="K845" s="72" t="s">
        <v>4</v>
      </c>
      <c r="L845" s="74"/>
      <c r="M845" s="77" t="str">
        <f>IF(Main[[#This Row],[Tech Start Date]]&lt;1/1/1990,"",IF(Main[[#This Row],[Class]]="C",WORKDAY(Main[[#This Row],[Tech Start Date]],9),IF(Main[[#This Row],[Class]]="B", WORKDAY(Main[[#This Row],[Tech Start Date]],6),IF(Main[[#This Row],[Class]]="A",WORKDAY(Main[[#This Row],[Tech Start Date]],2),""))))</f>
        <v/>
      </c>
      <c r="N845" s="77" t="str">
        <f>IF(Main[[#This Row],[Tech Start Date]]&lt;1/1/1990,"",IF(Main[[#This Row],[Class]]="C",WORKDAY(Main[[#This Row],[Tech Start Date]],19),IF(Main[[#This Row],[Class]]="B", WORKDAY(Main[[#This Row],[Tech Start Date]],12),IF(Main[[#This Row],[Class]]="A",WORKDAY(Main[[#This Row],[Tech Start Date]],4),""))))</f>
        <v/>
      </c>
      <c r="O845" s="77" t="str">
        <f>IF(Main[[#This Row],[Tech Start Date]]&lt;1/1/1990,"",IF(Main[[#This Row],[Class]]="C",WORKDAY(Main[[#This Row],[Tech Start Date]],23),IF(Main[[#This Row],[Class]]="B", WORKDAY(Main[[#This Row],[Tech Start Date]],15),IF(Main[[#This Row],[Class]]="A",WORKDAY(Main[[#This Row],[Tech Start Date]],5),""))))</f>
        <v/>
      </c>
      <c r="P845" s="77" t="str">
        <f>IF(Main[[#This Row],[Tech Start Date]]&lt;1/1/1990,"",IF(Main[[#This Row],[Class]]="C",WORKDAY(Main[[#This Row],[Tech Start Date]],28),IF(Main[[#This Row],[Class]]="B", WORKDAY(Main[[#This Row],[Tech Start Date]],19),IF(Main[[#This Row],[Class]]="A",WORKDAY(Main[[#This Row],[Tech Start Date]],9),""))))</f>
        <v/>
      </c>
      <c r="Q845" s="74">
        <v>40606</v>
      </c>
      <c r="R845" s="74"/>
      <c r="S845" s="72" t="s">
        <v>6</v>
      </c>
      <c r="T845" s="80" t="s">
        <v>4</v>
      </c>
      <c r="U845" s="72" t="s">
        <v>14</v>
      </c>
      <c r="V845" s="72" t="s">
        <v>1940</v>
      </c>
      <c r="W845" s="72" t="s">
        <v>1941</v>
      </c>
      <c r="X845" s="72" t="s">
        <v>2988</v>
      </c>
      <c r="Y845" s="72" t="s">
        <v>3123</v>
      </c>
      <c r="Z845" s="72" t="s">
        <v>4</v>
      </c>
    </row>
    <row r="846" spans="1:26" ht="18.600000000000001" customHeight="1">
      <c r="A846" s="142" t="str">
        <f>IF(priority(Main[[#This Row],[Comments]])&lt;&gt;0, priority(Main[[#This Row],[Comments]]),"")</f>
        <v/>
      </c>
      <c r="B846" s="90" t="s">
        <v>1426</v>
      </c>
      <c r="C846" s="72" t="s">
        <v>4</v>
      </c>
      <c r="D846" s="73" t="s">
        <v>1975</v>
      </c>
      <c r="E846" s="74"/>
      <c r="F846" s="74"/>
      <c r="G846" s="75" t="str">
        <f>IF(stdProdLT(Main[[#This Row],[Comments]])=0.1,"N/A",IF(stdProdLT(Main[[#This Row],[Comments]])=0,"",stdProdLT(Main[[#This Row],[Comments]])))</f>
        <v/>
      </c>
      <c r="H846" s="76" t="str">
        <f>IF(AND(Main[[#This Row],[In Stock Date]]&lt;&gt;"",Main[[#This Row],[Revised Due Date]]&lt;&gt;""),Main[[#This Row],[In Stock Date]]-Main[[#This Row],[Revised Due Date]],"")</f>
        <v/>
      </c>
      <c r="I846" s="72" t="s">
        <v>4</v>
      </c>
      <c r="J846" s="72" t="s">
        <v>4</v>
      </c>
      <c r="K846" s="72" t="s">
        <v>4</v>
      </c>
      <c r="L846" s="74"/>
      <c r="M846" s="77" t="str">
        <f>IF(Main[[#This Row],[Tech Start Date]]&lt;1/1/1990,"",IF(Main[[#This Row],[Class]]="C",WORKDAY(Main[[#This Row],[Tech Start Date]],9),IF(Main[[#This Row],[Class]]="B", WORKDAY(Main[[#This Row],[Tech Start Date]],6),IF(Main[[#This Row],[Class]]="A",WORKDAY(Main[[#This Row],[Tech Start Date]],2),""))))</f>
        <v/>
      </c>
      <c r="N846" s="77" t="str">
        <f>IF(Main[[#This Row],[Tech Start Date]]&lt;1/1/1990,"",IF(Main[[#This Row],[Class]]="C",WORKDAY(Main[[#This Row],[Tech Start Date]],19),IF(Main[[#This Row],[Class]]="B", WORKDAY(Main[[#This Row],[Tech Start Date]],12),IF(Main[[#This Row],[Class]]="A",WORKDAY(Main[[#This Row],[Tech Start Date]],4),""))))</f>
        <v/>
      </c>
      <c r="O846" s="77" t="str">
        <f>IF(Main[[#This Row],[Tech Start Date]]&lt;1/1/1990,"",IF(Main[[#This Row],[Class]]="C",WORKDAY(Main[[#This Row],[Tech Start Date]],23),IF(Main[[#This Row],[Class]]="B", WORKDAY(Main[[#This Row],[Tech Start Date]],15),IF(Main[[#This Row],[Class]]="A",WORKDAY(Main[[#This Row],[Tech Start Date]],5),""))))</f>
        <v/>
      </c>
      <c r="P846" s="77" t="str">
        <f>IF(Main[[#This Row],[Tech Start Date]]&lt;1/1/1990,"",IF(Main[[#This Row],[Class]]="C",WORKDAY(Main[[#This Row],[Tech Start Date]],28),IF(Main[[#This Row],[Class]]="B", WORKDAY(Main[[#This Row],[Tech Start Date]],19),IF(Main[[#This Row],[Class]]="A",WORKDAY(Main[[#This Row],[Tech Start Date]],9),""))))</f>
        <v/>
      </c>
      <c r="Q846" s="74"/>
      <c r="R846" s="74"/>
      <c r="S846" s="72" t="s">
        <v>6</v>
      </c>
      <c r="T846" s="80" t="s">
        <v>4</v>
      </c>
      <c r="U846" s="72" t="s">
        <v>14</v>
      </c>
      <c r="V846" s="72" t="s">
        <v>1938</v>
      </c>
      <c r="W846" s="72" t="s">
        <v>1939</v>
      </c>
      <c r="X846" s="72" t="s">
        <v>937</v>
      </c>
      <c r="Y846" s="72" t="s">
        <v>3178</v>
      </c>
      <c r="Z846" s="72" t="s">
        <v>4</v>
      </c>
    </row>
    <row r="847" spans="1:26" ht="18.600000000000001" customHeight="1">
      <c r="A847" s="142" t="str">
        <f>IF(priority(Main[[#This Row],[Comments]])&lt;&gt;0, priority(Main[[#This Row],[Comments]]),"")</f>
        <v/>
      </c>
      <c r="B847" s="90" t="s">
        <v>1664</v>
      </c>
      <c r="C847" s="72" t="s">
        <v>4</v>
      </c>
      <c r="D847" s="73" t="s">
        <v>723</v>
      </c>
      <c r="E847" s="74"/>
      <c r="F847" s="74"/>
      <c r="G847" s="75" t="str">
        <f>IF(stdProdLT(Main[[#This Row],[Comments]])=0.1,"N/A",IF(stdProdLT(Main[[#This Row],[Comments]])=0,"",stdProdLT(Main[[#This Row],[Comments]])))</f>
        <v/>
      </c>
      <c r="H847" s="76" t="str">
        <f>IF(AND(Main[[#This Row],[In Stock Date]]&lt;&gt;"",Main[[#This Row],[Revised Due Date]]&lt;&gt;""),Main[[#This Row],[In Stock Date]]-Main[[#This Row],[Revised Due Date]],"")</f>
        <v/>
      </c>
      <c r="I847" s="72" t="s">
        <v>4</v>
      </c>
      <c r="J847" s="72" t="s">
        <v>4</v>
      </c>
      <c r="K847" s="72" t="s">
        <v>4</v>
      </c>
      <c r="L847" s="74"/>
      <c r="M847" s="77" t="str">
        <f>IF(Main[[#This Row],[Tech Start Date]]&lt;1/1/1990,"",IF(Main[[#This Row],[Class]]="C",WORKDAY(Main[[#This Row],[Tech Start Date]],9),IF(Main[[#This Row],[Class]]="B", WORKDAY(Main[[#This Row],[Tech Start Date]],6),IF(Main[[#This Row],[Class]]="A",WORKDAY(Main[[#This Row],[Tech Start Date]],2),""))))</f>
        <v/>
      </c>
      <c r="N847" s="77" t="str">
        <f>IF(Main[[#This Row],[Tech Start Date]]&lt;1/1/1990,"",IF(Main[[#This Row],[Class]]="C",WORKDAY(Main[[#This Row],[Tech Start Date]],19),IF(Main[[#This Row],[Class]]="B", WORKDAY(Main[[#This Row],[Tech Start Date]],12),IF(Main[[#This Row],[Class]]="A",WORKDAY(Main[[#This Row],[Tech Start Date]],4),""))))</f>
        <v/>
      </c>
      <c r="O847" s="77" t="str">
        <f>IF(Main[[#This Row],[Tech Start Date]]&lt;1/1/1990,"",IF(Main[[#This Row],[Class]]="C",WORKDAY(Main[[#This Row],[Tech Start Date]],23),IF(Main[[#This Row],[Class]]="B", WORKDAY(Main[[#This Row],[Tech Start Date]],15),IF(Main[[#This Row],[Class]]="A",WORKDAY(Main[[#This Row],[Tech Start Date]],5),""))))</f>
        <v/>
      </c>
      <c r="P847" s="77" t="str">
        <f>IF(Main[[#This Row],[Tech Start Date]]&lt;1/1/1990,"",IF(Main[[#This Row],[Class]]="C",WORKDAY(Main[[#This Row],[Tech Start Date]],28),IF(Main[[#This Row],[Class]]="B", WORKDAY(Main[[#This Row],[Tech Start Date]],19),IF(Main[[#This Row],[Class]]="A",WORKDAY(Main[[#This Row],[Tech Start Date]],9),""))))</f>
        <v/>
      </c>
      <c r="Q847" s="74"/>
      <c r="R847" s="74"/>
      <c r="S847" s="72" t="s">
        <v>23</v>
      </c>
      <c r="T847" s="80" t="s">
        <v>4</v>
      </c>
      <c r="U847" s="72" t="s">
        <v>14</v>
      </c>
      <c r="V847" s="72" t="s">
        <v>1940</v>
      </c>
      <c r="W847" s="72" t="s">
        <v>1941</v>
      </c>
      <c r="X847" s="72" t="s">
        <v>404</v>
      </c>
      <c r="Y847" s="72" t="s">
        <v>4</v>
      </c>
      <c r="Z847" s="72" t="s">
        <v>4</v>
      </c>
    </row>
    <row r="848" spans="1:26" ht="18.600000000000001" customHeight="1">
      <c r="A848" s="143" t="str">
        <f>IF(priority(Main[[#This Row],[Comments]])&lt;&gt;0, priority(Main[[#This Row],[Comments]]),"")</f>
        <v/>
      </c>
      <c r="B848" s="92" t="s">
        <v>1876</v>
      </c>
      <c r="C848" s="93" t="s">
        <v>4</v>
      </c>
      <c r="D848" s="84" t="s">
        <v>924</v>
      </c>
      <c r="E848" s="94"/>
      <c r="F848" s="94"/>
      <c r="G848" s="93" t="str">
        <f>IF(stdProdLT(Main[[#This Row],[Comments]])=0.1,"N/A",IF(stdProdLT(Main[[#This Row],[Comments]])=0,"",stdProdLT(Main[[#This Row],[Comments]])))</f>
        <v/>
      </c>
      <c r="H848" s="95" t="str">
        <f>IF(AND(Main[[#This Row],[In Stock Date]]&lt;&gt;"",Main[[#This Row],[Revised Due Date]]&lt;&gt;""),Main[[#This Row],[In Stock Date]]-Main[[#This Row],[Revised Due Date]],"")</f>
        <v/>
      </c>
      <c r="I848" s="93" t="s">
        <v>866</v>
      </c>
      <c r="J848" s="93" t="s">
        <v>4</v>
      </c>
      <c r="K848" s="93" t="s">
        <v>1949</v>
      </c>
      <c r="L848" s="94"/>
      <c r="M848" s="96" t="str">
        <f>IF(Main[[#This Row],[Tech Start Date]]&lt;1/1/1990,"",IF(Main[[#This Row],[Class]]="C",WORKDAY(Main[[#This Row],[Tech Start Date]],9),IF(Main[[#This Row],[Class]]="B", WORKDAY(Main[[#This Row],[Tech Start Date]],6),IF(Main[[#This Row],[Class]]="A",WORKDAY(Main[[#This Row],[Tech Start Date]],2),""))))</f>
        <v/>
      </c>
      <c r="N848" s="96" t="str">
        <f>IF(Main[[#This Row],[Tech Start Date]]&lt;1/1/1990,"",IF(Main[[#This Row],[Class]]="C",WORKDAY(Main[[#This Row],[Tech Start Date]],19),IF(Main[[#This Row],[Class]]="B", WORKDAY(Main[[#This Row],[Tech Start Date]],12),IF(Main[[#This Row],[Class]]="A",WORKDAY(Main[[#This Row],[Tech Start Date]],4),""))))</f>
        <v/>
      </c>
      <c r="O848" s="96" t="str">
        <f>IF(Main[[#This Row],[Tech Start Date]]&lt;1/1/1990,"",IF(Main[[#This Row],[Class]]="C",WORKDAY(Main[[#This Row],[Tech Start Date]],23),IF(Main[[#This Row],[Class]]="B", WORKDAY(Main[[#This Row],[Tech Start Date]],15),IF(Main[[#This Row],[Class]]="A",WORKDAY(Main[[#This Row],[Tech Start Date]],5),""))))</f>
        <v/>
      </c>
      <c r="P848" s="96" t="str">
        <f>IF(Main[[#This Row],[Tech Start Date]]&lt;1/1/1990,"",IF(Main[[#This Row],[Class]]="C",WORKDAY(Main[[#This Row],[Tech Start Date]],28),IF(Main[[#This Row],[Class]]="B", WORKDAY(Main[[#This Row],[Tech Start Date]],19),IF(Main[[#This Row],[Class]]="A",WORKDAY(Main[[#This Row],[Tech Start Date]],9),""))))</f>
        <v/>
      </c>
      <c r="Q848" s="94"/>
      <c r="R848" s="94">
        <v>40543</v>
      </c>
      <c r="S848" s="93" t="s">
        <v>17</v>
      </c>
      <c r="T848" s="97" t="s">
        <v>4</v>
      </c>
      <c r="U848" s="93" t="s">
        <v>14</v>
      </c>
      <c r="V848" s="93" t="s">
        <v>1940</v>
      </c>
      <c r="W848" s="93" t="s">
        <v>1945</v>
      </c>
      <c r="X848" s="83" t="s">
        <v>311</v>
      </c>
      <c r="Y848" s="83" t="s">
        <v>4</v>
      </c>
      <c r="Z848" s="83" t="s">
        <v>421</v>
      </c>
    </row>
    <row r="849" spans="1:26" ht="18.600000000000001" customHeight="1">
      <c r="A849" s="142" t="str">
        <f>IF(priority(Main[[#This Row],[Comments]])&lt;&gt;0, priority(Main[[#This Row],[Comments]]),"")</f>
        <v/>
      </c>
      <c r="B849" s="90" t="s">
        <v>1665</v>
      </c>
      <c r="C849" s="72" t="s">
        <v>113</v>
      </c>
      <c r="D849" s="73" t="s">
        <v>724</v>
      </c>
      <c r="E849" s="74"/>
      <c r="F849" s="74">
        <v>40817</v>
      </c>
      <c r="G849" s="75" t="str">
        <f>IF(stdProdLT(Main[[#This Row],[Comments]])=0.1,"N/A",IF(stdProdLT(Main[[#This Row],[Comments]])=0,"",stdProdLT(Main[[#This Row],[Comments]])))</f>
        <v/>
      </c>
      <c r="H849" s="76" t="str">
        <f>IF(AND(Main[[#This Row],[In Stock Date]]&lt;&gt;"",Main[[#This Row],[Revised Due Date]]&lt;&gt;""),Main[[#This Row],[In Stock Date]]-Main[[#This Row],[Revised Due Date]],"")</f>
        <v/>
      </c>
      <c r="I849" s="72" t="s">
        <v>4</v>
      </c>
      <c r="J849" s="72" t="s">
        <v>28</v>
      </c>
      <c r="K849" s="72" t="s">
        <v>1950</v>
      </c>
      <c r="L849" s="74"/>
      <c r="M849" s="77" t="str">
        <f>IF(Main[[#This Row],[Tech Start Date]]&lt;1/1/1990,"",IF(Main[[#This Row],[Class]]="C",WORKDAY(Main[[#This Row],[Tech Start Date]],9),IF(Main[[#This Row],[Class]]="B", WORKDAY(Main[[#This Row],[Tech Start Date]],6),IF(Main[[#This Row],[Class]]="A",WORKDAY(Main[[#This Row],[Tech Start Date]],2),""))))</f>
        <v/>
      </c>
      <c r="N849" s="77" t="str">
        <f>IF(Main[[#This Row],[Tech Start Date]]&lt;1/1/1990,"",IF(Main[[#This Row],[Class]]="C",WORKDAY(Main[[#This Row],[Tech Start Date]],19),IF(Main[[#This Row],[Class]]="B", WORKDAY(Main[[#This Row],[Tech Start Date]],12),IF(Main[[#This Row],[Class]]="A",WORKDAY(Main[[#This Row],[Tech Start Date]],4),""))))</f>
        <v/>
      </c>
      <c r="O849" s="77" t="str">
        <f>IF(Main[[#This Row],[Tech Start Date]]&lt;1/1/1990,"",IF(Main[[#This Row],[Class]]="C",WORKDAY(Main[[#This Row],[Tech Start Date]],23),IF(Main[[#This Row],[Class]]="B", WORKDAY(Main[[#This Row],[Tech Start Date]],15),IF(Main[[#This Row],[Class]]="A",WORKDAY(Main[[#This Row],[Tech Start Date]],5),""))))</f>
        <v/>
      </c>
      <c r="P849" s="77" t="str">
        <f>IF(Main[[#This Row],[Tech Start Date]]&lt;1/1/1990,"",IF(Main[[#This Row],[Class]]="C",WORKDAY(Main[[#This Row],[Tech Start Date]],28),IF(Main[[#This Row],[Class]]="B", WORKDAY(Main[[#This Row],[Tech Start Date]],19),IF(Main[[#This Row],[Class]]="A",WORKDAY(Main[[#This Row],[Tech Start Date]],9),""))))</f>
        <v/>
      </c>
      <c r="Q849" s="74">
        <v>40634</v>
      </c>
      <c r="R849" s="74"/>
      <c r="S849" s="72" t="s">
        <v>11</v>
      </c>
      <c r="T849" s="80" t="s">
        <v>4</v>
      </c>
      <c r="U849" s="72" t="s">
        <v>14</v>
      </c>
      <c r="V849" s="72" t="s">
        <v>1937</v>
      </c>
      <c r="W849" s="72" t="s">
        <v>1943</v>
      </c>
      <c r="X849" s="72" t="s">
        <v>2985</v>
      </c>
      <c r="Y849" s="72" t="s">
        <v>3097</v>
      </c>
      <c r="Z849" s="72" t="s">
        <v>129</v>
      </c>
    </row>
    <row r="850" spans="1:26" ht="18.600000000000001" customHeight="1">
      <c r="A850" s="142" t="str">
        <f>IF(priority(Main[[#This Row],[Comments]])&lt;&gt;0, priority(Main[[#This Row],[Comments]]),"")</f>
        <v/>
      </c>
      <c r="B850" s="90" t="s">
        <v>1666</v>
      </c>
      <c r="C850" s="72" t="s">
        <v>4</v>
      </c>
      <c r="D850" s="73" t="s">
        <v>39</v>
      </c>
      <c r="E850" s="74"/>
      <c r="F850" s="74"/>
      <c r="G850" s="75" t="str">
        <f>IF(stdProdLT(Main[[#This Row],[Comments]])=0.1,"N/A",IF(stdProdLT(Main[[#This Row],[Comments]])=0,"",stdProdLT(Main[[#This Row],[Comments]])))</f>
        <v/>
      </c>
      <c r="H850" s="76" t="str">
        <f>IF(AND(Main[[#This Row],[In Stock Date]]&lt;&gt;"",Main[[#This Row],[Revised Due Date]]&lt;&gt;""),Main[[#This Row],[In Stock Date]]-Main[[#This Row],[Revised Due Date]],"")</f>
        <v/>
      </c>
      <c r="I850" s="72" t="s">
        <v>4</v>
      </c>
      <c r="J850" s="72" t="s">
        <v>4</v>
      </c>
      <c r="K850" s="72" t="s">
        <v>4</v>
      </c>
      <c r="L850" s="74"/>
      <c r="M850" s="77" t="str">
        <f>IF(Main[[#This Row],[Tech Start Date]]&lt;1/1/1990,"",IF(Main[[#This Row],[Class]]="C",WORKDAY(Main[[#This Row],[Tech Start Date]],9),IF(Main[[#This Row],[Class]]="B", WORKDAY(Main[[#This Row],[Tech Start Date]],6),IF(Main[[#This Row],[Class]]="A",WORKDAY(Main[[#This Row],[Tech Start Date]],2),""))))</f>
        <v/>
      </c>
      <c r="N850" s="77" t="str">
        <f>IF(Main[[#This Row],[Tech Start Date]]&lt;1/1/1990,"",IF(Main[[#This Row],[Class]]="C",WORKDAY(Main[[#This Row],[Tech Start Date]],19),IF(Main[[#This Row],[Class]]="B", WORKDAY(Main[[#This Row],[Tech Start Date]],12),IF(Main[[#This Row],[Class]]="A",WORKDAY(Main[[#This Row],[Tech Start Date]],4),""))))</f>
        <v/>
      </c>
      <c r="O850" s="77" t="str">
        <f>IF(Main[[#This Row],[Tech Start Date]]&lt;1/1/1990,"",IF(Main[[#This Row],[Class]]="C",WORKDAY(Main[[#This Row],[Tech Start Date]],23),IF(Main[[#This Row],[Class]]="B", WORKDAY(Main[[#This Row],[Tech Start Date]],15),IF(Main[[#This Row],[Class]]="A",WORKDAY(Main[[#This Row],[Tech Start Date]],5),""))))</f>
        <v/>
      </c>
      <c r="P850" s="77" t="str">
        <f>IF(Main[[#This Row],[Tech Start Date]]&lt;1/1/1990,"",IF(Main[[#This Row],[Class]]="C",WORKDAY(Main[[#This Row],[Tech Start Date]],28),IF(Main[[#This Row],[Class]]="B", WORKDAY(Main[[#This Row],[Tech Start Date]],19),IF(Main[[#This Row],[Class]]="A",WORKDAY(Main[[#This Row],[Tech Start Date]],9),""))))</f>
        <v/>
      </c>
      <c r="Q850" s="74">
        <v>40669</v>
      </c>
      <c r="R850" s="74"/>
      <c r="S850" s="72" t="s">
        <v>6</v>
      </c>
      <c r="T850" s="80" t="s">
        <v>4</v>
      </c>
      <c r="U850" s="72" t="s">
        <v>14</v>
      </c>
      <c r="V850" s="72" t="s">
        <v>1940</v>
      </c>
      <c r="W850" s="72" t="s">
        <v>4</v>
      </c>
      <c r="X850" s="72" t="s">
        <v>2970</v>
      </c>
      <c r="Y850" s="72" t="s">
        <v>3087</v>
      </c>
      <c r="Z850" s="72" t="s">
        <v>4</v>
      </c>
    </row>
    <row r="851" spans="1:26" ht="18.600000000000001" customHeight="1">
      <c r="A851" s="142" t="str">
        <f>IF(priority(Main[[#This Row],[Comments]])&lt;&gt;0, priority(Main[[#This Row],[Comments]]),"")</f>
        <v/>
      </c>
      <c r="B851" s="90" t="s">
        <v>1667</v>
      </c>
      <c r="C851" s="72" t="s">
        <v>4</v>
      </c>
      <c r="D851" s="73" t="s">
        <v>725</v>
      </c>
      <c r="E851" s="74"/>
      <c r="F851" s="74"/>
      <c r="G851" s="75" t="str">
        <f>IF(stdProdLT(Main[[#This Row],[Comments]])=0.1,"N/A",IF(stdProdLT(Main[[#This Row],[Comments]])=0,"",stdProdLT(Main[[#This Row],[Comments]])))</f>
        <v/>
      </c>
      <c r="H851" s="76" t="str">
        <f>IF(AND(Main[[#This Row],[In Stock Date]]&lt;&gt;"",Main[[#This Row],[Revised Due Date]]&lt;&gt;""),Main[[#This Row],[In Stock Date]]-Main[[#This Row],[Revised Due Date]],"")</f>
        <v/>
      </c>
      <c r="I851" s="72" t="s">
        <v>4</v>
      </c>
      <c r="J851" s="72" t="s">
        <v>4</v>
      </c>
      <c r="K851" s="72" t="s">
        <v>4</v>
      </c>
      <c r="L851" s="74"/>
      <c r="M851" s="77" t="str">
        <f>IF(Main[[#This Row],[Tech Start Date]]&lt;1/1/1990,"",IF(Main[[#This Row],[Class]]="C",WORKDAY(Main[[#This Row],[Tech Start Date]],9),IF(Main[[#This Row],[Class]]="B", WORKDAY(Main[[#This Row],[Tech Start Date]],6),IF(Main[[#This Row],[Class]]="A",WORKDAY(Main[[#This Row],[Tech Start Date]],2),""))))</f>
        <v/>
      </c>
      <c r="N851" s="77" t="str">
        <f>IF(Main[[#This Row],[Tech Start Date]]&lt;1/1/1990,"",IF(Main[[#This Row],[Class]]="C",WORKDAY(Main[[#This Row],[Tech Start Date]],19),IF(Main[[#This Row],[Class]]="B", WORKDAY(Main[[#This Row],[Tech Start Date]],12),IF(Main[[#This Row],[Class]]="A",WORKDAY(Main[[#This Row],[Tech Start Date]],4),""))))</f>
        <v/>
      </c>
      <c r="O851" s="77" t="str">
        <f>IF(Main[[#This Row],[Tech Start Date]]&lt;1/1/1990,"",IF(Main[[#This Row],[Class]]="C",WORKDAY(Main[[#This Row],[Tech Start Date]],23),IF(Main[[#This Row],[Class]]="B", WORKDAY(Main[[#This Row],[Tech Start Date]],15),IF(Main[[#This Row],[Class]]="A",WORKDAY(Main[[#This Row],[Tech Start Date]],5),""))))</f>
        <v/>
      </c>
      <c r="P851" s="77" t="str">
        <f>IF(Main[[#This Row],[Tech Start Date]]&lt;1/1/1990,"",IF(Main[[#This Row],[Class]]="C",WORKDAY(Main[[#This Row],[Tech Start Date]],28),IF(Main[[#This Row],[Class]]="B", WORKDAY(Main[[#This Row],[Tech Start Date]],19),IF(Main[[#This Row],[Class]]="A",WORKDAY(Main[[#This Row],[Tech Start Date]],9),""))))</f>
        <v/>
      </c>
      <c r="Q851" s="74"/>
      <c r="R851" s="74"/>
      <c r="S851" s="72" t="s">
        <v>11</v>
      </c>
      <c r="T851" s="80" t="s">
        <v>4</v>
      </c>
      <c r="U851" s="72" t="s">
        <v>12</v>
      </c>
      <c r="V851" s="72" t="s">
        <v>1938</v>
      </c>
      <c r="W851" s="72" t="s">
        <v>4</v>
      </c>
      <c r="X851" s="72" t="s">
        <v>3014</v>
      </c>
      <c r="Y851" s="72" t="s">
        <v>4</v>
      </c>
      <c r="Z851" s="72" t="s">
        <v>4</v>
      </c>
    </row>
    <row r="852" spans="1:26" ht="18.600000000000001" customHeight="1">
      <c r="A852" s="142" t="str">
        <f>IF(priority(Main[[#This Row],[Comments]])&lt;&gt;0, priority(Main[[#This Row],[Comments]]),"")</f>
        <v/>
      </c>
      <c r="B852" s="90" t="s">
        <v>1669</v>
      </c>
      <c r="C852" s="72" t="s">
        <v>4</v>
      </c>
      <c r="D852" s="73" t="s">
        <v>726</v>
      </c>
      <c r="E852" s="74">
        <v>40715.129143518519</v>
      </c>
      <c r="F852" s="74"/>
      <c r="G852" s="75" t="str">
        <f>IF(stdProdLT(Main[[#This Row],[Comments]])=0.1,"N/A",IF(stdProdLT(Main[[#This Row],[Comments]])=0,"",stdProdLT(Main[[#This Row],[Comments]])))</f>
        <v/>
      </c>
      <c r="H852" s="76" t="str">
        <f>IF(AND(Main[[#This Row],[In Stock Date]]&lt;&gt;"",Main[[#This Row],[Revised Due Date]]&lt;&gt;""),Main[[#This Row],[In Stock Date]]-Main[[#This Row],[Revised Due Date]],"")</f>
        <v/>
      </c>
      <c r="I852" s="72" t="s">
        <v>4</v>
      </c>
      <c r="J852" s="72" t="s">
        <v>4</v>
      </c>
      <c r="K852" s="72" t="s">
        <v>4</v>
      </c>
      <c r="L852" s="74"/>
      <c r="M852" s="77" t="str">
        <f>IF(Main[[#This Row],[Tech Start Date]]&lt;1/1/1990,"",IF(Main[[#This Row],[Class]]="C",WORKDAY(Main[[#This Row],[Tech Start Date]],9),IF(Main[[#This Row],[Class]]="B", WORKDAY(Main[[#This Row],[Tech Start Date]],6),IF(Main[[#This Row],[Class]]="A",WORKDAY(Main[[#This Row],[Tech Start Date]],2),""))))</f>
        <v/>
      </c>
      <c r="N852" s="77" t="str">
        <f>IF(Main[[#This Row],[Tech Start Date]]&lt;1/1/1990,"",IF(Main[[#This Row],[Class]]="C",WORKDAY(Main[[#This Row],[Tech Start Date]],19),IF(Main[[#This Row],[Class]]="B", WORKDAY(Main[[#This Row],[Tech Start Date]],12),IF(Main[[#This Row],[Class]]="A",WORKDAY(Main[[#This Row],[Tech Start Date]],4),""))))</f>
        <v/>
      </c>
      <c r="O852" s="77" t="str">
        <f>IF(Main[[#This Row],[Tech Start Date]]&lt;1/1/1990,"",IF(Main[[#This Row],[Class]]="C",WORKDAY(Main[[#This Row],[Tech Start Date]],23),IF(Main[[#This Row],[Class]]="B", WORKDAY(Main[[#This Row],[Tech Start Date]],15),IF(Main[[#This Row],[Class]]="A",WORKDAY(Main[[#This Row],[Tech Start Date]],5),""))))</f>
        <v/>
      </c>
      <c r="P852" s="77" t="str">
        <f>IF(Main[[#This Row],[Tech Start Date]]&lt;1/1/1990,"",IF(Main[[#This Row],[Class]]="C",WORKDAY(Main[[#This Row],[Tech Start Date]],28),IF(Main[[#This Row],[Class]]="B", WORKDAY(Main[[#This Row],[Tech Start Date]],19),IF(Main[[#This Row],[Class]]="A",WORKDAY(Main[[#This Row],[Tech Start Date]],9),""))))</f>
        <v/>
      </c>
      <c r="Q852" s="74">
        <v>40717</v>
      </c>
      <c r="R852" s="74"/>
      <c r="S852" s="72" t="s">
        <v>49</v>
      </c>
      <c r="T852" s="80" t="s">
        <v>4</v>
      </c>
      <c r="U852" s="72" t="s">
        <v>7</v>
      </c>
      <c r="V852" s="72" t="s">
        <v>1938</v>
      </c>
      <c r="W852" s="72" t="s">
        <v>1941</v>
      </c>
      <c r="X852" s="72" t="s">
        <v>3009</v>
      </c>
      <c r="Y852" s="72" t="s">
        <v>3156</v>
      </c>
      <c r="Z852" s="72" t="s">
        <v>4</v>
      </c>
    </row>
    <row r="853" spans="1:26" ht="18.600000000000001" customHeight="1">
      <c r="A853" s="142" t="str">
        <f>IF(priority(Main[[#This Row],[Comments]])&lt;&gt;0, priority(Main[[#This Row],[Comments]]),"")</f>
        <v/>
      </c>
      <c r="B853" s="90" t="s">
        <v>1673</v>
      </c>
      <c r="C853" s="72" t="s">
        <v>4</v>
      </c>
      <c r="D853" s="73" t="s">
        <v>729</v>
      </c>
      <c r="E853" s="74"/>
      <c r="F853" s="74">
        <v>40598</v>
      </c>
      <c r="G853" s="75" t="str">
        <f>IF(stdProdLT(Main[[#This Row],[Comments]])=0.1,"N/A",IF(stdProdLT(Main[[#This Row],[Comments]])=0,"",stdProdLT(Main[[#This Row],[Comments]])))</f>
        <v/>
      </c>
      <c r="H853" s="76" t="str">
        <f>IF(AND(Main[[#This Row],[In Stock Date]]&lt;&gt;"",Main[[#This Row],[Revised Due Date]]&lt;&gt;""),Main[[#This Row],[In Stock Date]]-Main[[#This Row],[Revised Due Date]],"")</f>
        <v/>
      </c>
      <c r="I853" s="72" t="s">
        <v>311</v>
      </c>
      <c r="J853" s="72" t="s">
        <v>75</v>
      </c>
      <c r="K853" s="72" t="s">
        <v>4</v>
      </c>
      <c r="L853" s="74"/>
      <c r="M853" s="77" t="str">
        <f>IF(Main[[#This Row],[Tech Start Date]]&lt;1/1/1990,"",IF(Main[[#This Row],[Class]]="C",WORKDAY(Main[[#This Row],[Tech Start Date]],9),IF(Main[[#This Row],[Class]]="B", WORKDAY(Main[[#This Row],[Tech Start Date]],6),IF(Main[[#This Row],[Class]]="A",WORKDAY(Main[[#This Row],[Tech Start Date]],2),""))))</f>
        <v/>
      </c>
      <c r="N853" s="77" t="str">
        <f>IF(Main[[#This Row],[Tech Start Date]]&lt;1/1/1990,"",IF(Main[[#This Row],[Class]]="C",WORKDAY(Main[[#This Row],[Tech Start Date]],19),IF(Main[[#This Row],[Class]]="B", WORKDAY(Main[[#This Row],[Tech Start Date]],12),IF(Main[[#This Row],[Class]]="A",WORKDAY(Main[[#This Row],[Tech Start Date]],4),""))))</f>
        <v/>
      </c>
      <c r="O853" s="77" t="str">
        <f>IF(Main[[#This Row],[Tech Start Date]]&lt;1/1/1990,"",IF(Main[[#This Row],[Class]]="C",WORKDAY(Main[[#This Row],[Tech Start Date]],23),IF(Main[[#This Row],[Class]]="B", WORKDAY(Main[[#This Row],[Tech Start Date]],15),IF(Main[[#This Row],[Class]]="A",WORKDAY(Main[[#This Row],[Tech Start Date]],5),""))))</f>
        <v/>
      </c>
      <c r="P853" s="77" t="str">
        <f>IF(Main[[#This Row],[Tech Start Date]]&lt;1/1/1990,"",IF(Main[[#This Row],[Class]]="C",WORKDAY(Main[[#This Row],[Tech Start Date]],28),IF(Main[[#This Row],[Class]]="B", WORKDAY(Main[[#This Row],[Tech Start Date]],19),IF(Main[[#This Row],[Class]]="A",WORKDAY(Main[[#This Row],[Tech Start Date]],9),""))))</f>
        <v/>
      </c>
      <c r="Q853" s="74">
        <v>40598</v>
      </c>
      <c r="R853" s="74"/>
      <c r="S853" s="72" t="s">
        <v>6</v>
      </c>
      <c r="T853" s="80" t="s">
        <v>4</v>
      </c>
      <c r="U853" s="72" t="s">
        <v>14</v>
      </c>
      <c r="V853" s="72" t="s">
        <v>1947</v>
      </c>
      <c r="W853" s="72" t="s">
        <v>1943</v>
      </c>
      <c r="X853" s="72" t="s">
        <v>3000</v>
      </c>
      <c r="Y853" s="72" t="s">
        <v>3137</v>
      </c>
      <c r="Z853" s="72" t="s">
        <v>311</v>
      </c>
    </row>
    <row r="854" spans="1:26" ht="18.600000000000001" customHeight="1">
      <c r="A854" s="142" t="str">
        <f>IF(priority(Main[[#This Row],[Comments]])&lt;&gt;0, priority(Main[[#This Row],[Comments]]),"")</f>
        <v/>
      </c>
      <c r="B854" s="90" t="s">
        <v>1674</v>
      </c>
      <c r="C854" s="72" t="s">
        <v>352</v>
      </c>
      <c r="D854" s="73" t="s">
        <v>730</v>
      </c>
      <c r="E854" s="74"/>
      <c r="F854" s="74"/>
      <c r="G854" s="75" t="str">
        <f>IF(stdProdLT(Main[[#This Row],[Comments]])=0.1,"N/A",IF(stdProdLT(Main[[#This Row],[Comments]])=0,"",stdProdLT(Main[[#This Row],[Comments]])))</f>
        <v/>
      </c>
      <c r="H854" s="76" t="str">
        <f>IF(AND(Main[[#This Row],[In Stock Date]]&lt;&gt;"",Main[[#This Row],[Revised Due Date]]&lt;&gt;""),Main[[#This Row],[In Stock Date]]-Main[[#This Row],[Revised Due Date]],"")</f>
        <v/>
      </c>
      <c r="I854" s="72" t="s">
        <v>4</v>
      </c>
      <c r="J854" s="72" t="s">
        <v>28</v>
      </c>
      <c r="K854" s="72" t="s">
        <v>1949</v>
      </c>
      <c r="L854" s="74"/>
      <c r="M854" s="77" t="str">
        <f>IF(Main[[#This Row],[Tech Start Date]]&lt;1/1/1990,"",IF(Main[[#This Row],[Class]]="C",WORKDAY(Main[[#This Row],[Tech Start Date]],9),IF(Main[[#This Row],[Class]]="B", WORKDAY(Main[[#This Row],[Tech Start Date]],6),IF(Main[[#This Row],[Class]]="A",WORKDAY(Main[[#This Row],[Tech Start Date]],2),""))))</f>
        <v/>
      </c>
      <c r="N854" s="77" t="str">
        <f>IF(Main[[#This Row],[Tech Start Date]]&lt;1/1/1990,"",IF(Main[[#This Row],[Class]]="C",WORKDAY(Main[[#This Row],[Tech Start Date]],19),IF(Main[[#This Row],[Class]]="B", WORKDAY(Main[[#This Row],[Tech Start Date]],12),IF(Main[[#This Row],[Class]]="A",WORKDAY(Main[[#This Row],[Tech Start Date]],4),""))))</f>
        <v/>
      </c>
      <c r="O854" s="77" t="str">
        <f>IF(Main[[#This Row],[Tech Start Date]]&lt;1/1/1990,"",IF(Main[[#This Row],[Class]]="C",WORKDAY(Main[[#This Row],[Tech Start Date]],23),IF(Main[[#This Row],[Class]]="B", WORKDAY(Main[[#This Row],[Tech Start Date]],15),IF(Main[[#This Row],[Class]]="A",WORKDAY(Main[[#This Row],[Tech Start Date]],5),""))))</f>
        <v/>
      </c>
      <c r="P854" s="77" t="str">
        <f>IF(Main[[#This Row],[Tech Start Date]]&lt;1/1/1990,"",IF(Main[[#This Row],[Class]]="C",WORKDAY(Main[[#This Row],[Tech Start Date]],28),IF(Main[[#This Row],[Class]]="B", WORKDAY(Main[[#This Row],[Tech Start Date]],19),IF(Main[[#This Row],[Class]]="A",WORKDAY(Main[[#This Row],[Tech Start Date]],9),""))))</f>
        <v/>
      </c>
      <c r="Q854" s="74"/>
      <c r="R854" s="74"/>
      <c r="S854" s="72" t="s">
        <v>17</v>
      </c>
      <c r="T854" s="80" t="s">
        <v>4</v>
      </c>
      <c r="U854" s="72" t="s">
        <v>14</v>
      </c>
      <c r="V854" s="72" t="s">
        <v>1940</v>
      </c>
      <c r="W854" s="72" t="s">
        <v>1942</v>
      </c>
      <c r="X854" s="72" t="s">
        <v>50</v>
      </c>
      <c r="Y854" s="72" t="s">
        <v>3252</v>
      </c>
      <c r="Z854" s="72" t="s">
        <v>421</v>
      </c>
    </row>
    <row r="855" spans="1:26" ht="18.600000000000001" customHeight="1">
      <c r="A855" s="142" t="str">
        <f>IF(priority(Main[[#This Row],[Comments]])&lt;&gt;0, priority(Main[[#This Row],[Comments]]),"")</f>
        <v/>
      </c>
      <c r="B855" s="90" t="s">
        <v>1676</v>
      </c>
      <c r="C855" s="72" t="s">
        <v>31</v>
      </c>
      <c r="D855" s="73" t="s">
        <v>393</v>
      </c>
      <c r="E855" s="74"/>
      <c r="F855" s="74">
        <v>40288</v>
      </c>
      <c r="G855" s="75" t="str">
        <f>IF(stdProdLT(Main[[#This Row],[Comments]])=0.1,"N/A",IF(stdProdLT(Main[[#This Row],[Comments]])=0,"",stdProdLT(Main[[#This Row],[Comments]])))</f>
        <v/>
      </c>
      <c r="H855" s="76" t="str">
        <f>IF(AND(Main[[#This Row],[In Stock Date]]&lt;&gt;"",Main[[#This Row],[Revised Due Date]]&lt;&gt;""),Main[[#This Row],[In Stock Date]]-Main[[#This Row],[Revised Due Date]],"")</f>
        <v/>
      </c>
      <c r="I855" s="72" t="s">
        <v>4</v>
      </c>
      <c r="J855" s="72" t="s">
        <v>4</v>
      </c>
      <c r="K855" s="72" t="s">
        <v>4</v>
      </c>
      <c r="L855" s="74"/>
      <c r="M855" s="77" t="str">
        <f>IF(Main[[#This Row],[Tech Start Date]]&lt;1/1/1990,"",IF(Main[[#This Row],[Class]]="C",WORKDAY(Main[[#This Row],[Tech Start Date]],9),IF(Main[[#This Row],[Class]]="B", WORKDAY(Main[[#This Row],[Tech Start Date]],6),IF(Main[[#This Row],[Class]]="A",WORKDAY(Main[[#This Row],[Tech Start Date]],2),""))))</f>
        <v/>
      </c>
      <c r="N855" s="77" t="str">
        <f>IF(Main[[#This Row],[Tech Start Date]]&lt;1/1/1990,"",IF(Main[[#This Row],[Class]]="C",WORKDAY(Main[[#This Row],[Tech Start Date]],19),IF(Main[[#This Row],[Class]]="B", WORKDAY(Main[[#This Row],[Tech Start Date]],12),IF(Main[[#This Row],[Class]]="A",WORKDAY(Main[[#This Row],[Tech Start Date]],4),""))))</f>
        <v/>
      </c>
      <c r="O855" s="77" t="str">
        <f>IF(Main[[#This Row],[Tech Start Date]]&lt;1/1/1990,"",IF(Main[[#This Row],[Class]]="C",WORKDAY(Main[[#This Row],[Tech Start Date]],23),IF(Main[[#This Row],[Class]]="B", WORKDAY(Main[[#This Row],[Tech Start Date]],15),IF(Main[[#This Row],[Class]]="A",WORKDAY(Main[[#This Row],[Tech Start Date]],5),""))))</f>
        <v/>
      </c>
      <c r="P855" s="77" t="str">
        <f>IF(Main[[#This Row],[Tech Start Date]]&lt;1/1/1990,"",IF(Main[[#This Row],[Class]]="C",WORKDAY(Main[[#This Row],[Tech Start Date]],28),IF(Main[[#This Row],[Class]]="B", WORKDAY(Main[[#This Row],[Tech Start Date]],19),IF(Main[[#This Row],[Class]]="A",WORKDAY(Main[[#This Row],[Tech Start Date]],9),""))))</f>
        <v/>
      </c>
      <c r="Q855" s="74">
        <v>40106</v>
      </c>
      <c r="R855" s="74"/>
      <c r="S855" s="72" t="s">
        <v>11</v>
      </c>
      <c r="T855" s="80" t="s">
        <v>4</v>
      </c>
      <c r="U855" s="72" t="s">
        <v>14</v>
      </c>
      <c r="V855" s="72" t="s">
        <v>1940</v>
      </c>
      <c r="W855" s="72" t="s">
        <v>1948</v>
      </c>
      <c r="X855" s="72" t="s">
        <v>2982</v>
      </c>
      <c r="Y855" s="72" t="s">
        <v>4</v>
      </c>
      <c r="Z855" s="72" t="s">
        <v>4</v>
      </c>
    </row>
    <row r="856" spans="1:26" ht="18.600000000000001" customHeight="1">
      <c r="A856" s="142" t="str">
        <f>IF(priority(Main[[#This Row],[Comments]])&lt;&gt;0, priority(Main[[#This Row],[Comments]]),"")</f>
        <v/>
      </c>
      <c r="B856" s="90" t="s">
        <v>1699</v>
      </c>
      <c r="C856" s="72" t="s">
        <v>4</v>
      </c>
      <c r="D856" s="73" t="s">
        <v>39</v>
      </c>
      <c r="E856" s="74"/>
      <c r="F856" s="74"/>
      <c r="G856" s="75" t="str">
        <f>IF(stdProdLT(Main[[#This Row],[Comments]])=0.1,"N/A",IF(stdProdLT(Main[[#This Row],[Comments]])=0,"",stdProdLT(Main[[#This Row],[Comments]])))</f>
        <v/>
      </c>
      <c r="H856" s="76" t="str">
        <f>IF(AND(Main[[#This Row],[In Stock Date]]&lt;&gt;"",Main[[#This Row],[Revised Due Date]]&lt;&gt;""),Main[[#This Row],[In Stock Date]]-Main[[#This Row],[Revised Due Date]],"")</f>
        <v/>
      </c>
      <c r="I856" s="72" t="s">
        <v>4</v>
      </c>
      <c r="J856" s="72" t="s">
        <v>4</v>
      </c>
      <c r="K856" s="81" t="s">
        <v>4</v>
      </c>
      <c r="L856" s="74"/>
      <c r="M856" s="77" t="str">
        <f>IF(Main[[#This Row],[Tech Start Date]]&lt;1/1/1990,"",IF(Main[[#This Row],[Class]]="C",WORKDAY(Main[[#This Row],[Tech Start Date]],9),IF(Main[[#This Row],[Class]]="B", WORKDAY(Main[[#This Row],[Tech Start Date]],6),IF(Main[[#This Row],[Class]]="A",WORKDAY(Main[[#This Row],[Tech Start Date]],2),""))))</f>
        <v/>
      </c>
      <c r="N856" s="77" t="str">
        <f>IF(Main[[#This Row],[Tech Start Date]]&lt;1/1/1990,"",IF(Main[[#This Row],[Class]]="C",WORKDAY(Main[[#This Row],[Tech Start Date]],19),IF(Main[[#This Row],[Class]]="B", WORKDAY(Main[[#This Row],[Tech Start Date]],12),IF(Main[[#This Row],[Class]]="A",WORKDAY(Main[[#This Row],[Tech Start Date]],4),""))))</f>
        <v/>
      </c>
      <c r="O856" s="77" t="str">
        <f>IF(Main[[#This Row],[Tech Start Date]]&lt;1/1/1990,"",IF(Main[[#This Row],[Class]]="C",WORKDAY(Main[[#This Row],[Tech Start Date]],23),IF(Main[[#This Row],[Class]]="B", WORKDAY(Main[[#This Row],[Tech Start Date]],15),IF(Main[[#This Row],[Class]]="A",WORKDAY(Main[[#This Row],[Tech Start Date]],5),""))))</f>
        <v/>
      </c>
      <c r="P856" s="77" t="str">
        <f>IF(Main[[#This Row],[Tech Start Date]]&lt;1/1/1990,"",IF(Main[[#This Row],[Class]]="C",WORKDAY(Main[[#This Row],[Tech Start Date]],28),IF(Main[[#This Row],[Class]]="B", WORKDAY(Main[[#This Row],[Tech Start Date]],19),IF(Main[[#This Row],[Class]]="A",WORKDAY(Main[[#This Row],[Tech Start Date]],9),""))))</f>
        <v/>
      </c>
      <c r="Q856" s="74">
        <v>40669</v>
      </c>
      <c r="R856" s="74"/>
      <c r="S856" s="72" t="s">
        <v>6</v>
      </c>
      <c r="T856" s="80" t="s">
        <v>4</v>
      </c>
      <c r="U856" s="72" t="s">
        <v>14</v>
      </c>
      <c r="V856" s="72" t="s">
        <v>1940</v>
      </c>
      <c r="W856" s="72" t="s">
        <v>4</v>
      </c>
      <c r="X856" s="72" t="s">
        <v>2970</v>
      </c>
      <c r="Y856" s="72" t="s">
        <v>3087</v>
      </c>
      <c r="Z856" s="72" t="s">
        <v>4</v>
      </c>
    </row>
    <row r="857" spans="1:26" ht="18.600000000000001" customHeight="1">
      <c r="A857" s="142" t="str">
        <f>IF(priority(Main[[#This Row],[Comments]])&lt;&gt;0, priority(Main[[#This Row],[Comments]]),"")</f>
        <v/>
      </c>
      <c r="B857" s="90" t="s">
        <v>1680</v>
      </c>
      <c r="C857" s="72" t="s">
        <v>72</v>
      </c>
      <c r="D857" s="73" t="s">
        <v>734</v>
      </c>
      <c r="E857" s="74"/>
      <c r="F857" s="74"/>
      <c r="G857" s="75" t="str">
        <f>IF(stdProdLT(Main[[#This Row],[Comments]])=0.1,"N/A",IF(stdProdLT(Main[[#This Row],[Comments]])=0,"",stdProdLT(Main[[#This Row],[Comments]])))</f>
        <v/>
      </c>
      <c r="H857" s="76" t="str">
        <f>IF(AND(Main[[#This Row],[In Stock Date]]&lt;&gt;"",Main[[#This Row],[Revised Due Date]]&lt;&gt;""),Main[[#This Row],[In Stock Date]]-Main[[#This Row],[Revised Due Date]],"")</f>
        <v/>
      </c>
      <c r="I857" s="72" t="s">
        <v>4</v>
      </c>
      <c r="J857" s="72" t="s">
        <v>4</v>
      </c>
      <c r="K857" s="72" t="s">
        <v>4</v>
      </c>
      <c r="L857" s="74"/>
      <c r="M857" s="77" t="str">
        <f>IF(Main[[#This Row],[Tech Start Date]]&lt;1/1/1990,"",IF(Main[[#This Row],[Class]]="C",WORKDAY(Main[[#This Row],[Tech Start Date]],9),IF(Main[[#This Row],[Class]]="B", WORKDAY(Main[[#This Row],[Tech Start Date]],6),IF(Main[[#This Row],[Class]]="A",WORKDAY(Main[[#This Row],[Tech Start Date]],2),""))))</f>
        <v/>
      </c>
      <c r="N857" s="77" t="str">
        <f>IF(Main[[#This Row],[Tech Start Date]]&lt;1/1/1990,"",IF(Main[[#This Row],[Class]]="C",WORKDAY(Main[[#This Row],[Tech Start Date]],19),IF(Main[[#This Row],[Class]]="B", WORKDAY(Main[[#This Row],[Tech Start Date]],12),IF(Main[[#This Row],[Class]]="A",WORKDAY(Main[[#This Row],[Tech Start Date]],4),""))))</f>
        <v/>
      </c>
      <c r="O857" s="77" t="str">
        <f>IF(Main[[#This Row],[Tech Start Date]]&lt;1/1/1990,"",IF(Main[[#This Row],[Class]]="C",WORKDAY(Main[[#This Row],[Tech Start Date]],23),IF(Main[[#This Row],[Class]]="B", WORKDAY(Main[[#This Row],[Tech Start Date]],15),IF(Main[[#This Row],[Class]]="A",WORKDAY(Main[[#This Row],[Tech Start Date]],5),""))))</f>
        <v/>
      </c>
      <c r="P857" s="77" t="str">
        <f>IF(Main[[#This Row],[Tech Start Date]]&lt;1/1/1990,"",IF(Main[[#This Row],[Class]]="C",WORKDAY(Main[[#This Row],[Tech Start Date]],28),IF(Main[[#This Row],[Class]]="B", WORKDAY(Main[[#This Row],[Tech Start Date]],19),IF(Main[[#This Row],[Class]]="A",WORKDAY(Main[[#This Row],[Tech Start Date]],9),""))))</f>
        <v/>
      </c>
      <c r="Q857" s="74"/>
      <c r="R857" s="74"/>
      <c r="S857" s="72" t="s">
        <v>11</v>
      </c>
      <c r="T857" s="80" t="s">
        <v>4</v>
      </c>
      <c r="U857" s="72" t="s">
        <v>14</v>
      </c>
      <c r="V857" s="72" t="s">
        <v>1938</v>
      </c>
      <c r="W857" s="72" t="s">
        <v>1945</v>
      </c>
      <c r="X857" s="72" t="s">
        <v>2979</v>
      </c>
      <c r="Y857" s="72" t="s">
        <v>3106</v>
      </c>
      <c r="Z857" s="72" t="s">
        <v>4</v>
      </c>
    </row>
    <row r="858" spans="1:26" ht="18.600000000000001" customHeight="1">
      <c r="A858" s="142" t="str">
        <f>IF(priority(Main[[#This Row],[Comments]])&lt;&gt;0, priority(Main[[#This Row],[Comments]]),"")</f>
        <v/>
      </c>
      <c r="B858" s="90" t="s">
        <v>2194</v>
      </c>
      <c r="C858" s="72" t="s">
        <v>4</v>
      </c>
      <c r="D858" s="73" t="s">
        <v>2429</v>
      </c>
      <c r="E858" s="74">
        <v>40780.672893518517</v>
      </c>
      <c r="F858" s="74"/>
      <c r="G858" s="75" t="str">
        <f>IF(stdProdLT(Main[[#This Row],[Comments]])=0.1,"N/A",IF(stdProdLT(Main[[#This Row],[Comments]])=0,"",stdProdLT(Main[[#This Row],[Comments]])))</f>
        <v/>
      </c>
      <c r="H858" s="76" t="str">
        <f>IF(AND(Main[[#This Row],[In Stock Date]]&lt;&gt;"",Main[[#This Row],[Revised Due Date]]&lt;&gt;""),Main[[#This Row],[In Stock Date]]-Main[[#This Row],[Revised Due Date]],"")</f>
        <v/>
      </c>
      <c r="I858" s="72" t="s">
        <v>927</v>
      </c>
      <c r="J858" s="72" t="s">
        <v>52</v>
      </c>
      <c r="K858" s="72" t="s">
        <v>4</v>
      </c>
      <c r="L858" s="74"/>
      <c r="M858" s="77" t="str">
        <f>IF(Main[[#This Row],[Tech Start Date]]&lt;1/1/1990,"",IF(Main[[#This Row],[Class]]="C",WORKDAY(Main[[#This Row],[Tech Start Date]],9),IF(Main[[#This Row],[Class]]="B", WORKDAY(Main[[#This Row],[Tech Start Date]],6),IF(Main[[#This Row],[Class]]="A",WORKDAY(Main[[#This Row],[Tech Start Date]],2),""))))</f>
        <v/>
      </c>
      <c r="N858" s="77" t="str">
        <f>IF(Main[[#This Row],[Tech Start Date]]&lt;1/1/1990,"",IF(Main[[#This Row],[Class]]="C",WORKDAY(Main[[#This Row],[Tech Start Date]],19),IF(Main[[#This Row],[Class]]="B", WORKDAY(Main[[#This Row],[Tech Start Date]],12),IF(Main[[#This Row],[Class]]="A",WORKDAY(Main[[#This Row],[Tech Start Date]],4),""))))</f>
        <v/>
      </c>
      <c r="O858" s="77" t="str">
        <f>IF(Main[[#This Row],[Tech Start Date]]&lt;1/1/1990,"",IF(Main[[#This Row],[Class]]="C",WORKDAY(Main[[#This Row],[Tech Start Date]],23),IF(Main[[#This Row],[Class]]="B", WORKDAY(Main[[#This Row],[Tech Start Date]],15),IF(Main[[#This Row],[Class]]="A",WORKDAY(Main[[#This Row],[Tech Start Date]],5),""))))</f>
        <v/>
      </c>
      <c r="P858" s="77" t="str">
        <f>IF(Main[[#This Row],[Tech Start Date]]&lt;1/1/1990,"",IF(Main[[#This Row],[Class]]="C",WORKDAY(Main[[#This Row],[Tech Start Date]],28),IF(Main[[#This Row],[Class]]="B", WORKDAY(Main[[#This Row],[Tech Start Date]],19),IF(Main[[#This Row],[Class]]="A",WORKDAY(Main[[#This Row],[Tech Start Date]],9),""))))</f>
        <v/>
      </c>
      <c r="Q858" s="74">
        <v>40794</v>
      </c>
      <c r="R858" s="74"/>
      <c r="S858" s="72" t="s">
        <v>6</v>
      </c>
      <c r="T858" s="80" t="s">
        <v>4</v>
      </c>
      <c r="U858" s="72" t="s">
        <v>29</v>
      </c>
      <c r="V858" s="72" t="s">
        <v>1937</v>
      </c>
      <c r="W858" s="72" t="s">
        <v>1945</v>
      </c>
      <c r="X858" s="72" t="s">
        <v>2973</v>
      </c>
      <c r="Y858" s="72" t="s">
        <v>3094</v>
      </c>
      <c r="Z858" s="72" t="s">
        <v>129</v>
      </c>
    </row>
    <row r="859" spans="1:26" ht="18.600000000000001" customHeight="1">
      <c r="A859" s="142" t="str">
        <f>IF(priority(Main[[#This Row],[Comments]])&lt;&gt;0, priority(Main[[#This Row],[Comments]]),"")</f>
        <v/>
      </c>
      <c r="B859" s="90" t="s">
        <v>1681</v>
      </c>
      <c r="C859" s="72" t="s">
        <v>4</v>
      </c>
      <c r="D859" s="73" t="s">
        <v>735</v>
      </c>
      <c r="E859" s="74"/>
      <c r="F859" s="74"/>
      <c r="G859" s="75" t="str">
        <f>IF(stdProdLT(Main[[#This Row],[Comments]])=0.1,"N/A",IF(stdProdLT(Main[[#This Row],[Comments]])=0,"",stdProdLT(Main[[#This Row],[Comments]])))</f>
        <v/>
      </c>
      <c r="H859" s="76" t="str">
        <f>IF(AND(Main[[#This Row],[In Stock Date]]&lt;&gt;"",Main[[#This Row],[Revised Due Date]]&lt;&gt;""),Main[[#This Row],[In Stock Date]]-Main[[#This Row],[Revised Due Date]],"")</f>
        <v/>
      </c>
      <c r="I859" s="72" t="s">
        <v>4</v>
      </c>
      <c r="J859" s="72" t="s">
        <v>4</v>
      </c>
      <c r="K859" s="72" t="s">
        <v>4</v>
      </c>
      <c r="L859" s="74"/>
      <c r="M859" s="77" t="str">
        <f>IF(Main[[#This Row],[Tech Start Date]]&lt;1/1/1990,"",IF(Main[[#This Row],[Class]]="C",WORKDAY(Main[[#This Row],[Tech Start Date]],9),IF(Main[[#This Row],[Class]]="B", WORKDAY(Main[[#This Row],[Tech Start Date]],6),IF(Main[[#This Row],[Class]]="A",WORKDAY(Main[[#This Row],[Tech Start Date]],2),""))))</f>
        <v/>
      </c>
      <c r="N859" s="77" t="str">
        <f>IF(Main[[#This Row],[Tech Start Date]]&lt;1/1/1990,"",IF(Main[[#This Row],[Class]]="C",WORKDAY(Main[[#This Row],[Tech Start Date]],19),IF(Main[[#This Row],[Class]]="B", WORKDAY(Main[[#This Row],[Tech Start Date]],12),IF(Main[[#This Row],[Class]]="A",WORKDAY(Main[[#This Row],[Tech Start Date]],4),""))))</f>
        <v/>
      </c>
      <c r="O859" s="77" t="str">
        <f>IF(Main[[#This Row],[Tech Start Date]]&lt;1/1/1990,"",IF(Main[[#This Row],[Class]]="C",WORKDAY(Main[[#This Row],[Tech Start Date]],23),IF(Main[[#This Row],[Class]]="B", WORKDAY(Main[[#This Row],[Tech Start Date]],15),IF(Main[[#This Row],[Class]]="A",WORKDAY(Main[[#This Row],[Tech Start Date]],5),""))))</f>
        <v/>
      </c>
      <c r="P859" s="77" t="str">
        <f>IF(Main[[#This Row],[Tech Start Date]]&lt;1/1/1990,"",IF(Main[[#This Row],[Class]]="C",WORKDAY(Main[[#This Row],[Tech Start Date]],28),IF(Main[[#This Row],[Class]]="B", WORKDAY(Main[[#This Row],[Tech Start Date]],19),IF(Main[[#This Row],[Class]]="A",WORKDAY(Main[[#This Row],[Tech Start Date]],9),""))))</f>
        <v/>
      </c>
      <c r="Q859" s="74">
        <v>40403</v>
      </c>
      <c r="R859" s="74"/>
      <c r="S859" s="72" t="s">
        <v>17</v>
      </c>
      <c r="T859" s="80" t="s">
        <v>4</v>
      </c>
      <c r="U859" s="72" t="s">
        <v>14</v>
      </c>
      <c r="V859" s="72" t="s">
        <v>1937</v>
      </c>
      <c r="W859" s="72" t="s">
        <v>1945</v>
      </c>
      <c r="X859" s="72" t="s">
        <v>129</v>
      </c>
      <c r="Y859" s="72" t="s">
        <v>4</v>
      </c>
      <c r="Z859" s="72" t="s">
        <v>4</v>
      </c>
    </row>
    <row r="860" spans="1:26" ht="18.600000000000001" customHeight="1">
      <c r="A860" s="142" t="str">
        <f>IF(priority(Main[[#This Row],[Comments]])&lt;&gt;0, priority(Main[[#This Row],[Comments]]),"")</f>
        <v/>
      </c>
      <c r="B860" s="90" t="s">
        <v>1682</v>
      </c>
      <c r="C860" s="72" t="s">
        <v>58</v>
      </c>
      <c r="D860" s="73" t="s">
        <v>205</v>
      </c>
      <c r="E860" s="74"/>
      <c r="F860" s="74">
        <v>40697</v>
      </c>
      <c r="G860" s="75" t="str">
        <f>IF(stdProdLT(Main[[#This Row],[Comments]])=0.1,"N/A",IF(stdProdLT(Main[[#This Row],[Comments]])=0,"",stdProdLT(Main[[#This Row],[Comments]])))</f>
        <v/>
      </c>
      <c r="H860" s="76" t="str">
        <f>IF(AND(Main[[#This Row],[In Stock Date]]&lt;&gt;"",Main[[#This Row],[Revised Due Date]]&lt;&gt;""),Main[[#This Row],[In Stock Date]]-Main[[#This Row],[Revised Due Date]],"")</f>
        <v/>
      </c>
      <c r="I860" s="72" t="s">
        <v>4</v>
      </c>
      <c r="J860" s="72" t="s">
        <v>4</v>
      </c>
      <c r="K860" s="72" t="s">
        <v>4</v>
      </c>
      <c r="L860" s="74"/>
      <c r="M860" s="77" t="str">
        <f>IF(Main[[#This Row],[Tech Start Date]]&lt;1/1/1990,"",IF(Main[[#This Row],[Class]]="C",WORKDAY(Main[[#This Row],[Tech Start Date]],9),IF(Main[[#This Row],[Class]]="B", WORKDAY(Main[[#This Row],[Tech Start Date]],6),IF(Main[[#This Row],[Class]]="A",WORKDAY(Main[[#This Row],[Tech Start Date]],2),""))))</f>
        <v/>
      </c>
      <c r="N860" s="77" t="str">
        <f>IF(Main[[#This Row],[Tech Start Date]]&lt;1/1/1990,"",IF(Main[[#This Row],[Class]]="C",WORKDAY(Main[[#This Row],[Tech Start Date]],19),IF(Main[[#This Row],[Class]]="B", WORKDAY(Main[[#This Row],[Tech Start Date]],12),IF(Main[[#This Row],[Class]]="A",WORKDAY(Main[[#This Row],[Tech Start Date]],4),""))))</f>
        <v/>
      </c>
      <c r="O860" s="77" t="str">
        <f>IF(Main[[#This Row],[Tech Start Date]]&lt;1/1/1990,"",IF(Main[[#This Row],[Class]]="C",WORKDAY(Main[[#This Row],[Tech Start Date]],23),IF(Main[[#This Row],[Class]]="B", WORKDAY(Main[[#This Row],[Tech Start Date]],15),IF(Main[[#This Row],[Class]]="A",WORKDAY(Main[[#This Row],[Tech Start Date]],5),""))))</f>
        <v/>
      </c>
      <c r="P860" s="77" t="str">
        <f>IF(Main[[#This Row],[Tech Start Date]]&lt;1/1/1990,"",IF(Main[[#This Row],[Class]]="C",WORKDAY(Main[[#This Row],[Tech Start Date]],28),IF(Main[[#This Row],[Class]]="B", WORKDAY(Main[[#This Row],[Tech Start Date]],19),IF(Main[[#This Row],[Class]]="A",WORKDAY(Main[[#This Row],[Tech Start Date]],9),""))))</f>
        <v/>
      </c>
      <c r="Q860" s="74">
        <v>40539</v>
      </c>
      <c r="R860" s="74"/>
      <c r="S860" s="72" t="s">
        <v>11</v>
      </c>
      <c r="T860" s="80" t="s">
        <v>4</v>
      </c>
      <c r="U860" s="72" t="s">
        <v>14</v>
      </c>
      <c r="V860" s="72" t="s">
        <v>1937</v>
      </c>
      <c r="W860" s="72" t="s">
        <v>1943</v>
      </c>
      <c r="X860" s="72" t="s">
        <v>2981</v>
      </c>
      <c r="Y860" s="72" t="s">
        <v>3109</v>
      </c>
      <c r="Z860" s="72" t="s">
        <v>4</v>
      </c>
    </row>
    <row r="861" spans="1:26" ht="18.600000000000001" customHeight="1">
      <c r="A861" s="142" t="str">
        <f>IF(priority(Main[[#This Row],[Comments]])&lt;&gt;0, priority(Main[[#This Row],[Comments]]),"")</f>
        <v/>
      </c>
      <c r="B861" s="90" t="s">
        <v>1685</v>
      </c>
      <c r="C861" s="72" t="s">
        <v>738</v>
      </c>
      <c r="D861" s="73" t="s">
        <v>739</v>
      </c>
      <c r="E861" s="74"/>
      <c r="F861" s="74">
        <v>40633</v>
      </c>
      <c r="G861" s="75" t="str">
        <f>IF(stdProdLT(Main[[#This Row],[Comments]])=0.1,"N/A",IF(stdProdLT(Main[[#This Row],[Comments]])=0,"",stdProdLT(Main[[#This Row],[Comments]])))</f>
        <v/>
      </c>
      <c r="H861" s="76" t="str">
        <f>IF(AND(Main[[#This Row],[In Stock Date]]&lt;&gt;"",Main[[#This Row],[Revised Due Date]]&lt;&gt;""),Main[[#This Row],[In Stock Date]]-Main[[#This Row],[Revised Due Date]],"")</f>
        <v/>
      </c>
      <c r="I861" s="72" t="s">
        <v>4</v>
      </c>
      <c r="J861" s="72" t="s">
        <v>4</v>
      </c>
      <c r="K861" s="81" t="s">
        <v>4</v>
      </c>
      <c r="L861" s="74"/>
      <c r="M861" s="77" t="str">
        <f>IF(Main[[#This Row],[Tech Start Date]]&lt;1/1/1990,"",IF(Main[[#This Row],[Class]]="C",WORKDAY(Main[[#This Row],[Tech Start Date]],9),IF(Main[[#This Row],[Class]]="B", WORKDAY(Main[[#This Row],[Tech Start Date]],6),IF(Main[[#This Row],[Class]]="A",WORKDAY(Main[[#This Row],[Tech Start Date]],2),""))))</f>
        <v/>
      </c>
      <c r="N861" s="77" t="str">
        <f>IF(Main[[#This Row],[Tech Start Date]]&lt;1/1/1990,"",IF(Main[[#This Row],[Class]]="C",WORKDAY(Main[[#This Row],[Tech Start Date]],19),IF(Main[[#This Row],[Class]]="B", WORKDAY(Main[[#This Row],[Tech Start Date]],12),IF(Main[[#This Row],[Class]]="A",WORKDAY(Main[[#This Row],[Tech Start Date]],4),""))))</f>
        <v/>
      </c>
      <c r="O861" s="77" t="str">
        <f>IF(Main[[#This Row],[Tech Start Date]]&lt;1/1/1990,"",IF(Main[[#This Row],[Class]]="C",WORKDAY(Main[[#This Row],[Tech Start Date]],23),IF(Main[[#This Row],[Class]]="B", WORKDAY(Main[[#This Row],[Tech Start Date]],15),IF(Main[[#This Row],[Class]]="A",WORKDAY(Main[[#This Row],[Tech Start Date]],5),""))))</f>
        <v/>
      </c>
      <c r="P861" s="77" t="str">
        <f>IF(Main[[#This Row],[Tech Start Date]]&lt;1/1/1990,"",IF(Main[[#This Row],[Class]]="C",WORKDAY(Main[[#This Row],[Tech Start Date]],28),IF(Main[[#This Row],[Class]]="B", WORKDAY(Main[[#This Row],[Tech Start Date]],19),IF(Main[[#This Row],[Class]]="A",WORKDAY(Main[[#This Row],[Tech Start Date]],9),""))))</f>
        <v/>
      </c>
      <c r="Q861" s="74">
        <v>40623</v>
      </c>
      <c r="R861" s="74"/>
      <c r="S861" s="72" t="s">
        <v>11</v>
      </c>
      <c r="T861" s="80" t="s">
        <v>4</v>
      </c>
      <c r="U861" s="72" t="s">
        <v>14</v>
      </c>
      <c r="V861" s="72" t="s">
        <v>1938</v>
      </c>
      <c r="W861" s="72" t="s">
        <v>1945</v>
      </c>
      <c r="X861" s="72" t="s">
        <v>3015</v>
      </c>
      <c r="Y861" s="72" t="s">
        <v>4</v>
      </c>
      <c r="Z861" s="72" t="s">
        <v>4</v>
      </c>
    </row>
    <row r="862" spans="1:26" ht="18.600000000000001" customHeight="1">
      <c r="A862" s="142" t="str">
        <f>IF(priority(Main[[#This Row],[Comments]])&lt;&gt;0, priority(Main[[#This Row],[Comments]]),"")</f>
        <v/>
      </c>
      <c r="B862" s="90" t="s">
        <v>1687</v>
      </c>
      <c r="C862" s="72" t="s">
        <v>4</v>
      </c>
      <c r="D862" s="73" t="s">
        <v>97</v>
      </c>
      <c r="E862" s="74"/>
      <c r="F862" s="74"/>
      <c r="G862" s="75" t="str">
        <f>IF(stdProdLT(Main[[#This Row],[Comments]])=0.1,"N/A",IF(stdProdLT(Main[[#This Row],[Comments]])=0,"",stdProdLT(Main[[#This Row],[Comments]])))</f>
        <v/>
      </c>
      <c r="H862" s="76" t="str">
        <f>IF(AND(Main[[#This Row],[In Stock Date]]&lt;&gt;"",Main[[#This Row],[Revised Due Date]]&lt;&gt;""),Main[[#This Row],[In Stock Date]]-Main[[#This Row],[Revised Due Date]],"")</f>
        <v/>
      </c>
      <c r="I862" s="72" t="s">
        <v>4</v>
      </c>
      <c r="J862" s="72" t="s">
        <v>4</v>
      </c>
      <c r="K862" s="72" t="s">
        <v>4</v>
      </c>
      <c r="L862" s="74"/>
      <c r="M862" s="77" t="str">
        <f>IF(Main[[#This Row],[Tech Start Date]]&lt;1/1/1990,"",IF(Main[[#This Row],[Class]]="C",WORKDAY(Main[[#This Row],[Tech Start Date]],9),IF(Main[[#This Row],[Class]]="B", WORKDAY(Main[[#This Row],[Tech Start Date]],6),IF(Main[[#This Row],[Class]]="A",WORKDAY(Main[[#This Row],[Tech Start Date]],2),""))))</f>
        <v/>
      </c>
      <c r="N862" s="77" t="str">
        <f>IF(Main[[#This Row],[Tech Start Date]]&lt;1/1/1990,"",IF(Main[[#This Row],[Class]]="C",WORKDAY(Main[[#This Row],[Tech Start Date]],19),IF(Main[[#This Row],[Class]]="B", WORKDAY(Main[[#This Row],[Tech Start Date]],12),IF(Main[[#This Row],[Class]]="A",WORKDAY(Main[[#This Row],[Tech Start Date]],4),""))))</f>
        <v/>
      </c>
      <c r="O862" s="77" t="str">
        <f>IF(Main[[#This Row],[Tech Start Date]]&lt;1/1/1990,"",IF(Main[[#This Row],[Class]]="C",WORKDAY(Main[[#This Row],[Tech Start Date]],23),IF(Main[[#This Row],[Class]]="B", WORKDAY(Main[[#This Row],[Tech Start Date]],15),IF(Main[[#This Row],[Class]]="A",WORKDAY(Main[[#This Row],[Tech Start Date]],5),""))))</f>
        <v/>
      </c>
      <c r="P862" s="77" t="str">
        <f>IF(Main[[#This Row],[Tech Start Date]]&lt;1/1/1990,"",IF(Main[[#This Row],[Class]]="C",WORKDAY(Main[[#This Row],[Tech Start Date]],28),IF(Main[[#This Row],[Class]]="B", WORKDAY(Main[[#This Row],[Tech Start Date]],19),IF(Main[[#This Row],[Class]]="A",WORKDAY(Main[[#This Row],[Tech Start Date]],9),""))))</f>
        <v/>
      </c>
      <c r="Q862" s="74">
        <v>40858</v>
      </c>
      <c r="R862" s="74"/>
      <c r="S862" s="72" t="s">
        <v>17</v>
      </c>
      <c r="T862" s="80" t="s">
        <v>4</v>
      </c>
      <c r="U862" s="72" t="s">
        <v>14</v>
      </c>
      <c r="V862" s="72" t="s">
        <v>1937</v>
      </c>
      <c r="W862" s="72" t="s">
        <v>1942</v>
      </c>
      <c r="X862" s="72" t="s">
        <v>50</v>
      </c>
      <c r="Y862" s="72" t="s">
        <v>3117</v>
      </c>
      <c r="Z862" s="72" t="s">
        <v>4</v>
      </c>
    </row>
    <row r="863" spans="1:26" ht="18.600000000000001" customHeight="1">
      <c r="A863" s="142" t="str">
        <f>IF(priority(Main[[#This Row],[Comments]])&lt;&gt;0, priority(Main[[#This Row],[Comments]]),"")</f>
        <v/>
      </c>
      <c r="B863" s="90" t="s">
        <v>1688</v>
      </c>
      <c r="C863" s="72" t="s">
        <v>4</v>
      </c>
      <c r="D863" s="73" t="s">
        <v>97</v>
      </c>
      <c r="E863" s="74"/>
      <c r="F863" s="74"/>
      <c r="G863" s="75" t="str">
        <f>IF(stdProdLT(Main[[#This Row],[Comments]])=0.1,"N/A",IF(stdProdLT(Main[[#This Row],[Comments]])=0,"",stdProdLT(Main[[#This Row],[Comments]])))</f>
        <v/>
      </c>
      <c r="H863" s="76" t="str">
        <f>IF(AND(Main[[#This Row],[In Stock Date]]&lt;&gt;"",Main[[#This Row],[Revised Due Date]]&lt;&gt;""),Main[[#This Row],[In Stock Date]]-Main[[#This Row],[Revised Due Date]],"")</f>
        <v/>
      </c>
      <c r="I863" s="72" t="s">
        <v>4</v>
      </c>
      <c r="J863" s="72" t="s">
        <v>4</v>
      </c>
      <c r="K863" s="72" t="s">
        <v>4</v>
      </c>
      <c r="L863" s="74"/>
      <c r="M863" s="77" t="str">
        <f>IF(Main[[#This Row],[Tech Start Date]]&lt;1/1/1990,"",IF(Main[[#This Row],[Class]]="C",WORKDAY(Main[[#This Row],[Tech Start Date]],9),IF(Main[[#This Row],[Class]]="B", WORKDAY(Main[[#This Row],[Tech Start Date]],6),IF(Main[[#This Row],[Class]]="A",WORKDAY(Main[[#This Row],[Tech Start Date]],2),""))))</f>
        <v/>
      </c>
      <c r="N863" s="77" t="str">
        <f>IF(Main[[#This Row],[Tech Start Date]]&lt;1/1/1990,"",IF(Main[[#This Row],[Class]]="C",WORKDAY(Main[[#This Row],[Tech Start Date]],19),IF(Main[[#This Row],[Class]]="B", WORKDAY(Main[[#This Row],[Tech Start Date]],12),IF(Main[[#This Row],[Class]]="A",WORKDAY(Main[[#This Row],[Tech Start Date]],4),""))))</f>
        <v/>
      </c>
      <c r="O863" s="77" t="str">
        <f>IF(Main[[#This Row],[Tech Start Date]]&lt;1/1/1990,"",IF(Main[[#This Row],[Class]]="C",WORKDAY(Main[[#This Row],[Tech Start Date]],23),IF(Main[[#This Row],[Class]]="B", WORKDAY(Main[[#This Row],[Tech Start Date]],15),IF(Main[[#This Row],[Class]]="A",WORKDAY(Main[[#This Row],[Tech Start Date]],5),""))))</f>
        <v/>
      </c>
      <c r="P863" s="77" t="str">
        <f>IF(Main[[#This Row],[Tech Start Date]]&lt;1/1/1990,"",IF(Main[[#This Row],[Class]]="C",WORKDAY(Main[[#This Row],[Tech Start Date]],28),IF(Main[[#This Row],[Class]]="B", WORKDAY(Main[[#This Row],[Tech Start Date]],19),IF(Main[[#This Row],[Class]]="A",WORKDAY(Main[[#This Row],[Tech Start Date]],9),""))))</f>
        <v/>
      </c>
      <c r="Q863" s="74">
        <v>40858</v>
      </c>
      <c r="R863" s="74"/>
      <c r="S863" s="72" t="s">
        <v>17</v>
      </c>
      <c r="T863" s="80" t="s">
        <v>4</v>
      </c>
      <c r="U863" s="72" t="s">
        <v>14</v>
      </c>
      <c r="V863" s="72" t="s">
        <v>1937</v>
      </c>
      <c r="W863" s="72" t="s">
        <v>1942</v>
      </c>
      <c r="X863" s="72" t="s">
        <v>50</v>
      </c>
      <c r="Y863" s="72" t="s">
        <v>3117</v>
      </c>
      <c r="Z863" s="72" t="s">
        <v>4</v>
      </c>
    </row>
    <row r="864" spans="1:26" ht="18.600000000000001" customHeight="1">
      <c r="A864" s="142" t="str">
        <f>IF(priority(Main[[#This Row],[Comments]])&lt;&gt;0, priority(Main[[#This Row],[Comments]]),"")</f>
        <v/>
      </c>
      <c r="B864" s="90" t="s">
        <v>1689</v>
      </c>
      <c r="C864" s="72" t="s">
        <v>4</v>
      </c>
      <c r="D864" s="73" t="s">
        <v>97</v>
      </c>
      <c r="E864" s="74"/>
      <c r="F864" s="74"/>
      <c r="G864" s="75" t="str">
        <f>IF(stdProdLT(Main[[#This Row],[Comments]])=0.1,"N/A",IF(stdProdLT(Main[[#This Row],[Comments]])=0,"",stdProdLT(Main[[#This Row],[Comments]])))</f>
        <v/>
      </c>
      <c r="H864" s="76" t="str">
        <f>IF(AND(Main[[#This Row],[In Stock Date]]&lt;&gt;"",Main[[#This Row],[Revised Due Date]]&lt;&gt;""),Main[[#This Row],[In Stock Date]]-Main[[#This Row],[Revised Due Date]],"")</f>
        <v/>
      </c>
      <c r="I864" s="72" t="s">
        <v>4</v>
      </c>
      <c r="J864" s="72" t="s">
        <v>4</v>
      </c>
      <c r="K864" s="72" t="s">
        <v>4</v>
      </c>
      <c r="L864" s="74"/>
      <c r="M864" s="77" t="str">
        <f>IF(Main[[#This Row],[Tech Start Date]]&lt;1/1/1990,"",IF(Main[[#This Row],[Class]]="C",WORKDAY(Main[[#This Row],[Tech Start Date]],9),IF(Main[[#This Row],[Class]]="B", WORKDAY(Main[[#This Row],[Tech Start Date]],6),IF(Main[[#This Row],[Class]]="A",WORKDAY(Main[[#This Row],[Tech Start Date]],2),""))))</f>
        <v/>
      </c>
      <c r="N864" s="77" t="str">
        <f>IF(Main[[#This Row],[Tech Start Date]]&lt;1/1/1990,"",IF(Main[[#This Row],[Class]]="C",WORKDAY(Main[[#This Row],[Tech Start Date]],19),IF(Main[[#This Row],[Class]]="B", WORKDAY(Main[[#This Row],[Tech Start Date]],12),IF(Main[[#This Row],[Class]]="A",WORKDAY(Main[[#This Row],[Tech Start Date]],4),""))))</f>
        <v/>
      </c>
      <c r="O864" s="77" t="str">
        <f>IF(Main[[#This Row],[Tech Start Date]]&lt;1/1/1990,"",IF(Main[[#This Row],[Class]]="C",WORKDAY(Main[[#This Row],[Tech Start Date]],23),IF(Main[[#This Row],[Class]]="B", WORKDAY(Main[[#This Row],[Tech Start Date]],15),IF(Main[[#This Row],[Class]]="A",WORKDAY(Main[[#This Row],[Tech Start Date]],5),""))))</f>
        <v/>
      </c>
      <c r="P864" s="77" t="str">
        <f>IF(Main[[#This Row],[Tech Start Date]]&lt;1/1/1990,"",IF(Main[[#This Row],[Class]]="C",WORKDAY(Main[[#This Row],[Tech Start Date]],28),IF(Main[[#This Row],[Class]]="B", WORKDAY(Main[[#This Row],[Tech Start Date]],19),IF(Main[[#This Row],[Class]]="A",WORKDAY(Main[[#This Row],[Tech Start Date]],9),""))))</f>
        <v/>
      </c>
      <c r="Q864" s="74">
        <v>40858</v>
      </c>
      <c r="R864" s="74"/>
      <c r="S864" s="72" t="s">
        <v>17</v>
      </c>
      <c r="T864" s="80" t="s">
        <v>4</v>
      </c>
      <c r="U864" s="72" t="s">
        <v>14</v>
      </c>
      <c r="V864" s="72" t="s">
        <v>1937</v>
      </c>
      <c r="W864" s="72" t="s">
        <v>1942</v>
      </c>
      <c r="X864" s="72" t="s">
        <v>50</v>
      </c>
      <c r="Y864" s="72" t="s">
        <v>3117</v>
      </c>
      <c r="Z864" s="72" t="s">
        <v>4</v>
      </c>
    </row>
    <row r="865" spans="1:26" ht="18.600000000000001" customHeight="1">
      <c r="A865" s="142" t="str">
        <f>IF(priority(Main[[#This Row],[Comments]])&lt;&gt;0, priority(Main[[#This Row],[Comments]]),"")</f>
        <v/>
      </c>
      <c r="B865" s="90" t="s">
        <v>1269</v>
      </c>
      <c r="C865" s="72" t="s">
        <v>4</v>
      </c>
      <c r="D865" s="73" t="s">
        <v>321</v>
      </c>
      <c r="E865" s="74"/>
      <c r="F865" s="74"/>
      <c r="G865" s="75" t="str">
        <f>IF(stdProdLT(Main[[#This Row],[Comments]])=0.1,"N/A",IF(stdProdLT(Main[[#This Row],[Comments]])=0,"",stdProdLT(Main[[#This Row],[Comments]])))</f>
        <v/>
      </c>
      <c r="H865" s="76" t="str">
        <f>IF(AND(Main[[#This Row],[In Stock Date]]&lt;&gt;"",Main[[#This Row],[Revised Due Date]]&lt;&gt;""),Main[[#This Row],[In Stock Date]]-Main[[#This Row],[Revised Due Date]],"")</f>
        <v/>
      </c>
      <c r="I865" s="72" t="s">
        <v>4</v>
      </c>
      <c r="J865" s="72" t="s">
        <v>4</v>
      </c>
      <c r="K865" s="81" t="s">
        <v>4</v>
      </c>
      <c r="L865" s="74"/>
      <c r="M865" s="77" t="str">
        <f>IF(Main[[#This Row],[Tech Start Date]]&lt;1/1/1990,"",IF(Main[[#This Row],[Class]]="C",WORKDAY(Main[[#This Row],[Tech Start Date]],9),IF(Main[[#This Row],[Class]]="B", WORKDAY(Main[[#This Row],[Tech Start Date]],6),IF(Main[[#This Row],[Class]]="A",WORKDAY(Main[[#This Row],[Tech Start Date]],2),""))))</f>
        <v/>
      </c>
      <c r="N865" s="77" t="str">
        <f>IF(Main[[#This Row],[Tech Start Date]]&lt;1/1/1990,"",IF(Main[[#This Row],[Class]]="C",WORKDAY(Main[[#This Row],[Tech Start Date]],19),IF(Main[[#This Row],[Class]]="B", WORKDAY(Main[[#This Row],[Tech Start Date]],12),IF(Main[[#This Row],[Class]]="A",WORKDAY(Main[[#This Row],[Tech Start Date]],4),""))))</f>
        <v/>
      </c>
      <c r="O865" s="77" t="str">
        <f>IF(Main[[#This Row],[Tech Start Date]]&lt;1/1/1990,"",IF(Main[[#This Row],[Class]]="C",WORKDAY(Main[[#This Row],[Tech Start Date]],23),IF(Main[[#This Row],[Class]]="B", WORKDAY(Main[[#This Row],[Tech Start Date]],15),IF(Main[[#This Row],[Class]]="A",WORKDAY(Main[[#This Row],[Tech Start Date]],5),""))))</f>
        <v/>
      </c>
      <c r="P865" s="77" t="str">
        <f>IF(Main[[#This Row],[Tech Start Date]]&lt;1/1/1990,"",IF(Main[[#This Row],[Class]]="C",WORKDAY(Main[[#This Row],[Tech Start Date]],28),IF(Main[[#This Row],[Class]]="B", WORKDAY(Main[[#This Row],[Tech Start Date]],19),IF(Main[[#This Row],[Class]]="A",WORKDAY(Main[[#This Row],[Tech Start Date]],9),""))))</f>
        <v/>
      </c>
      <c r="Q865" s="74">
        <v>40229</v>
      </c>
      <c r="R865" s="74"/>
      <c r="S865" s="72" t="s">
        <v>6</v>
      </c>
      <c r="T865" s="80" t="s">
        <v>4</v>
      </c>
      <c r="U865" s="72" t="s">
        <v>14</v>
      </c>
      <c r="V865" s="72" t="s">
        <v>1937</v>
      </c>
      <c r="W865" s="72" t="s">
        <v>1941</v>
      </c>
      <c r="X865" s="72" t="s">
        <v>2973</v>
      </c>
      <c r="Y865" s="72" t="s">
        <v>3094</v>
      </c>
      <c r="Z865" s="72" t="s">
        <v>4</v>
      </c>
    </row>
    <row r="866" spans="1:26" ht="18.600000000000001" customHeight="1">
      <c r="A866" s="142" t="str">
        <f>IF(priority(Main[[#This Row],[Comments]])&lt;&gt;0, priority(Main[[#This Row],[Comments]]),"")</f>
        <v/>
      </c>
      <c r="B866" s="90" t="s">
        <v>2828</v>
      </c>
      <c r="C866" s="72" t="s">
        <v>4</v>
      </c>
      <c r="D866" s="73" t="s">
        <v>3421</v>
      </c>
      <c r="E866" s="74">
        <v>40912.464259259257</v>
      </c>
      <c r="F866" s="74"/>
      <c r="G866" s="75" t="str">
        <f>IF(stdProdLT(Main[[#This Row],[Comments]])=0.1,"N/A",IF(stdProdLT(Main[[#This Row],[Comments]])=0,"",stdProdLT(Main[[#This Row],[Comments]])))</f>
        <v/>
      </c>
      <c r="H866" s="76" t="str">
        <f>IF(AND(Main[[#This Row],[In Stock Date]]&lt;&gt;"",Main[[#This Row],[Revised Due Date]]&lt;&gt;""),Main[[#This Row],[In Stock Date]]-Main[[#This Row],[Revised Due Date]],"")</f>
        <v/>
      </c>
      <c r="I866" s="72" t="s">
        <v>30</v>
      </c>
      <c r="J866" s="72" t="s">
        <v>28</v>
      </c>
      <c r="K866" s="72" t="s">
        <v>1946</v>
      </c>
      <c r="L866" s="74"/>
      <c r="M866" s="77" t="str">
        <f>IF(Main[[#This Row],[Tech Start Date]]&lt;1/1/1990,"",IF(Main[[#This Row],[Class]]="C",WORKDAY(Main[[#This Row],[Tech Start Date]],9),IF(Main[[#This Row],[Class]]="B", WORKDAY(Main[[#This Row],[Tech Start Date]],6),IF(Main[[#This Row],[Class]]="A",WORKDAY(Main[[#This Row],[Tech Start Date]],2),""))))</f>
        <v/>
      </c>
      <c r="N866" s="77" t="str">
        <f>IF(Main[[#This Row],[Tech Start Date]]&lt;1/1/1990,"",IF(Main[[#This Row],[Class]]="C",WORKDAY(Main[[#This Row],[Tech Start Date]],19),IF(Main[[#This Row],[Class]]="B", WORKDAY(Main[[#This Row],[Tech Start Date]],12),IF(Main[[#This Row],[Class]]="A",WORKDAY(Main[[#This Row],[Tech Start Date]],4),""))))</f>
        <v/>
      </c>
      <c r="O866" s="77" t="str">
        <f>IF(Main[[#This Row],[Tech Start Date]]&lt;1/1/1990,"",IF(Main[[#This Row],[Class]]="C",WORKDAY(Main[[#This Row],[Tech Start Date]],23),IF(Main[[#This Row],[Class]]="B", WORKDAY(Main[[#This Row],[Tech Start Date]],15),IF(Main[[#This Row],[Class]]="A",WORKDAY(Main[[#This Row],[Tech Start Date]],5),""))))</f>
        <v/>
      </c>
      <c r="P866" s="77" t="str">
        <f>IF(Main[[#This Row],[Tech Start Date]]&lt;1/1/1990,"",IF(Main[[#This Row],[Class]]="C",WORKDAY(Main[[#This Row],[Tech Start Date]],28),IF(Main[[#This Row],[Class]]="B", WORKDAY(Main[[#This Row],[Tech Start Date]],19),IF(Main[[#This Row],[Class]]="A",WORKDAY(Main[[#This Row],[Tech Start Date]],9),""))))</f>
        <v/>
      </c>
      <c r="Q866" s="74">
        <v>40942</v>
      </c>
      <c r="R866" s="74"/>
      <c r="S866" s="72" t="s">
        <v>6</v>
      </c>
      <c r="T866" s="80" t="s">
        <v>4</v>
      </c>
      <c r="U866" s="72" t="s">
        <v>29</v>
      </c>
      <c r="V866" s="72" t="s">
        <v>1940</v>
      </c>
      <c r="W866" s="72" t="s">
        <v>1941</v>
      </c>
      <c r="X866" s="72" t="s">
        <v>2971</v>
      </c>
      <c r="Y866" s="72" t="s">
        <v>3090</v>
      </c>
      <c r="Z866" s="72" t="s">
        <v>30</v>
      </c>
    </row>
    <row r="867" spans="1:26" ht="18.600000000000001" customHeight="1">
      <c r="A867" s="142" t="str">
        <f>IF(priority(Main[[#This Row],[Comments]])&lt;&gt;0, priority(Main[[#This Row],[Comments]]),"")</f>
        <v/>
      </c>
      <c r="B867" s="90" t="s">
        <v>1896</v>
      </c>
      <c r="C867" s="72" t="s">
        <v>4</v>
      </c>
      <c r="D867" s="73" t="s">
        <v>2829</v>
      </c>
      <c r="E867" s="74">
        <v>40624.37060185185</v>
      </c>
      <c r="F867" s="74"/>
      <c r="G867" s="75" t="str">
        <f>IF(stdProdLT(Main[[#This Row],[Comments]])=0.1,"N/A",IF(stdProdLT(Main[[#This Row],[Comments]])=0,"",stdProdLT(Main[[#This Row],[Comments]])))</f>
        <v/>
      </c>
      <c r="H867" s="76" t="str">
        <f>IF(AND(Main[[#This Row],[In Stock Date]]&lt;&gt;"",Main[[#This Row],[Revised Due Date]]&lt;&gt;""),Main[[#This Row],[In Stock Date]]-Main[[#This Row],[Revised Due Date]],"")</f>
        <v/>
      </c>
      <c r="I867" s="72" t="s">
        <v>891</v>
      </c>
      <c r="J867" s="72" t="s">
        <v>28</v>
      </c>
      <c r="K867" s="72" t="s">
        <v>1950</v>
      </c>
      <c r="L867" s="74"/>
      <c r="M867" s="77" t="str">
        <f>IF(Main[[#This Row],[Tech Start Date]]&lt;1/1/1990,"",IF(Main[[#This Row],[Class]]="C",WORKDAY(Main[[#This Row],[Tech Start Date]],9),IF(Main[[#This Row],[Class]]="B", WORKDAY(Main[[#This Row],[Tech Start Date]],6),IF(Main[[#This Row],[Class]]="A",WORKDAY(Main[[#This Row],[Tech Start Date]],2),""))))</f>
        <v/>
      </c>
      <c r="N867" s="77" t="str">
        <f>IF(Main[[#This Row],[Tech Start Date]]&lt;1/1/1990,"",IF(Main[[#This Row],[Class]]="C",WORKDAY(Main[[#This Row],[Tech Start Date]],19),IF(Main[[#This Row],[Class]]="B", WORKDAY(Main[[#This Row],[Tech Start Date]],12),IF(Main[[#This Row],[Class]]="A",WORKDAY(Main[[#This Row],[Tech Start Date]],4),""))))</f>
        <v/>
      </c>
      <c r="O867" s="77" t="str">
        <f>IF(Main[[#This Row],[Tech Start Date]]&lt;1/1/1990,"",IF(Main[[#This Row],[Class]]="C",WORKDAY(Main[[#This Row],[Tech Start Date]],23),IF(Main[[#This Row],[Class]]="B", WORKDAY(Main[[#This Row],[Tech Start Date]],15),IF(Main[[#This Row],[Class]]="A",WORKDAY(Main[[#This Row],[Tech Start Date]],5),""))))</f>
        <v/>
      </c>
      <c r="P867" s="77" t="str">
        <f>IF(Main[[#This Row],[Tech Start Date]]&lt;1/1/1990,"",IF(Main[[#This Row],[Class]]="C",WORKDAY(Main[[#This Row],[Tech Start Date]],28),IF(Main[[#This Row],[Class]]="B", WORKDAY(Main[[#This Row],[Tech Start Date]],19),IF(Main[[#This Row],[Class]]="A",WORKDAY(Main[[#This Row],[Tech Start Date]],9),""))))</f>
        <v/>
      </c>
      <c r="Q867" s="74">
        <v>40648</v>
      </c>
      <c r="R867" s="74">
        <v>40967</v>
      </c>
      <c r="S867" s="72" t="s">
        <v>6</v>
      </c>
      <c r="T867" s="80" t="s">
        <v>4</v>
      </c>
      <c r="U867" s="72" t="s">
        <v>29</v>
      </c>
      <c r="V867" s="72" t="s">
        <v>1937</v>
      </c>
      <c r="W867" s="72" t="s">
        <v>1941</v>
      </c>
      <c r="X867" s="72" t="s">
        <v>891</v>
      </c>
      <c r="Y867" s="72" t="s">
        <v>4</v>
      </c>
      <c r="Z867" s="72" t="s">
        <v>129</v>
      </c>
    </row>
    <row r="868" spans="1:26" ht="18.600000000000001" customHeight="1">
      <c r="A868" s="142" t="str">
        <f>IF(priority(Main[[#This Row],[Comments]])&lt;&gt;0, priority(Main[[#This Row],[Comments]]),"")</f>
        <v/>
      </c>
      <c r="B868" s="90" t="s">
        <v>1690</v>
      </c>
      <c r="C868" s="72" t="s">
        <v>4</v>
      </c>
      <c r="D868" s="73" t="s">
        <v>741</v>
      </c>
      <c r="E868" s="74"/>
      <c r="F868" s="74"/>
      <c r="G868" s="75" t="str">
        <f>IF(stdProdLT(Main[[#This Row],[Comments]])=0.1,"N/A",IF(stdProdLT(Main[[#This Row],[Comments]])=0,"",stdProdLT(Main[[#This Row],[Comments]])))</f>
        <v/>
      </c>
      <c r="H868" s="76" t="str">
        <f>IF(AND(Main[[#This Row],[In Stock Date]]&lt;&gt;"",Main[[#This Row],[Revised Due Date]]&lt;&gt;""),Main[[#This Row],[In Stock Date]]-Main[[#This Row],[Revised Due Date]],"")</f>
        <v/>
      </c>
      <c r="I868" s="72" t="s">
        <v>4</v>
      </c>
      <c r="J868" s="72" t="s">
        <v>4</v>
      </c>
      <c r="K868" s="81" t="s">
        <v>4</v>
      </c>
      <c r="L868" s="74"/>
      <c r="M868" s="77" t="str">
        <f>IF(Main[[#This Row],[Tech Start Date]]&lt;1/1/1990,"",IF(Main[[#This Row],[Class]]="C",WORKDAY(Main[[#This Row],[Tech Start Date]],9),IF(Main[[#This Row],[Class]]="B", WORKDAY(Main[[#This Row],[Tech Start Date]],6),IF(Main[[#This Row],[Class]]="A",WORKDAY(Main[[#This Row],[Tech Start Date]],2),""))))</f>
        <v/>
      </c>
      <c r="N868" s="77" t="str">
        <f>IF(Main[[#This Row],[Tech Start Date]]&lt;1/1/1990,"",IF(Main[[#This Row],[Class]]="C",WORKDAY(Main[[#This Row],[Tech Start Date]],19),IF(Main[[#This Row],[Class]]="B", WORKDAY(Main[[#This Row],[Tech Start Date]],12),IF(Main[[#This Row],[Class]]="A",WORKDAY(Main[[#This Row],[Tech Start Date]],4),""))))</f>
        <v/>
      </c>
      <c r="O868" s="77" t="str">
        <f>IF(Main[[#This Row],[Tech Start Date]]&lt;1/1/1990,"",IF(Main[[#This Row],[Class]]="C",WORKDAY(Main[[#This Row],[Tech Start Date]],23),IF(Main[[#This Row],[Class]]="B", WORKDAY(Main[[#This Row],[Tech Start Date]],15),IF(Main[[#This Row],[Class]]="A",WORKDAY(Main[[#This Row],[Tech Start Date]],5),""))))</f>
        <v/>
      </c>
      <c r="P868" s="77" t="str">
        <f>IF(Main[[#This Row],[Tech Start Date]]&lt;1/1/1990,"",IF(Main[[#This Row],[Class]]="C",WORKDAY(Main[[#This Row],[Tech Start Date]],28),IF(Main[[#This Row],[Class]]="B", WORKDAY(Main[[#This Row],[Tech Start Date]],19),IF(Main[[#This Row],[Class]]="A",WORKDAY(Main[[#This Row],[Tech Start Date]],9),""))))</f>
        <v/>
      </c>
      <c r="Q868" s="74"/>
      <c r="R868" s="74"/>
      <c r="S868" s="72" t="s">
        <v>23</v>
      </c>
      <c r="T868" s="80" t="s">
        <v>4</v>
      </c>
      <c r="U868" s="72" t="s">
        <v>14</v>
      </c>
      <c r="V868" s="72" t="s">
        <v>1937</v>
      </c>
      <c r="W868" s="72" t="s">
        <v>1941</v>
      </c>
      <c r="X868" s="72" t="s">
        <v>404</v>
      </c>
      <c r="Y868" s="72" t="s">
        <v>4</v>
      </c>
      <c r="Z868" s="72" t="s">
        <v>4</v>
      </c>
    </row>
    <row r="869" spans="1:26" ht="18.600000000000001" customHeight="1">
      <c r="A869" s="142" t="str">
        <f>IF(priority(Main[[#This Row],[Comments]])&lt;&gt;0, priority(Main[[#This Row],[Comments]]),"")</f>
        <v/>
      </c>
      <c r="B869" s="90" t="s">
        <v>1692</v>
      </c>
      <c r="C869" s="72" t="s">
        <v>4</v>
      </c>
      <c r="D869" s="73" t="s">
        <v>743</v>
      </c>
      <c r="E869" s="74">
        <v>40679.253067129626</v>
      </c>
      <c r="F869" s="74"/>
      <c r="G869" s="75" t="str">
        <f>IF(stdProdLT(Main[[#This Row],[Comments]])=0.1,"N/A",IF(stdProdLT(Main[[#This Row],[Comments]])=0,"",stdProdLT(Main[[#This Row],[Comments]])))</f>
        <v/>
      </c>
      <c r="H869" s="76" t="str">
        <f>IF(AND(Main[[#This Row],[In Stock Date]]&lt;&gt;"",Main[[#This Row],[Revised Due Date]]&lt;&gt;""),Main[[#This Row],[In Stock Date]]-Main[[#This Row],[Revised Due Date]],"")</f>
        <v/>
      </c>
      <c r="I869" s="72" t="s">
        <v>4</v>
      </c>
      <c r="J869" s="72" t="s">
        <v>4</v>
      </c>
      <c r="K869" s="72" t="s">
        <v>4</v>
      </c>
      <c r="L869" s="74"/>
      <c r="M869" s="77" t="str">
        <f>IF(Main[[#This Row],[Tech Start Date]]&lt;1/1/1990,"",IF(Main[[#This Row],[Class]]="C",WORKDAY(Main[[#This Row],[Tech Start Date]],9),IF(Main[[#This Row],[Class]]="B", WORKDAY(Main[[#This Row],[Tech Start Date]],6),IF(Main[[#This Row],[Class]]="A",WORKDAY(Main[[#This Row],[Tech Start Date]],2),""))))</f>
        <v/>
      </c>
      <c r="N869" s="77" t="str">
        <f>IF(Main[[#This Row],[Tech Start Date]]&lt;1/1/1990,"",IF(Main[[#This Row],[Class]]="C",WORKDAY(Main[[#This Row],[Tech Start Date]],19),IF(Main[[#This Row],[Class]]="B", WORKDAY(Main[[#This Row],[Tech Start Date]],12),IF(Main[[#This Row],[Class]]="A",WORKDAY(Main[[#This Row],[Tech Start Date]],4),""))))</f>
        <v/>
      </c>
      <c r="O869" s="77" t="str">
        <f>IF(Main[[#This Row],[Tech Start Date]]&lt;1/1/1990,"",IF(Main[[#This Row],[Class]]="C",WORKDAY(Main[[#This Row],[Tech Start Date]],23),IF(Main[[#This Row],[Class]]="B", WORKDAY(Main[[#This Row],[Tech Start Date]],15),IF(Main[[#This Row],[Class]]="A",WORKDAY(Main[[#This Row],[Tech Start Date]],5),""))))</f>
        <v/>
      </c>
      <c r="P869" s="77" t="str">
        <f>IF(Main[[#This Row],[Tech Start Date]]&lt;1/1/1990,"",IF(Main[[#This Row],[Class]]="C",WORKDAY(Main[[#This Row],[Tech Start Date]],28),IF(Main[[#This Row],[Class]]="B", WORKDAY(Main[[#This Row],[Tech Start Date]],19),IF(Main[[#This Row],[Class]]="A",WORKDAY(Main[[#This Row],[Tech Start Date]],9),""))))</f>
        <v/>
      </c>
      <c r="Q869" s="74">
        <v>40724</v>
      </c>
      <c r="R869" s="74"/>
      <c r="S869" s="72" t="s">
        <v>6</v>
      </c>
      <c r="T869" s="80" t="s">
        <v>4</v>
      </c>
      <c r="U869" s="72" t="s">
        <v>7</v>
      </c>
      <c r="V869" s="72" t="s">
        <v>1937</v>
      </c>
      <c r="W869" s="72" t="s">
        <v>4</v>
      </c>
      <c r="X869" s="72" t="s">
        <v>2974</v>
      </c>
      <c r="Y869" s="72" t="s">
        <v>3096</v>
      </c>
      <c r="Z869" s="72" t="s">
        <v>4</v>
      </c>
    </row>
    <row r="870" spans="1:26" ht="18.600000000000001" customHeight="1">
      <c r="A870" s="142" t="str">
        <f>IF(priority(Main[[#This Row],[Comments]])&lt;&gt;0, priority(Main[[#This Row],[Comments]]),"")</f>
        <v/>
      </c>
      <c r="B870" s="90" t="s">
        <v>1693</v>
      </c>
      <c r="C870" s="72" t="s">
        <v>4</v>
      </c>
      <c r="D870" s="73" t="s">
        <v>744</v>
      </c>
      <c r="E870" s="74">
        <v>40679.252465277779</v>
      </c>
      <c r="F870" s="74"/>
      <c r="G870" s="75" t="str">
        <f>IF(stdProdLT(Main[[#This Row],[Comments]])=0.1,"N/A",IF(stdProdLT(Main[[#This Row],[Comments]])=0,"",stdProdLT(Main[[#This Row],[Comments]])))</f>
        <v/>
      </c>
      <c r="H870" s="76" t="str">
        <f>IF(AND(Main[[#This Row],[In Stock Date]]&lt;&gt;"",Main[[#This Row],[Revised Due Date]]&lt;&gt;""),Main[[#This Row],[In Stock Date]]-Main[[#This Row],[Revised Due Date]],"")</f>
        <v/>
      </c>
      <c r="I870" s="72" t="s">
        <v>4</v>
      </c>
      <c r="J870" s="72" t="s">
        <v>4</v>
      </c>
      <c r="K870" s="81" t="s">
        <v>4</v>
      </c>
      <c r="L870" s="74"/>
      <c r="M870" s="77" t="str">
        <f>IF(Main[[#This Row],[Tech Start Date]]&lt;1/1/1990,"",IF(Main[[#This Row],[Class]]="C",WORKDAY(Main[[#This Row],[Tech Start Date]],9),IF(Main[[#This Row],[Class]]="B", WORKDAY(Main[[#This Row],[Tech Start Date]],6),IF(Main[[#This Row],[Class]]="A",WORKDAY(Main[[#This Row],[Tech Start Date]],2),""))))</f>
        <v/>
      </c>
      <c r="N870" s="77" t="str">
        <f>IF(Main[[#This Row],[Tech Start Date]]&lt;1/1/1990,"",IF(Main[[#This Row],[Class]]="C",WORKDAY(Main[[#This Row],[Tech Start Date]],19),IF(Main[[#This Row],[Class]]="B", WORKDAY(Main[[#This Row],[Tech Start Date]],12),IF(Main[[#This Row],[Class]]="A",WORKDAY(Main[[#This Row],[Tech Start Date]],4),""))))</f>
        <v/>
      </c>
      <c r="O870" s="77" t="str">
        <f>IF(Main[[#This Row],[Tech Start Date]]&lt;1/1/1990,"",IF(Main[[#This Row],[Class]]="C",WORKDAY(Main[[#This Row],[Tech Start Date]],23),IF(Main[[#This Row],[Class]]="B", WORKDAY(Main[[#This Row],[Tech Start Date]],15),IF(Main[[#This Row],[Class]]="A",WORKDAY(Main[[#This Row],[Tech Start Date]],5),""))))</f>
        <v/>
      </c>
      <c r="P870" s="77" t="str">
        <f>IF(Main[[#This Row],[Tech Start Date]]&lt;1/1/1990,"",IF(Main[[#This Row],[Class]]="C",WORKDAY(Main[[#This Row],[Tech Start Date]],28),IF(Main[[#This Row],[Class]]="B", WORKDAY(Main[[#This Row],[Tech Start Date]],19),IF(Main[[#This Row],[Class]]="A",WORKDAY(Main[[#This Row],[Tech Start Date]],9),""))))</f>
        <v/>
      </c>
      <c r="Q870" s="74">
        <v>40724</v>
      </c>
      <c r="R870" s="74"/>
      <c r="S870" s="72" t="s">
        <v>6</v>
      </c>
      <c r="T870" s="80" t="s">
        <v>4</v>
      </c>
      <c r="U870" s="72" t="s">
        <v>7</v>
      </c>
      <c r="V870" s="72" t="s">
        <v>1937</v>
      </c>
      <c r="W870" s="72" t="s">
        <v>4</v>
      </c>
      <c r="X870" s="72" t="s">
        <v>2974</v>
      </c>
      <c r="Y870" s="72" t="s">
        <v>3096</v>
      </c>
      <c r="Z870" s="72" t="s">
        <v>4</v>
      </c>
    </row>
    <row r="871" spans="1:26" ht="18.600000000000001" customHeight="1">
      <c r="A871" s="142" t="str">
        <f>IF(priority(Main[[#This Row],[Comments]])&lt;&gt;0, priority(Main[[#This Row],[Comments]]),"")</f>
        <v/>
      </c>
      <c r="B871" s="90" t="s">
        <v>1694</v>
      </c>
      <c r="C871" s="72" t="s">
        <v>4</v>
      </c>
      <c r="D871" s="73" t="s">
        <v>745</v>
      </c>
      <c r="E871" s="74">
        <v>40679.253668981481</v>
      </c>
      <c r="F871" s="74"/>
      <c r="G871" s="75" t="str">
        <f>IF(stdProdLT(Main[[#This Row],[Comments]])=0.1,"N/A",IF(stdProdLT(Main[[#This Row],[Comments]])=0,"",stdProdLT(Main[[#This Row],[Comments]])))</f>
        <v/>
      </c>
      <c r="H871" s="76" t="str">
        <f>IF(AND(Main[[#This Row],[In Stock Date]]&lt;&gt;"",Main[[#This Row],[Revised Due Date]]&lt;&gt;""),Main[[#This Row],[In Stock Date]]-Main[[#This Row],[Revised Due Date]],"")</f>
        <v/>
      </c>
      <c r="I871" s="72" t="s">
        <v>4</v>
      </c>
      <c r="J871" s="72" t="s">
        <v>4</v>
      </c>
      <c r="K871" s="72" t="s">
        <v>4</v>
      </c>
      <c r="L871" s="74"/>
      <c r="M871" s="77" t="str">
        <f>IF(Main[[#This Row],[Tech Start Date]]&lt;1/1/1990,"",IF(Main[[#This Row],[Class]]="C",WORKDAY(Main[[#This Row],[Tech Start Date]],9),IF(Main[[#This Row],[Class]]="B", WORKDAY(Main[[#This Row],[Tech Start Date]],6),IF(Main[[#This Row],[Class]]="A",WORKDAY(Main[[#This Row],[Tech Start Date]],2),""))))</f>
        <v/>
      </c>
      <c r="N871" s="77" t="str">
        <f>IF(Main[[#This Row],[Tech Start Date]]&lt;1/1/1990,"",IF(Main[[#This Row],[Class]]="C",WORKDAY(Main[[#This Row],[Tech Start Date]],19),IF(Main[[#This Row],[Class]]="B", WORKDAY(Main[[#This Row],[Tech Start Date]],12),IF(Main[[#This Row],[Class]]="A",WORKDAY(Main[[#This Row],[Tech Start Date]],4),""))))</f>
        <v/>
      </c>
      <c r="O871" s="77" t="str">
        <f>IF(Main[[#This Row],[Tech Start Date]]&lt;1/1/1990,"",IF(Main[[#This Row],[Class]]="C",WORKDAY(Main[[#This Row],[Tech Start Date]],23),IF(Main[[#This Row],[Class]]="B", WORKDAY(Main[[#This Row],[Tech Start Date]],15),IF(Main[[#This Row],[Class]]="A",WORKDAY(Main[[#This Row],[Tech Start Date]],5),""))))</f>
        <v/>
      </c>
      <c r="P871" s="77" t="str">
        <f>IF(Main[[#This Row],[Tech Start Date]]&lt;1/1/1990,"",IF(Main[[#This Row],[Class]]="C",WORKDAY(Main[[#This Row],[Tech Start Date]],28),IF(Main[[#This Row],[Class]]="B", WORKDAY(Main[[#This Row],[Tech Start Date]],19),IF(Main[[#This Row],[Class]]="A",WORKDAY(Main[[#This Row],[Tech Start Date]],9),""))))</f>
        <v/>
      </c>
      <c r="Q871" s="74">
        <v>40724</v>
      </c>
      <c r="R871" s="74"/>
      <c r="S871" s="72" t="s">
        <v>6</v>
      </c>
      <c r="T871" s="80" t="s">
        <v>4</v>
      </c>
      <c r="U871" s="72" t="s">
        <v>7</v>
      </c>
      <c r="V871" s="72" t="s">
        <v>1937</v>
      </c>
      <c r="W871" s="72" t="s">
        <v>4</v>
      </c>
      <c r="X871" s="72" t="s">
        <v>2974</v>
      </c>
      <c r="Y871" s="72" t="s">
        <v>3096</v>
      </c>
      <c r="Z871" s="72" t="s">
        <v>4</v>
      </c>
    </row>
    <row r="872" spans="1:26" ht="18.600000000000001" customHeight="1">
      <c r="A872" s="142" t="str">
        <f>IF(priority(Main[[#This Row],[Comments]])&lt;&gt;0, priority(Main[[#This Row],[Comments]]),"")</f>
        <v/>
      </c>
      <c r="B872" s="90" t="s">
        <v>1700</v>
      </c>
      <c r="C872" s="72" t="s">
        <v>4</v>
      </c>
      <c r="D872" s="73" t="s">
        <v>748</v>
      </c>
      <c r="E872" s="74"/>
      <c r="F872" s="74">
        <v>40598</v>
      </c>
      <c r="G872" s="75" t="str">
        <f>IF(stdProdLT(Main[[#This Row],[Comments]])=0.1,"N/A",IF(stdProdLT(Main[[#This Row],[Comments]])=0,"",stdProdLT(Main[[#This Row],[Comments]])))</f>
        <v/>
      </c>
      <c r="H872" s="76" t="str">
        <f>IF(AND(Main[[#This Row],[In Stock Date]]&lt;&gt;"",Main[[#This Row],[Revised Due Date]]&lt;&gt;""),Main[[#This Row],[In Stock Date]]-Main[[#This Row],[Revised Due Date]],"")</f>
        <v/>
      </c>
      <c r="I872" s="72" t="s">
        <v>4</v>
      </c>
      <c r="J872" s="72" t="s">
        <v>4</v>
      </c>
      <c r="K872" s="81" t="s">
        <v>4</v>
      </c>
      <c r="L872" s="74"/>
      <c r="M872" s="77" t="str">
        <f>IF(Main[[#This Row],[Tech Start Date]]&lt;1/1/1990,"",IF(Main[[#This Row],[Class]]="C",WORKDAY(Main[[#This Row],[Tech Start Date]],9),IF(Main[[#This Row],[Class]]="B", WORKDAY(Main[[#This Row],[Tech Start Date]],6),IF(Main[[#This Row],[Class]]="A",WORKDAY(Main[[#This Row],[Tech Start Date]],2),""))))</f>
        <v/>
      </c>
      <c r="N872" s="77" t="str">
        <f>IF(Main[[#This Row],[Tech Start Date]]&lt;1/1/1990,"",IF(Main[[#This Row],[Class]]="C",WORKDAY(Main[[#This Row],[Tech Start Date]],19),IF(Main[[#This Row],[Class]]="B", WORKDAY(Main[[#This Row],[Tech Start Date]],12),IF(Main[[#This Row],[Class]]="A",WORKDAY(Main[[#This Row],[Tech Start Date]],4),""))))</f>
        <v/>
      </c>
      <c r="O872" s="77" t="str">
        <f>IF(Main[[#This Row],[Tech Start Date]]&lt;1/1/1990,"",IF(Main[[#This Row],[Class]]="C",WORKDAY(Main[[#This Row],[Tech Start Date]],23),IF(Main[[#This Row],[Class]]="B", WORKDAY(Main[[#This Row],[Tech Start Date]],15),IF(Main[[#This Row],[Class]]="A",WORKDAY(Main[[#This Row],[Tech Start Date]],5),""))))</f>
        <v/>
      </c>
      <c r="P872" s="77" t="str">
        <f>IF(Main[[#This Row],[Tech Start Date]]&lt;1/1/1990,"",IF(Main[[#This Row],[Class]]="C",WORKDAY(Main[[#This Row],[Tech Start Date]],28),IF(Main[[#This Row],[Class]]="B", WORKDAY(Main[[#This Row],[Tech Start Date]],19),IF(Main[[#This Row],[Class]]="A",WORKDAY(Main[[#This Row],[Tech Start Date]],9),""))))</f>
        <v/>
      </c>
      <c r="Q872" s="74">
        <v>40598</v>
      </c>
      <c r="R872" s="74"/>
      <c r="S872" s="72" t="s">
        <v>11</v>
      </c>
      <c r="T872" s="80" t="s">
        <v>4</v>
      </c>
      <c r="U872" s="72" t="s">
        <v>14</v>
      </c>
      <c r="V872" s="72" t="s">
        <v>1947</v>
      </c>
      <c r="W872" s="72" t="s">
        <v>1943</v>
      </c>
      <c r="X872" s="72" t="s">
        <v>3000</v>
      </c>
      <c r="Y872" s="72" t="s">
        <v>3137</v>
      </c>
      <c r="Z872" s="72" t="s">
        <v>4</v>
      </c>
    </row>
    <row r="873" spans="1:26" ht="18.600000000000001" customHeight="1">
      <c r="A873" s="142" t="str">
        <f>IF(priority(Main[[#This Row],[Comments]])&lt;&gt;0, priority(Main[[#This Row],[Comments]]),"")</f>
        <v/>
      </c>
      <c r="B873" s="90" t="s">
        <v>1703</v>
      </c>
      <c r="C873" s="72" t="s">
        <v>4</v>
      </c>
      <c r="D873" s="73" t="s">
        <v>752</v>
      </c>
      <c r="E873" s="74">
        <v>40591.815474537034</v>
      </c>
      <c r="F873" s="74"/>
      <c r="G873" s="75" t="str">
        <f>IF(stdProdLT(Main[[#This Row],[Comments]])=0.1,"N/A",IF(stdProdLT(Main[[#This Row],[Comments]])=0,"",stdProdLT(Main[[#This Row],[Comments]])))</f>
        <v/>
      </c>
      <c r="H873" s="76" t="str">
        <f>IF(AND(Main[[#This Row],[In Stock Date]]&lt;&gt;"",Main[[#This Row],[Revised Due Date]]&lt;&gt;""),Main[[#This Row],[In Stock Date]]-Main[[#This Row],[Revised Due Date]],"")</f>
        <v/>
      </c>
      <c r="I873" s="72" t="s">
        <v>131</v>
      </c>
      <c r="J873" s="72" t="s">
        <v>70</v>
      </c>
      <c r="K873" s="72" t="s">
        <v>1946</v>
      </c>
      <c r="L873" s="74"/>
      <c r="M873" s="77" t="str">
        <f>IF(Main[[#This Row],[Tech Start Date]]&lt;1/1/1990,"",IF(Main[[#This Row],[Class]]="C",WORKDAY(Main[[#This Row],[Tech Start Date]],9),IF(Main[[#This Row],[Class]]="B", WORKDAY(Main[[#This Row],[Tech Start Date]],6),IF(Main[[#This Row],[Class]]="A",WORKDAY(Main[[#This Row],[Tech Start Date]],2),""))))</f>
        <v/>
      </c>
      <c r="N873" s="77" t="str">
        <f>IF(Main[[#This Row],[Tech Start Date]]&lt;1/1/1990,"",IF(Main[[#This Row],[Class]]="C",WORKDAY(Main[[#This Row],[Tech Start Date]],19),IF(Main[[#This Row],[Class]]="B", WORKDAY(Main[[#This Row],[Tech Start Date]],12),IF(Main[[#This Row],[Class]]="A",WORKDAY(Main[[#This Row],[Tech Start Date]],4),""))))</f>
        <v/>
      </c>
      <c r="O873" s="77" t="str">
        <f>IF(Main[[#This Row],[Tech Start Date]]&lt;1/1/1990,"",IF(Main[[#This Row],[Class]]="C",WORKDAY(Main[[#This Row],[Tech Start Date]],23),IF(Main[[#This Row],[Class]]="B", WORKDAY(Main[[#This Row],[Tech Start Date]],15),IF(Main[[#This Row],[Class]]="A",WORKDAY(Main[[#This Row],[Tech Start Date]],5),""))))</f>
        <v/>
      </c>
      <c r="P873" s="77" t="str">
        <f>IF(Main[[#This Row],[Tech Start Date]]&lt;1/1/1990,"",IF(Main[[#This Row],[Class]]="C",WORKDAY(Main[[#This Row],[Tech Start Date]],28),IF(Main[[#This Row],[Class]]="B", WORKDAY(Main[[#This Row],[Tech Start Date]],19),IF(Main[[#This Row],[Class]]="A",WORKDAY(Main[[#This Row],[Tech Start Date]],9),""))))</f>
        <v/>
      </c>
      <c r="Q873" s="74">
        <v>40736</v>
      </c>
      <c r="R873" s="74"/>
      <c r="S873" s="72" t="s">
        <v>6</v>
      </c>
      <c r="T873" s="80" t="s">
        <v>4</v>
      </c>
      <c r="U873" s="72" t="s">
        <v>29</v>
      </c>
      <c r="V873" s="72" t="s">
        <v>1940</v>
      </c>
      <c r="W873" s="72" t="s">
        <v>1941</v>
      </c>
      <c r="X873" s="72" t="s">
        <v>30</v>
      </c>
      <c r="Y873" s="72" t="s">
        <v>3115</v>
      </c>
      <c r="Z873" s="72" t="s">
        <v>30</v>
      </c>
    </row>
    <row r="874" spans="1:26" ht="18.600000000000001" customHeight="1">
      <c r="A874" s="142" t="str">
        <f>IF(priority(Main[[#This Row],[Comments]])&lt;&gt;0, priority(Main[[#This Row],[Comments]]),"")</f>
        <v/>
      </c>
      <c r="B874" s="90" t="s">
        <v>2061</v>
      </c>
      <c r="C874" s="72" t="s">
        <v>37</v>
      </c>
      <c r="D874" s="73" t="s">
        <v>491</v>
      </c>
      <c r="E874" s="74"/>
      <c r="F874" s="74"/>
      <c r="G874" s="75" t="str">
        <f>IF(stdProdLT(Main[[#This Row],[Comments]])=0.1,"N/A",IF(stdProdLT(Main[[#This Row],[Comments]])=0,"",stdProdLT(Main[[#This Row],[Comments]])))</f>
        <v/>
      </c>
      <c r="H874" s="76" t="str">
        <f>IF(AND(Main[[#This Row],[In Stock Date]]&lt;&gt;"",Main[[#This Row],[Revised Due Date]]&lt;&gt;""),Main[[#This Row],[In Stock Date]]-Main[[#This Row],[Revised Due Date]],"")</f>
        <v/>
      </c>
      <c r="I874" s="72" t="s">
        <v>4</v>
      </c>
      <c r="J874" s="72" t="s">
        <v>21</v>
      </c>
      <c r="K874" s="72" t="s">
        <v>4</v>
      </c>
      <c r="L874" s="74"/>
      <c r="M874" s="77" t="str">
        <f>IF(Main[[#This Row],[Tech Start Date]]&lt;1/1/1990,"",IF(Main[[#This Row],[Class]]="C",WORKDAY(Main[[#This Row],[Tech Start Date]],9),IF(Main[[#This Row],[Class]]="B", WORKDAY(Main[[#This Row],[Tech Start Date]],6),IF(Main[[#This Row],[Class]]="A",WORKDAY(Main[[#This Row],[Tech Start Date]],2),""))))</f>
        <v/>
      </c>
      <c r="N874" s="77" t="str">
        <f>IF(Main[[#This Row],[Tech Start Date]]&lt;1/1/1990,"",IF(Main[[#This Row],[Class]]="C",WORKDAY(Main[[#This Row],[Tech Start Date]],19),IF(Main[[#This Row],[Class]]="B", WORKDAY(Main[[#This Row],[Tech Start Date]],12),IF(Main[[#This Row],[Class]]="A",WORKDAY(Main[[#This Row],[Tech Start Date]],4),""))))</f>
        <v/>
      </c>
      <c r="O874" s="77" t="str">
        <f>IF(Main[[#This Row],[Tech Start Date]]&lt;1/1/1990,"",IF(Main[[#This Row],[Class]]="C",WORKDAY(Main[[#This Row],[Tech Start Date]],23),IF(Main[[#This Row],[Class]]="B", WORKDAY(Main[[#This Row],[Tech Start Date]],15),IF(Main[[#This Row],[Class]]="A",WORKDAY(Main[[#This Row],[Tech Start Date]],5),""))))</f>
        <v/>
      </c>
      <c r="P874" s="77" t="str">
        <f>IF(Main[[#This Row],[Tech Start Date]]&lt;1/1/1990,"",IF(Main[[#This Row],[Class]]="C",WORKDAY(Main[[#This Row],[Tech Start Date]],28),IF(Main[[#This Row],[Class]]="B", WORKDAY(Main[[#This Row],[Tech Start Date]],19),IF(Main[[#This Row],[Class]]="A",WORKDAY(Main[[#This Row],[Tech Start Date]],9),""))))</f>
        <v/>
      </c>
      <c r="Q874" s="74">
        <v>40696</v>
      </c>
      <c r="R874" s="74"/>
      <c r="S874" s="72" t="s">
        <v>6</v>
      </c>
      <c r="T874" s="80" t="s">
        <v>4</v>
      </c>
      <c r="U874" s="72" t="s">
        <v>12</v>
      </c>
      <c r="V874" s="72" t="s">
        <v>1937</v>
      </c>
      <c r="W874" s="72" t="s">
        <v>1948</v>
      </c>
      <c r="X874" s="72" t="s">
        <v>50</v>
      </c>
      <c r="Y874" s="72" t="s">
        <v>3256</v>
      </c>
      <c r="Z874" s="72" t="s">
        <v>3323</v>
      </c>
    </row>
    <row r="875" spans="1:26" ht="18.600000000000001" customHeight="1">
      <c r="A875" s="142" t="str">
        <f>IF(priority(Main[[#This Row],[Comments]])&lt;&gt;0, priority(Main[[#This Row],[Comments]]),"")</f>
        <v/>
      </c>
      <c r="B875" s="90" t="s">
        <v>2223</v>
      </c>
      <c r="C875" s="72" t="s">
        <v>4</v>
      </c>
      <c r="D875" s="73" t="s">
        <v>2224</v>
      </c>
      <c r="E875" s="74"/>
      <c r="F875" s="74">
        <v>40848</v>
      </c>
      <c r="G875" s="75" t="str">
        <f>IF(stdProdLT(Main[[#This Row],[Comments]])=0.1,"N/A",IF(stdProdLT(Main[[#This Row],[Comments]])=0,"",stdProdLT(Main[[#This Row],[Comments]])))</f>
        <v/>
      </c>
      <c r="H875" s="76" t="str">
        <f>IF(AND(Main[[#This Row],[In Stock Date]]&lt;&gt;"",Main[[#This Row],[Revised Due Date]]&lt;&gt;""),Main[[#This Row],[In Stock Date]]-Main[[#This Row],[Revised Due Date]],"")</f>
        <v/>
      </c>
      <c r="I875" s="72" t="s">
        <v>4</v>
      </c>
      <c r="J875" s="72" t="s">
        <v>4</v>
      </c>
      <c r="K875" s="72" t="s">
        <v>4</v>
      </c>
      <c r="L875" s="74"/>
      <c r="M875" s="77" t="str">
        <f>IF(Main[[#This Row],[Tech Start Date]]&lt;1/1/1990,"",IF(Main[[#This Row],[Class]]="C",WORKDAY(Main[[#This Row],[Tech Start Date]],9),IF(Main[[#This Row],[Class]]="B", WORKDAY(Main[[#This Row],[Tech Start Date]],6),IF(Main[[#This Row],[Class]]="A",WORKDAY(Main[[#This Row],[Tech Start Date]],2),""))))</f>
        <v/>
      </c>
      <c r="N875" s="77" t="str">
        <f>IF(Main[[#This Row],[Tech Start Date]]&lt;1/1/1990,"",IF(Main[[#This Row],[Class]]="C",WORKDAY(Main[[#This Row],[Tech Start Date]],19),IF(Main[[#This Row],[Class]]="B", WORKDAY(Main[[#This Row],[Tech Start Date]],12),IF(Main[[#This Row],[Class]]="A",WORKDAY(Main[[#This Row],[Tech Start Date]],4),""))))</f>
        <v/>
      </c>
      <c r="O875" s="77" t="str">
        <f>IF(Main[[#This Row],[Tech Start Date]]&lt;1/1/1990,"",IF(Main[[#This Row],[Class]]="C",WORKDAY(Main[[#This Row],[Tech Start Date]],23),IF(Main[[#This Row],[Class]]="B", WORKDAY(Main[[#This Row],[Tech Start Date]],15),IF(Main[[#This Row],[Class]]="A",WORKDAY(Main[[#This Row],[Tech Start Date]],5),""))))</f>
        <v/>
      </c>
      <c r="P875" s="77" t="str">
        <f>IF(Main[[#This Row],[Tech Start Date]]&lt;1/1/1990,"",IF(Main[[#This Row],[Class]]="C",WORKDAY(Main[[#This Row],[Tech Start Date]],28),IF(Main[[#This Row],[Class]]="B", WORKDAY(Main[[#This Row],[Tech Start Date]],19),IF(Main[[#This Row],[Class]]="A",WORKDAY(Main[[#This Row],[Tech Start Date]],9),""))))</f>
        <v/>
      </c>
      <c r="Q875" s="74">
        <v>40800</v>
      </c>
      <c r="R875" s="74"/>
      <c r="S875" s="72" t="s">
        <v>11</v>
      </c>
      <c r="T875" s="80" t="s">
        <v>4</v>
      </c>
      <c r="U875" s="72" t="s">
        <v>14</v>
      </c>
      <c r="V875" s="72" t="s">
        <v>1947</v>
      </c>
      <c r="W875" s="72" t="s">
        <v>1945</v>
      </c>
      <c r="X875" s="72" t="s">
        <v>3057</v>
      </c>
      <c r="Y875" s="72" t="s">
        <v>3257</v>
      </c>
      <c r="Z875" s="72" t="s">
        <v>4</v>
      </c>
    </row>
    <row r="876" spans="1:26" ht="18.600000000000001" customHeight="1">
      <c r="A876" s="142" t="str">
        <f>IF(priority(Main[[#This Row],[Comments]])&lt;&gt;0, priority(Main[[#This Row],[Comments]]),"")</f>
        <v/>
      </c>
      <c r="B876" s="90" t="s">
        <v>1704</v>
      </c>
      <c r="C876" s="72" t="s">
        <v>4</v>
      </c>
      <c r="D876" s="73" t="s">
        <v>749</v>
      </c>
      <c r="E876" s="74">
        <v>40520.411597222221</v>
      </c>
      <c r="F876" s="74"/>
      <c r="G876" s="75" t="str">
        <f>IF(stdProdLT(Main[[#This Row],[Comments]])=0.1,"N/A",IF(stdProdLT(Main[[#This Row],[Comments]])=0,"",stdProdLT(Main[[#This Row],[Comments]])))</f>
        <v/>
      </c>
      <c r="H876" s="76" t="str">
        <f>IF(AND(Main[[#This Row],[In Stock Date]]&lt;&gt;"",Main[[#This Row],[Revised Due Date]]&lt;&gt;""),Main[[#This Row],[In Stock Date]]-Main[[#This Row],[Revised Due Date]],"")</f>
        <v/>
      </c>
      <c r="I876" s="72" t="s">
        <v>4</v>
      </c>
      <c r="J876" s="72" t="s">
        <v>28</v>
      </c>
      <c r="K876" s="81" t="s">
        <v>4</v>
      </c>
      <c r="L876" s="74"/>
      <c r="M876" s="77" t="str">
        <f>IF(Main[[#This Row],[Tech Start Date]]&lt;1/1/1990,"",IF(Main[[#This Row],[Class]]="C",WORKDAY(Main[[#This Row],[Tech Start Date]],9),IF(Main[[#This Row],[Class]]="B", WORKDAY(Main[[#This Row],[Tech Start Date]],6),IF(Main[[#This Row],[Class]]="A",WORKDAY(Main[[#This Row],[Tech Start Date]],2),""))))</f>
        <v/>
      </c>
      <c r="N876" s="77" t="str">
        <f>IF(Main[[#This Row],[Tech Start Date]]&lt;1/1/1990,"",IF(Main[[#This Row],[Class]]="C",WORKDAY(Main[[#This Row],[Tech Start Date]],19),IF(Main[[#This Row],[Class]]="B", WORKDAY(Main[[#This Row],[Tech Start Date]],12),IF(Main[[#This Row],[Class]]="A",WORKDAY(Main[[#This Row],[Tech Start Date]],4),""))))</f>
        <v/>
      </c>
      <c r="O876" s="77" t="str">
        <f>IF(Main[[#This Row],[Tech Start Date]]&lt;1/1/1990,"",IF(Main[[#This Row],[Class]]="C",WORKDAY(Main[[#This Row],[Tech Start Date]],23),IF(Main[[#This Row],[Class]]="B", WORKDAY(Main[[#This Row],[Tech Start Date]],15),IF(Main[[#This Row],[Class]]="A",WORKDAY(Main[[#This Row],[Tech Start Date]],5),""))))</f>
        <v/>
      </c>
      <c r="P876" s="77" t="str">
        <f>IF(Main[[#This Row],[Tech Start Date]]&lt;1/1/1990,"",IF(Main[[#This Row],[Class]]="C",WORKDAY(Main[[#This Row],[Tech Start Date]],28),IF(Main[[#This Row],[Class]]="B", WORKDAY(Main[[#This Row],[Tech Start Date]],19),IF(Main[[#This Row],[Class]]="A",WORKDAY(Main[[#This Row],[Tech Start Date]],9),""))))</f>
        <v/>
      </c>
      <c r="Q876" s="74">
        <v>40571</v>
      </c>
      <c r="R876" s="74"/>
      <c r="S876" s="72" t="s">
        <v>6</v>
      </c>
      <c r="T876" s="80" t="s">
        <v>4</v>
      </c>
      <c r="U876" s="72" t="s">
        <v>7</v>
      </c>
      <c r="V876" s="72" t="s">
        <v>1937</v>
      </c>
      <c r="W876" s="72" t="s">
        <v>1939</v>
      </c>
      <c r="X876" s="72" t="s">
        <v>2970</v>
      </c>
      <c r="Y876" s="72" t="s">
        <v>3087</v>
      </c>
      <c r="Z876" s="72" t="s">
        <v>129</v>
      </c>
    </row>
    <row r="877" spans="1:26" ht="18.600000000000001" customHeight="1">
      <c r="A877" s="142" t="str">
        <f>IF(priority(Main[[#This Row],[Comments]])&lt;&gt;0, priority(Main[[#This Row],[Comments]]),"")</f>
        <v/>
      </c>
      <c r="B877" s="90" t="s">
        <v>1705</v>
      </c>
      <c r="C877" s="72" t="s">
        <v>4</v>
      </c>
      <c r="D877" s="73" t="s">
        <v>750</v>
      </c>
      <c r="E877" s="74"/>
      <c r="F877" s="74"/>
      <c r="G877" s="75" t="str">
        <f>IF(stdProdLT(Main[[#This Row],[Comments]])=0.1,"N/A",IF(stdProdLT(Main[[#This Row],[Comments]])=0,"",stdProdLT(Main[[#This Row],[Comments]])))</f>
        <v/>
      </c>
      <c r="H877" s="76" t="str">
        <f>IF(AND(Main[[#This Row],[In Stock Date]]&lt;&gt;"",Main[[#This Row],[Revised Due Date]]&lt;&gt;""),Main[[#This Row],[In Stock Date]]-Main[[#This Row],[Revised Due Date]],"")</f>
        <v/>
      </c>
      <c r="I877" s="72" t="s">
        <v>4</v>
      </c>
      <c r="J877" s="72" t="s">
        <v>28</v>
      </c>
      <c r="K877" s="81" t="s">
        <v>4</v>
      </c>
      <c r="L877" s="74"/>
      <c r="M877" s="77" t="str">
        <f>IF(Main[[#This Row],[Tech Start Date]]&lt;1/1/1990,"",IF(Main[[#This Row],[Class]]="C",WORKDAY(Main[[#This Row],[Tech Start Date]],9),IF(Main[[#This Row],[Class]]="B", WORKDAY(Main[[#This Row],[Tech Start Date]],6),IF(Main[[#This Row],[Class]]="A",WORKDAY(Main[[#This Row],[Tech Start Date]],2),""))))</f>
        <v/>
      </c>
      <c r="N877" s="77" t="str">
        <f>IF(Main[[#This Row],[Tech Start Date]]&lt;1/1/1990,"",IF(Main[[#This Row],[Class]]="C",WORKDAY(Main[[#This Row],[Tech Start Date]],19),IF(Main[[#This Row],[Class]]="B", WORKDAY(Main[[#This Row],[Tech Start Date]],12),IF(Main[[#This Row],[Class]]="A",WORKDAY(Main[[#This Row],[Tech Start Date]],4),""))))</f>
        <v/>
      </c>
      <c r="O877" s="77" t="str">
        <f>IF(Main[[#This Row],[Tech Start Date]]&lt;1/1/1990,"",IF(Main[[#This Row],[Class]]="C",WORKDAY(Main[[#This Row],[Tech Start Date]],23),IF(Main[[#This Row],[Class]]="B", WORKDAY(Main[[#This Row],[Tech Start Date]],15),IF(Main[[#This Row],[Class]]="A",WORKDAY(Main[[#This Row],[Tech Start Date]],5),""))))</f>
        <v/>
      </c>
      <c r="P877" s="77" t="str">
        <f>IF(Main[[#This Row],[Tech Start Date]]&lt;1/1/1990,"",IF(Main[[#This Row],[Class]]="C",WORKDAY(Main[[#This Row],[Tech Start Date]],28),IF(Main[[#This Row],[Class]]="B", WORKDAY(Main[[#This Row],[Tech Start Date]],19),IF(Main[[#This Row],[Class]]="A",WORKDAY(Main[[#This Row],[Tech Start Date]],9),""))))</f>
        <v/>
      </c>
      <c r="Q877" s="74"/>
      <c r="R877" s="74"/>
      <c r="S877" s="72" t="s">
        <v>17</v>
      </c>
      <c r="T877" s="80" t="s">
        <v>4</v>
      </c>
      <c r="U877" s="72" t="s">
        <v>14</v>
      </c>
      <c r="V877" s="72" t="s">
        <v>1937</v>
      </c>
      <c r="W877" s="72" t="s">
        <v>1945</v>
      </c>
      <c r="X877" s="72" t="s">
        <v>937</v>
      </c>
      <c r="Y877" s="72" t="s">
        <v>3140</v>
      </c>
      <c r="Z877" s="72" t="s">
        <v>129</v>
      </c>
    </row>
    <row r="878" spans="1:26" ht="18.600000000000001" customHeight="1">
      <c r="A878" s="142" t="str">
        <f>IF(priority(Main[[#This Row],[Comments]])&lt;&gt;0, priority(Main[[#This Row],[Comments]]),"")</f>
        <v/>
      </c>
      <c r="B878" s="90" t="s">
        <v>1708</v>
      </c>
      <c r="C878" s="72" t="s">
        <v>4</v>
      </c>
      <c r="D878" s="73" t="s">
        <v>754</v>
      </c>
      <c r="E878" s="74"/>
      <c r="F878" s="74"/>
      <c r="G878" s="75" t="str">
        <f>IF(stdProdLT(Main[[#This Row],[Comments]])=0.1,"N/A",IF(stdProdLT(Main[[#This Row],[Comments]])=0,"",stdProdLT(Main[[#This Row],[Comments]])))</f>
        <v/>
      </c>
      <c r="H878" s="76" t="str">
        <f>IF(AND(Main[[#This Row],[In Stock Date]]&lt;&gt;"",Main[[#This Row],[Revised Due Date]]&lt;&gt;""),Main[[#This Row],[In Stock Date]]-Main[[#This Row],[Revised Due Date]],"")</f>
        <v/>
      </c>
      <c r="I878" s="72" t="s">
        <v>4</v>
      </c>
      <c r="J878" s="72" t="s">
        <v>4</v>
      </c>
      <c r="K878" s="72" t="s">
        <v>4</v>
      </c>
      <c r="L878" s="74"/>
      <c r="M878" s="77" t="str">
        <f>IF(Main[[#This Row],[Tech Start Date]]&lt;1/1/1990,"",IF(Main[[#This Row],[Class]]="C",WORKDAY(Main[[#This Row],[Tech Start Date]],9),IF(Main[[#This Row],[Class]]="B", WORKDAY(Main[[#This Row],[Tech Start Date]],6),IF(Main[[#This Row],[Class]]="A",WORKDAY(Main[[#This Row],[Tech Start Date]],2),""))))</f>
        <v/>
      </c>
      <c r="N878" s="77" t="str">
        <f>IF(Main[[#This Row],[Tech Start Date]]&lt;1/1/1990,"",IF(Main[[#This Row],[Class]]="C",WORKDAY(Main[[#This Row],[Tech Start Date]],19),IF(Main[[#This Row],[Class]]="B", WORKDAY(Main[[#This Row],[Tech Start Date]],12),IF(Main[[#This Row],[Class]]="A",WORKDAY(Main[[#This Row],[Tech Start Date]],4),""))))</f>
        <v/>
      </c>
      <c r="O878" s="77" t="str">
        <f>IF(Main[[#This Row],[Tech Start Date]]&lt;1/1/1990,"",IF(Main[[#This Row],[Class]]="C",WORKDAY(Main[[#This Row],[Tech Start Date]],23),IF(Main[[#This Row],[Class]]="B", WORKDAY(Main[[#This Row],[Tech Start Date]],15),IF(Main[[#This Row],[Class]]="A",WORKDAY(Main[[#This Row],[Tech Start Date]],5),""))))</f>
        <v/>
      </c>
      <c r="P878" s="77" t="str">
        <f>IF(Main[[#This Row],[Tech Start Date]]&lt;1/1/1990,"",IF(Main[[#This Row],[Class]]="C",WORKDAY(Main[[#This Row],[Tech Start Date]],28),IF(Main[[#This Row],[Class]]="B", WORKDAY(Main[[#This Row],[Tech Start Date]],19),IF(Main[[#This Row],[Class]]="A",WORKDAY(Main[[#This Row],[Tech Start Date]],9),""))))</f>
        <v/>
      </c>
      <c r="Q878" s="74"/>
      <c r="R878" s="74"/>
      <c r="S878" s="72" t="s">
        <v>23</v>
      </c>
      <c r="T878" s="80" t="s">
        <v>4</v>
      </c>
      <c r="U878" s="72" t="s">
        <v>14</v>
      </c>
      <c r="V878" s="72" t="s">
        <v>1937</v>
      </c>
      <c r="W878" s="72" t="s">
        <v>1941</v>
      </c>
      <c r="X878" s="72" t="s">
        <v>404</v>
      </c>
      <c r="Y878" s="72" t="s">
        <v>4</v>
      </c>
      <c r="Z878" s="72" t="s">
        <v>4</v>
      </c>
    </row>
    <row r="879" spans="1:26" ht="18.600000000000001" customHeight="1">
      <c r="A879" s="142" t="str">
        <f>IF(priority(Main[[#This Row],[Comments]])&lt;&gt;0, priority(Main[[#This Row],[Comments]]),"")</f>
        <v/>
      </c>
      <c r="B879" s="90" t="s">
        <v>1855</v>
      </c>
      <c r="C879" s="72" t="s">
        <v>4</v>
      </c>
      <c r="D879" s="73" t="s">
        <v>901</v>
      </c>
      <c r="E879" s="74">
        <v>40371.599317129629</v>
      </c>
      <c r="F879" s="74"/>
      <c r="G879" s="75" t="str">
        <f>IF(stdProdLT(Main[[#This Row],[Comments]])=0.1,"N/A",IF(stdProdLT(Main[[#This Row],[Comments]])=0,"",stdProdLT(Main[[#This Row],[Comments]])))</f>
        <v/>
      </c>
      <c r="H879" s="76" t="str">
        <f>IF(AND(Main[[#This Row],[In Stock Date]]&lt;&gt;"",Main[[#This Row],[Revised Due Date]]&lt;&gt;""),Main[[#This Row],[In Stock Date]]-Main[[#This Row],[Revised Due Date]],"")</f>
        <v/>
      </c>
      <c r="I879" s="72" t="s">
        <v>126</v>
      </c>
      <c r="J879" s="72" t="s">
        <v>28</v>
      </c>
      <c r="K879" s="72" t="s">
        <v>1949</v>
      </c>
      <c r="L879" s="74"/>
      <c r="M879" s="77" t="str">
        <f>IF(Main[[#This Row],[Tech Start Date]]&lt;1/1/1990,"",IF(Main[[#This Row],[Class]]="C",WORKDAY(Main[[#This Row],[Tech Start Date]],9),IF(Main[[#This Row],[Class]]="B", WORKDAY(Main[[#This Row],[Tech Start Date]],6),IF(Main[[#This Row],[Class]]="A",WORKDAY(Main[[#This Row],[Tech Start Date]],2),""))))</f>
        <v/>
      </c>
      <c r="N879" s="77" t="str">
        <f>IF(Main[[#This Row],[Tech Start Date]]&lt;1/1/1990,"",IF(Main[[#This Row],[Class]]="C",WORKDAY(Main[[#This Row],[Tech Start Date]],19),IF(Main[[#This Row],[Class]]="B", WORKDAY(Main[[#This Row],[Tech Start Date]],12),IF(Main[[#This Row],[Class]]="A",WORKDAY(Main[[#This Row],[Tech Start Date]],4),""))))</f>
        <v/>
      </c>
      <c r="O879" s="77" t="str">
        <f>IF(Main[[#This Row],[Tech Start Date]]&lt;1/1/1990,"",IF(Main[[#This Row],[Class]]="C",WORKDAY(Main[[#This Row],[Tech Start Date]],23),IF(Main[[#This Row],[Class]]="B", WORKDAY(Main[[#This Row],[Tech Start Date]],15),IF(Main[[#This Row],[Class]]="A",WORKDAY(Main[[#This Row],[Tech Start Date]],5),""))))</f>
        <v/>
      </c>
      <c r="P879" s="77" t="str">
        <f>IF(Main[[#This Row],[Tech Start Date]]&lt;1/1/1990,"",IF(Main[[#This Row],[Class]]="C",WORKDAY(Main[[#This Row],[Tech Start Date]],28),IF(Main[[#This Row],[Class]]="B", WORKDAY(Main[[#This Row],[Tech Start Date]],19),IF(Main[[#This Row],[Class]]="A",WORKDAY(Main[[#This Row],[Tech Start Date]],9),""))))</f>
        <v/>
      </c>
      <c r="Q879" s="74">
        <v>40420</v>
      </c>
      <c r="R879" s="74">
        <v>40420</v>
      </c>
      <c r="S879" s="72" t="s">
        <v>17</v>
      </c>
      <c r="T879" s="80" t="s">
        <v>4</v>
      </c>
      <c r="U879" s="72" t="s">
        <v>29</v>
      </c>
      <c r="V879" s="72" t="s">
        <v>1937</v>
      </c>
      <c r="W879" s="72" t="s">
        <v>1945</v>
      </c>
      <c r="X879" s="72" t="s">
        <v>129</v>
      </c>
      <c r="Y879" s="72" t="s">
        <v>3117</v>
      </c>
      <c r="Z879" s="72" t="s">
        <v>129</v>
      </c>
    </row>
    <row r="880" spans="1:26" ht="18.600000000000001" customHeight="1">
      <c r="A880" s="142" t="str">
        <f>IF(priority(Main[[#This Row],[Comments]])&lt;&gt;0, priority(Main[[#This Row],[Comments]]),"")</f>
        <v/>
      </c>
      <c r="B880" s="90" t="s">
        <v>1709</v>
      </c>
      <c r="C880" s="72" t="s">
        <v>4</v>
      </c>
      <c r="D880" s="73" t="s">
        <v>755</v>
      </c>
      <c r="E880" s="74"/>
      <c r="F880" s="74"/>
      <c r="G880" s="75" t="str">
        <f>IF(stdProdLT(Main[[#This Row],[Comments]])=0.1,"N/A",IF(stdProdLT(Main[[#This Row],[Comments]])=0,"",stdProdLT(Main[[#This Row],[Comments]])))</f>
        <v/>
      </c>
      <c r="H880" s="76" t="str">
        <f>IF(AND(Main[[#This Row],[In Stock Date]]&lt;&gt;"",Main[[#This Row],[Revised Due Date]]&lt;&gt;""),Main[[#This Row],[In Stock Date]]-Main[[#This Row],[Revised Due Date]],"")</f>
        <v/>
      </c>
      <c r="I880" s="72" t="s">
        <v>4</v>
      </c>
      <c r="J880" s="72" t="s">
        <v>28</v>
      </c>
      <c r="K880" s="72" t="s">
        <v>1944</v>
      </c>
      <c r="L880" s="74"/>
      <c r="M880" s="77" t="str">
        <f>IF(Main[[#This Row],[Tech Start Date]]&lt;1/1/1990,"",IF(Main[[#This Row],[Class]]="C",WORKDAY(Main[[#This Row],[Tech Start Date]],9),IF(Main[[#This Row],[Class]]="B", WORKDAY(Main[[#This Row],[Tech Start Date]],6),IF(Main[[#This Row],[Class]]="A",WORKDAY(Main[[#This Row],[Tech Start Date]],2),""))))</f>
        <v/>
      </c>
      <c r="N880" s="77" t="str">
        <f>IF(Main[[#This Row],[Tech Start Date]]&lt;1/1/1990,"",IF(Main[[#This Row],[Class]]="C",WORKDAY(Main[[#This Row],[Tech Start Date]],19),IF(Main[[#This Row],[Class]]="B", WORKDAY(Main[[#This Row],[Tech Start Date]],12),IF(Main[[#This Row],[Class]]="A",WORKDAY(Main[[#This Row],[Tech Start Date]],4),""))))</f>
        <v/>
      </c>
      <c r="O880" s="77" t="str">
        <f>IF(Main[[#This Row],[Tech Start Date]]&lt;1/1/1990,"",IF(Main[[#This Row],[Class]]="C",WORKDAY(Main[[#This Row],[Tech Start Date]],23),IF(Main[[#This Row],[Class]]="B", WORKDAY(Main[[#This Row],[Tech Start Date]],15),IF(Main[[#This Row],[Class]]="A",WORKDAY(Main[[#This Row],[Tech Start Date]],5),""))))</f>
        <v/>
      </c>
      <c r="P880" s="77" t="str">
        <f>IF(Main[[#This Row],[Tech Start Date]]&lt;1/1/1990,"",IF(Main[[#This Row],[Class]]="C",WORKDAY(Main[[#This Row],[Tech Start Date]],28),IF(Main[[#This Row],[Class]]="B", WORKDAY(Main[[#This Row],[Tech Start Date]],19),IF(Main[[#This Row],[Class]]="A",WORKDAY(Main[[#This Row],[Tech Start Date]],9),""))))</f>
        <v/>
      </c>
      <c r="Q880" s="74"/>
      <c r="R880" s="74"/>
      <c r="S880" s="72" t="s">
        <v>6</v>
      </c>
      <c r="T880" s="80" t="s">
        <v>4</v>
      </c>
      <c r="U880" s="72" t="s">
        <v>14</v>
      </c>
      <c r="V880" s="72" t="s">
        <v>1937</v>
      </c>
      <c r="W880" s="72" t="s">
        <v>1941</v>
      </c>
      <c r="X880" s="72" t="s">
        <v>311</v>
      </c>
      <c r="Y880" s="72" t="s">
        <v>3258</v>
      </c>
      <c r="Z880" s="72" t="s">
        <v>129</v>
      </c>
    </row>
    <row r="881" spans="1:26" ht="18.600000000000001" customHeight="1">
      <c r="A881" s="142" t="str">
        <f>IF(priority(Main[[#This Row],[Comments]])&lt;&gt;0, priority(Main[[#This Row],[Comments]]),"")</f>
        <v/>
      </c>
      <c r="B881" s="90" t="s">
        <v>1711</v>
      </c>
      <c r="C881" s="72" t="s">
        <v>4</v>
      </c>
      <c r="D881" s="73" t="s">
        <v>758</v>
      </c>
      <c r="E881" s="74"/>
      <c r="F881" s="74"/>
      <c r="G881" s="75" t="str">
        <f>IF(stdProdLT(Main[[#This Row],[Comments]])=0.1,"N/A",IF(stdProdLT(Main[[#This Row],[Comments]])=0,"",stdProdLT(Main[[#This Row],[Comments]])))</f>
        <v/>
      </c>
      <c r="H881" s="76" t="str">
        <f>IF(AND(Main[[#This Row],[In Stock Date]]&lt;&gt;"",Main[[#This Row],[Revised Due Date]]&lt;&gt;""),Main[[#This Row],[In Stock Date]]-Main[[#This Row],[Revised Due Date]],"")</f>
        <v/>
      </c>
      <c r="I881" s="72" t="s">
        <v>4</v>
      </c>
      <c r="J881" s="72" t="s">
        <v>4</v>
      </c>
      <c r="K881" s="72" t="s">
        <v>4</v>
      </c>
      <c r="L881" s="74"/>
      <c r="M881" s="77" t="str">
        <f>IF(Main[[#This Row],[Tech Start Date]]&lt;1/1/1990,"",IF(Main[[#This Row],[Class]]="C",WORKDAY(Main[[#This Row],[Tech Start Date]],9),IF(Main[[#This Row],[Class]]="B", WORKDAY(Main[[#This Row],[Tech Start Date]],6),IF(Main[[#This Row],[Class]]="A",WORKDAY(Main[[#This Row],[Tech Start Date]],2),""))))</f>
        <v/>
      </c>
      <c r="N881" s="77" t="str">
        <f>IF(Main[[#This Row],[Tech Start Date]]&lt;1/1/1990,"",IF(Main[[#This Row],[Class]]="C",WORKDAY(Main[[#This Row],[Tech Start Date]],19),IF(Main[[#This Row],[Class]]="B", WORKDAY(Main[[#This Row],[Tech Start Date]],12),IF(Main[[#This Row],[Class]]="A",WORKDAY(Main[[#This Row],[Tech Start Date]],4),""))))</f>
        <v/>
      </c>
      <c r="O881" s="77" t="str">
        <f>IF(Main[[#This Row],[Tech Start Date]]&lt;1/1/1990,"",IF(Main[[#This Row],[Class]]="C",WORKDAY(Main[[#This Row],[Tech Start Date]],23),IF(Main[[#This Row],[Class]]="B", WORKDAY(Main[[#This Row],[Tech Start Date]],15),IF(Main[[#This Row],[Class]]="A",WORKDAY(Main[[#This Row],[Tech Start Date]],5),""))))</f>
        <v/>
      </c>
      <c r="P881" s="77" t="str">
        <f>IF(Main[[#This Row],[Tech Start Date]]&lt;1/1/1990,"",IF(Main[[#This Row],[Class]]="C",WORKDAY(Main[[#This Row],[Tech Start Date]],28),IF(Main[[#This Row],[Class]]="B", WORKDAY(Main[[#This Row],[Tech Start Date]],19),IF(Main[[#This Row],[Class]]="A",WORKDAY(Main[[#This Row],[Tech Start Date]],9),""))))</f>
        <v/>
      </c>
      <c r="Q881" s="74"/>
      <c r="R881" s="74"/>
      <c r="S881" s="72" t="s">
        <v>11</v>
      </c>
      <c r="T881" s="80" t="s">
        <v>4</v>
      </c>
      <c r="U881" s="72" t="s">
        <v>14</v>
      </c>
      <c r="V881" s="72" t="s">
        <v>1937</v>
      </c>
      <c r="W881" s="72" t="s">
        <v>1941</v>
      </c>
      <c r="X881" s="72" t="s">
        <v>719</v>
      </c>
      <c r="Y881" s="72" t="s">
        <v>3243</v>
      </c>
      <c r="Z881" s="72" t="s">
        <v>4</v>
      </c>
    </row>
    <row r="882" spans="1:26" ht="18.600000000000001" customHeight="1">
      <c r="A882" s="142" t="str">
        <f>IF(priority(Main[[#This Row],[Comments]])&lt;&gt;0, priority(Main[[#This Row],[Comments]]),"")</f>
        <v/>
      </c>
      <c r="B882" s="90" t="s">
        <v>1712</v>
      </c>
      <c r="C882" s="72" t="s">
        <v>4</v>
      </c>
      <c r="D882" s="73" t="s">
        <v>759</v>
      </c>
      <c r="E882" s="74"/>
      <c r="F882" s="74"/>
      <c r="G882" s="75" t="str">
        <f>IF(stdProdLT(Main[[#This Row],[Comments]])=0.1,"N/A",IF(stdProdLT(Main[[#This Row],[Comments]])=0,"",stdProdLT(Main[[#This Row],[Comments]])))</f>
        <v/>
      </c>
      <c r="H882" s="76" t="str">
        <f>IF(AND(Main[[#This Row],[In Stock Date]]&lt;&gt;"",Main[[#This Row],[Revised Due Date]]&lt;&gt;""),Main[[#This Row],[In Stock Date]]-Main[[#This Row],[Revised Due Date]],"")</f>
        <v/>
      </c>
      <c r="I882" s="72" t="s">
        <v>435</v>
      </c>
      <c r="J882" s="72" t="s">
        <v>70</v>
      </c>
      <c r="K882" s="72" t="s">
        <v>4</v>
      </c>
      <c r="L882" s="74"/>
      <c r="M882" s="77" t="str">
        <f>IF(Main[[#This Row],[Tech Start Date]]&lt;1/1/1990,"",IF(Main[[#This Row],[Class]]="C",WORKDAY(Main[[#This Row],[Tech Start Date]],9),IF(Main[[#This Row],[Class]]="B", WORKDAY(Main[[#This Row],[Tech Start Date]],6),IF(Main[[#This Row],[Class]]="A",WORKDAY(Main[[#This Row],[Tech Start Date]],2),""))))</f>
        <v/>
      </c>
      <c r="N882" s="77" t="str">
        <f>IF(Main[[#This Row],[Tech Start Date]]&lt;1/1/1990,"",IF(Main[[#This Row],[Class]]="C",WORKDAY(Main[[#This Row],[Tech Start Date]],19),IF(Main[[#This Row],[Class]]="B", WORKDAY(Main[[#This Row],[Tech Start Date]],12),IF(Main[[#This Row],[Class]]="A",WORKDAY(Main[[#This Row],[Tech Start Date]],4),""))))</f>
        <v/>
      </c>
      <c r="O882" s="77" t="str">
        <f>IF(Main[[#This Row],[Tech Start Date]]&lt;1/1/1990,"",IF(Main[[#This Row],[Class]]="C",WORKDAY(Main[[#This Row],[Tech Start Date]],23),IF(Main[[#This Row],[Class]]="B", WORKDAY(Main[[#This Row],[Tech Start Date]],15),IF(Main[[#This Row],[Class]]="A",WORKDAY(Main[[#This Row],[Tech Start Date]],5),""))))</f>
        <v/>
      </c>
      <c r="P882" s="77" t="str">
        <f>IF(Main[[#This Row],[Tech Start Date]]&lt;1/1/1990,"",IF(Main[[#This Row],[Class]]="C",WORKDAY(Main[[#This Row],[Tech Start Date]],28),IF(Main[[#This Row],[Class]]="B", WORKDAY(Main[[#This Row],[Tech Start Date]],19),IF(Main[[#This Row],[Class]]="A",WORKDAY(Main[[#This Row],[Tech Start Date]],9),""))))</f>
        <v/>
      </c>
      <c r="Q882" s="74">
        <v>40437</v>
      </c>
      <c r="R882" s="74"/>
      <c r="S882" s="72" t="s">
        <v>6</v>
      </c>
      <c r="T882" s="80" t="s">
        <v>4</v>
      </c>
      <c r="U882" s="72" t="s">
        <v>14</v>
      </c>
      <c r="V882" s="72" t="s">
        <v>1940</v>
      </c>
      <c r="W882" s="72" t="s">
        <v>1939</v>
      </c>
      <c r="X882" s="72" t="s">
        <v>2974</v>
      </c>
      <c r="Y882" s="72" t="s">
        <v>3096</v>
      </c>
      <c r="Z882" s="72" t="s">
        <v>536</v>
      </c>
    </row>
    <row r="883" spans="1:26" ht="18.600000000000001" customHeight="1">
      <c r="A883" s="142" t="str">
        <f>IF(priority(Main[[#This Row],[Comments]])&lt;&gt;0, priority(Main[[#This Row],[Comments]]),"")</f>
        <v/>
      </c>
      <c r="B883" s="90" t="s">
        <v>2830</v>
      </c>
      <c r="C883" s="72" t="s">
        <v>4</v>
      </c>
      <c r="D883" s="73" t="s">
        <v>2831</v>
      </c>
      <c r="E883" s="74">
        <v>40886.69462962963</v>
      </c>
      <c r="F883" s="74"/>
      <c r="G883" s="75" t="str">
        <f>IF(stdProdLT(Main[[#This Row],[Comments]])=0.1,"N/A",IF(stdProdLT(Main[[#This Row],[Comments]])=0,"",stdProdLT(Main[[#This Row],[Comments]])))</f>
        <v/>
      </c>
      <c r="H883" s="76" t="str">
        <f>IF(AND(Main[[#This Row],[In Stock Date]]&lt;&gt;"",Main[[#This Row],[Revised Due Date]]&lt;&gt;""),Main[[#This Row],[In Stock Date]]-Main[[#This Row],[Revised Due Date]],"")</f>
        <v/>
      </c>
      <c r="I883" s="72" t="s">
        <v>4</v>
      </c>
      <c r="J883" s="72" t="s">
        <v>4</v>
      </c>
      <c r="K883" s="72" t="s">
        <v>4</v>
      </c>
      <c r="L883" s="74"/>
      <c r="M883" s="77" t="str">
        <f>IF(Main[[#This Row],[Tech Start Date]]&lt;1/1/1990,"",IF(Main[[#This Row],[Class]]="C",WORKDAY(Main[[#This Row],[Tech Start Date]],9),IF(Main[[#This Row],[Class]]="B", WORKDAY(Main[[#This Row],[Tech Start Date]],6),IF(Main[[#This Row],[Class]]="A",WORKDAY(Main[[#This Row],[Tech Start Date]],2),""))))</f>
        <v/>
      </c>
      <c r="N883" s="77" t="str">
        <f>IF(Main[[#This Row],[Tech Start Date]]&lt;1/1/1990,"",IF(Main[[#This Row],[Class]]="C",WORKDAY(Main[[#This Row],[Tech Start Date]],19),IF(Main[[#This Row],[Class]]="B", WORKDAY(Main[[#This Row],[Tech Start Date]],12),IF(Main[[#This Row],[Class]]="A",WORKDAY(Main[[#This Row],[Tech Start Date]],4),""))))</f>
        <v/>
      </c>
      <c r="O883" s="77" t="str">
        <f>IF(Main[[#This Row],[Tech Start Date]]&lt;1/1/1990,"",IF(Main[[#This Row],[Class]]="C",WORKDAY(Main[[#This Row],[Tech Start Date]],23),IF(Main[[#This Row],[Class]]="B", WORKDAY(Main[[#This Row],[Tech Start Date]],15),IF(Main[[#This Row],[Class]]="A",WORKDAY(Main[[#This Row],[Tech Start Date]],5),""))))</f>
        <v/>
      </c>
      <c r="P883" s="77" t="str">
        <f>IF(Main[[#This Row],[Tech Start Date]]&lt;1/1/1990,"",IF(Main[[#This Row],[Class]]="C",WORKDAY(Main[[#This Row],[Tech Start Date]],28),IF(Main[[#This Row],[Class]]="B", WORKDAY(Main[[#This Row],[Tech Start Date]],19),IF(Main[[#This Row],[Class]]="A",WORKDAY(Main[[#This Row],[Tech Start Date]],9),""))))</f>
        <v/>
      </c>
      <c r="Q883" s="74">
        <v>40959</v>
      </c>
      <c r="R883" s="74"/>
      <c r="S883" s="72" t="s">
        <v>17</v>
      </c>
      <c r="T883" s="80" t="s">
        <v>4</v>
      </c>
      <c r="U883" s="72" t="s">
        <v>7</v>
      </c>
      <c r="V883" s="72" t="s">
        <v>1937</v>
      </c>
      <c r="W883" s="72" t="s">
        <v>4</v>
      </c>
      <c r="X883" s="72" t="s">
        <v>972</v>
      </c>
      <c r="Y883" s="72" t="s">
        <v>3253</v>
      </c>
      <c r="Z883" s="72" t="s">
        <v>4</v>
      </c>
    </row>
    <row r="884" spans="1:26" ht="18.600000000000001" customHeight="1">
      <c r="A884" s="142" t="str">
        <f>IF(priority(Main[[#This Row],[Comments]])&lt;&gt;0, priority(Main[[#This Row],[Comments]]),"")</f>
        <v/>
      </c>
      <c r="B884" s="90" t="s">
        <v>1716</v>
      </c>
      <c r="C884" s="72" t="s">
        <v>47</v>
      </c>
      <c r="D884" s="73" t="s">
        <v>763</v>
      </c>
      <c r="E884" s="74"/>
      <c r="F884" s="74"/>
      <c r="G884" s="75" t="str">
        <f>IF(stdProdLT(Main[[#This Row],[Comments]])=0.1,"N/A",IF(stdProdLT(Main[[#This Row],[Comments]])=0,"",stdProdLT(Main[[#This Row],[Comments]])))</f>
        <v/>
      </c>
      <c r="H884" s="76" t="str">
        <f>IF(AND(Main[[#This Row],[In Stock Date]]&lt;&gt;"",Main[[#This Row],[Revised Due Date]]&lt;&gt;""),Main[[#This Row],[In Stock Date]]-Main[[#This Row],[Revised Due Date]],"")</f>
        <v/>
      </c>
      <c r="I884" s="72" t="s">
        <v>4</v>
      </c>
      <c r="J884" s="72" t="s">
        <v>4</v>
      </c>
      <c r="K884" s="81" t="s">
        <v>4</v>
      </c>
      <c r="L884" s="74"/>
      <c r="M884" s="77" t="str">
        <f>IF(Main[[#This Row],[Tech Start Date]]&lt;1/1/1990,"",IF(Main[[#This Row],[Class]]="C",WORKDAY(Main[[#This Row],[Tech Start Date]],9),IF(Main[[#This Row],[Class]]="B", WORKDAY(Main[[#This Row],[Tech Start Date]],6),IF(Main[[#This Row],[Class]]="A",WORKDAY(Main[[#This Row],[Tech Start Date]],2),""))))</f>
        <v/>
      </c>
      <c r="N884" s="77" t="str">
        <f>IF(Main[[#This Row],[Tech Start Date]]&lt;1/1/1990,"",IF(Main[[#This Row],[Class]]="C",WORKDAY(Main[[#This Row],[Tech Start Date]],19),IF(Main[[#This Row],[Class]]="B", WORKDAY(Main[[#This Row],[Tech Start Date]],12),IF(Main[[#This Row],[Class]]="A",WORKDAY(Main[[#This Row],[Tech Start Date]],4),""))))</f>
        <v/>
      </c>
      <c r="O884" s="77" t="str">
        <f>IF(Main[[#This Row],[Tech Start Date]]&lt;1/1/1990,"",IF(Main[[#This Row],[Class]]="C",WORKDAY(Main[[#This Row],[Tech Start Date]],23),IF(Main[[#This Row],[Class]]="B", WORKDAY(Main[[#This Row],[Tech Start Date]],15),IF(Main[[#This Row],[Class]]="A",WORKDAY(Main[[#This Row],[Tech Start Date]],5),""))))</f>
        <v/>
      </c>
      <c r="P884" s="77" t="str">
        <f>IF(Main[[#This Row],[Tech Start Date]]&lt;1/1/1990,"",IF(Main[[#This Row],[Class]]="C",WORKDAY(Main[[#This Row],[Tech Start Date]],28),IF(Main[[#This Row],[Class]]="B", WORKDAY(Main[[#This Row],[Tech Start Date]],19),IF(Main[[#This Row],[Class]]="A",WORKDAY(Main[[#This Row],[Tech Start Date]],9),""))))</f>
        <v/>
      </c>
      <c r="Q884" s="74"/>
      <c r="R884" s="74"/>
      <c r="S884" s="72" t="s">
        <v>49</v>
      </c>
      <c r="T884" s="80" t="s">
        <v>4</v>
      </c>
      <c r="U884" s="72" t="s">
        <v>14</v>
      </c>
      <c r="V884" s="72" t="s">
        <v>1940</v>
      </c>
      <c r="W884" s="72" t="s">
        <v>1941</v>
      </c>
      <c r="X884" s="72" t="s">
        <v>311</v>
      </c>
      <c r="Y884" s="72" t="s">
        <v>3099</v>
      </c>
      <c r="Z884" s="72" t="s">
        <v>4</v>
      </c>
    </row>
    <row r="885" spans="1:26" ht="18.600000000000001" customHeight="1">
      <c r="A885" s="142" t="str">
        <f>IF(priority(Main[[#This Row],[Comments]])&lt;&gt;0, priority(Main[[#This Row],[Comments]]),"")</f>
        <v/>
      </c>
      <c r="B885" s="90" t="s">
        <v>2125</v>
      </c>
      <c r="C885" s="72" t="s">
        <v>967</v>
      </c>
      <c r="D885" s="73" t="s">
        <v>2126</v>
      </c>
      <c r="E885" s="74"/>
      <c r="F885" s="74">
        <v>40871</v>
      </c>
      <c r="G885" s="75" t="str">
        <f>IF(stdProdLT(Main[[#This Row],[Comments]])=0.1,"N/A",IF(stdProdLT(Main[[#This Row],[Comments]])=0,"",stdProdLT(Main[[#This Row],[Comments]])))</f>
        <v/>
      </c>
      <c r="H885" s="76" t="str">
        <f>IF(AND(Main[[#This Row],[In Stock Date]]&lt;&gt;"",Main[[#This Row],[Revised Due Date]]&lt;&gt;""),Main[[#This Row],[In Stock Date]]-Main[[#This Row],[Revised Due Date]],"")</f>
        <v/>
      </c>
      <c r="I885" s="72" t="s">
        <v>4</v>
      </c>
      <c r="J885" s="72" t="s">
        <v>4</v>
      </c>
      <c r="K885" s="72" t="s">
        <v>4</v>
      </c>
      <c r="L885" s="74"/>
      <c r="M885" s="77" t="str">
        <f>IF(Main[[#This Row],[Tech Start Date]]&lt;1/1/1990,"",IF(Main[[#This Row],[Class]]="C",WORKDAY(Main[[#This Row],[Tech Start Date]],9),IF(Main[[#This Row],[Class]]="B", WORKDAY(Main[[#This Row],[Tech Start Date]],6),IF(Main[[#This Row],[Class]]="A",WORKDAY(Main[[#This Row],[Tech Start Date]],2),""))))</f>
        <v/>
      </c>
      <c r="N885" s="77" t="str">
        <f>IF(Main[[#This Row],[Tech Start Date]]&lt;1/1/1990,"",IF(Main[[#This Row],[Class]]="C",WORKDAY(Main[[#This Row],[Tech Start Date]],19),IF(Main[[#This Row],[Class]]="B", WORKDAY(Main[[#This Row],[Tech Start Date]],12),IF(Main[[#This Row],[Class]]="A",WORKDAY(Main[[#This Row],[Tech Start Date]],4),""))))</f>
        <v/>
      </c>
      <c r="O885" s="77" t="str">
        <f>IF(Main[[#This Row],[Tech Start Date]]&lt;1/1/1990,"",IF(Main[[#This Row],[Class]]="C",WORKDAY(Main[[#This Row],[Tech Start Date]],23),IF(Main[[#This Row],[Class]]="B", WORKDAY(Main[[#This Row],[Tech Start Date]],15),IF(Main[[#This Row],[Class]]="A",WORKDAY(Main[[#This Row],[Tech Start Date]],5),""))))</f>
        <v/>
      </c>
      <c r="P885" s="77" t="str">
        <f>IF(Main[[#This Row],[Tech Start Date]]&lt;1/1/1990,"",IF(Main[[#This Row],[Class]]="C",WORKDAY(Main[[#This Row],[Tech Start Date]],28),IF(Main[[#This Row],[Class]]="B", WORKDAY(Main[[#This Row],[Tech Start Date]],19),IF(Main[[#This Row],[Class]]="A",WORKDAY(Main[[#This Row],[Tech Start Date]],9),""))))</f>
        <v/>
      </c>
      <c r="Q885" s="74"/>
      <c r="R885" s="74"/>
      <c r="S885" s="72" t="s">
        <v>11</v>
      </c>
      <c r="T885" s="80" t="s">
        <v>4</v>
      </c>
      <c r="U885" s="72" t="s">
        <v>14</v>
      </c>
      <c r="V885" s="72" t="s">
        <v>1940</v>
      </c>
      <c r="W885" s="72" t="s">
        <v>1945</v>
      </c>
      <c r="X885" s="72" t="s">
        <v>50</v>
      </c>
      <c r="Y885" s="72" t="s">
        <v>3119</v>
      </c>
      <c r="Z885" s="72" t="s">
        <v>4</v>
      </c>
    </row>
    <row r="886" spans="1:26" ht="18.600000000000001" customHeight="1">
      <c r="A886" s="142" t="str">
        <f>IF(priority(Main[[#This Row],[Comments]])&lt;&gt;0, priority(Main[[#This Row],[Comments]]),"")</f>
        <v/>
      </c>
      <c r="B886" s="90" t="s">
        <v>1921</v>
      </c>
      <c r="C886" s="72" t="s">
        <v>72</v>
      </c>
      <c r="D886" s="73" t="s">
        <v>2141</v>
      </c>
      <c r="E886" s="74">
        <v>40469.926608796297</v>
      </c>
      <c r="F886" s="74">
        <v>40487</v>
      </c>
      <c r="G886" s="75">
        <f>IF(stdProdLT(Main[[#This Row],[Comments]])=0.1,"N/A",IF(stdProdLT(Main[[#This Row],[Comments]])=0,"",stdProdLT(Main[[#This Row],[Comments]])))</f>
        <v>42</v>
      </c>
      <c r="H886" s="76">
        <f>IF(AND(Main[[#This Row],[In Stock Date]]&lt;&gt;"",Main[[#This Row],[Revised Due Date]]&lt;&gt;""),Main[[#This Row],[In Stock Date]]-Main[[#This Row],[Revised Due Date]],"")</f>
        <v>-294</v>
      </c>
      <c r="I886" s="72" t="s">
        <v>2080</v>
      </c>
      <c r="J886" s="72" t="s">
        <v>52</v>
      </c>
      <c r="K886" s="72" t="s">
        <v>1950</v>
      </c>
      <c r="L886" s="74"/>
      <c r="M886" s="77" t="str">
        <f>IF(Main[[#This Row],[Tech Start Date]]&lt;1/1/1990,"",IF(Main[[#This Row],[Class]]="C",WORKDAY(Main[[#This Row],[Tech Start Date]],9),IF(Main[[#This Row],[Class]]="B", WORKDAY(Main[[#This Row],[Tech Start Date]],6),IF(Main[[#This Row],[Class]]="A",WORKDAY(Main[[#This Row],[Tech Start Date]],2),""))))</f>
        <v/>
      </c>
      <c r="N886" s="77" t="str">
        <f>IF(Main[[#This Row],[Tech Start Date]]&lt;1/1/1990,"",IF(Main[[#This Row],[Class]]="C",WORKDAY(Main[[#This Row],[Tech Start Date]],19),IF(Main[[#This Row],[Class]]="B", WORKDAY(Main[[#This Row],[Tech Start Date]],12),IF(Main[[#This Row],[Class]]="A",WORKDAY(Main[[#This Row],[Tech Start Date]],4),""))))</f>
        <v/>
      </c>
      <c r="O886" s="77" t="str">
        <f>IF(Main[[#This Row],[Tech Start Date]]&lt;1/1/1990,"",IF(Main[[#This Row],[Class]]="C",WORKDAY(Main[[#This Row],[Tech Start Date]],23),IF(Main[[#This Row],[Class]]="B", WORKDAY(Main[[#This Row],[Tech Start Date]],15),IF(Main[[#This Row],[Class]]="A",WORKDAY(Main[[#This Row],[Tech Start Date]],5),""))))</f>
        <v/>
      </c>
      <c r="P886" s="77" t="str">
        <f>IF(Main[[#This Row],[Tech Start Date]]&lt;1/1/1990,"",IF(Main[[#This Row],[Class]]="C",WORKDAY(Main[[#This Row],[Tech Start Date]],28),IF(Main[[#This Row],[Class]]="B", WORKDAY(Main[[#This Row],[Tech Start Date]],19),IF(Main[[#This Row],[Class]]="A",WORKDAY(Main[[#This Row],[Tech Start Date]],9),""))))</f>
        <v/>
      </c>
      <c r="Q886" s="74"/>
      <c r="R886" s="74">
        <v>40781</v>
      </c>
      <c r="S886" s="72" t="s">
        <v>6</v>
      </c>
      <c r="T886" s="80" t="s">
        <v>2142</v>
      </c>
      <c r="U886" s="72" t="s">
        <v>29</v>
      </c>
      <c r="V886" s="72" t="s">
        <v>1938</v>
      </c>
      <c r="W886" s="72" t="s">
        <v>1939</v>
      </c>
      <c r="X886" s="72" t="s">
        <v>3053</v>
      </c>
      <c r="Y886" s="72" t="s">
        <v>3237</v>
      </c>
      <c r="Z886" s="72" t="s">
        <v>108</v>
      </c>
    </row>
    <row r="887" spans="1:26" ht="18.600000000000001" customHeight="1">
      <c r="A887" s="142" t="str">
        <f>IF(priority(Main[[#This Row],[Comments]])&lt;&gt;0, priority(Main[[#This Row],[Comments]]),"")</f>
        <v/>
      </c>
      <c r="B887" s="90" t="s">
        <v>1885</v>
      </c>
      <c r="C887" s="72" t="s">
        <v>31</v>
      </c>
      <c r="D887" s="73" t="s">
        <v>933</v>
      </c>
      <c r="E887" s="74"/>
      <c r="F887" s="74">
        <v>40664</v>
      </c>
      <c r="G887" s="75" t="str">
        <f>IF(stdProdLT(Main[[#This Row],[Comments]])=0.1,"N/A",IF(stdProdLT(Main[[#This Row],[Comments]])=0,"",stdProdLT(Main[[#This Row],[Comments]])))</f>
        <v/>
      </c>
      <c r="H887" s="76">
        <f>IF(AND(Main[[#This Row],[In Stock Date]]&lt;&gt;"",Main[[#This Row],[Revised Due Date]]&lt;&gt;""),Main[[#This Row],[In Stock Date]]-Main[[#This Row],[Revised Due Date]],"")</f>
        <v>87</v>
      </c>
      <c r="I887" s="72" t="s">
        <v>423</v>
      </c>
      <c r="J887" s="72" t="s">
        <v>75</v>
      </c>
      <c r="K887" s="72" t="s">
        <v>1946</v>
      </c>
      <c r="L887" s="74"/>
      <c r="M887" s="77" t="str">
        <f>IF(Main[[#This Row],[Tech Start Date]]&lt;1/1/1990,"",IF(Main[[#This Row],[Class]]="C",WORKDAY(Main[[#This Row],[Tech Start Date]],9),IF(Main[[#This Row],[Class]]="B", WORKDAY(Main[[#This Row],[Tech Start Date]],6),IF(Main[[#This Row],[Class]]="A",WORKDAY(Main[[#This Row],[Tech Start Date]],2),""))))</f>
        <v/>
      </c>
      <c r="N887" s="77" t="str">
        <f>IF(Main[[#This Row],[Tech Start Date]]&lt;1/1/1990,"",IF(Main[[#This Row],[Class]]="C",WORKDAY(Main[[#This Row],[Tech Start Date]],19),IF(Main[[#This Row],[Class]]="B", WORKDAY(Main[[#This Row],[Tech Start Date]],12),IF(Main[[#This Row],[Class]]="A",WORKDAY(Main[[#This Row],[Tech Start Date]],4),""))))</f>
        <v/>
      </c>
      <c r="O887" s="77" t="str">
        <f>IF(Main[[#This Row],[Tech Start Date]]&lt;1/1/1990,"",IF(Main[[#This Row],[Class]]="C",WORKDAY(Main[[#This Row],[Tech Start Date]],23),IF(Main[[#This Row],[Class]]="B", WORKDAY(Main[[#This Row],[Tech Start Date]],15),IF(Main[[#This Row],[Class]]="A",WORKDAY(Main[[#This Row],[Tech Start Date]],5),""))))</f>
        <v/>
      </c>
      <c r="P887" s="77" t="str">
        <f>IF(Main[[#This Row],[Tech Start Date]]&lt;1/1/1990,"",IF(Main[[#This Row],[Class]]="C",WORKDAY(Main[[#This Row],[Tech Start Date]],28),IF(Main[[#This Row],[Class]]="B", WORKDAY(Main[[#This Row],[Tech Start Date]],19),IF(Main[[#This Row],[Class]]="A",WORKDAY(Main[[#This Row],[Tech Start Date]],9),""))))</f>
        <v/>
      </c>
      <c r="Q887" s="74">
        <v>40589</v>
      </c>
      <c r="R887" s="74">
        <v>40577</v>
      </c>
      <c r="S887" s="72" t="s">
        <v>11</v>
      </c>
      <c r="T887" s="80" t="s">
        <v>4</v>
      </c>
      <c r="U887" s="72" t="s">
        <v>14</v>
      </c>
      <c r="V887" s="72" t="s">
        <v>1940</v>
      </c>
      <c r="W887" s="72" t="s">
        <v>1943</v>
      </c>
      <c r="X887" s="72" t="s">
        <v>2977</v>
      </c>
      <c r="Y887" s="72" t="s">
        <v>3125</v>
      </c>
      <c r="Z887" s="72" t="s">
        <v>536</v>
      </c>
    </row>
    <row r="888" spans="1:26" ht="18.600000000000001" customHeight="1">
      <c r="A888" s="142" t="str">
        <f>IF(priority(Main[[#This Row],[Comments]])&lt;&gt;0, priority(Main[[#This Row],[Comments]]),"")</f>
        <v/>
      </c>
      <c r="B888" s="90" t="s">
        <v>1713</v>
      </c>
      <c r="C888" s="72" t="s">
        <v>4</v>
      </c>
      <c r="D888" s="73" t="s">
        <v>760</v>
      </c>
      <c r="E888" s="74"/>
      <c r="F888" s="74"/>
      <c r="G888" s="75" t="str">
        <f>IF(stdProdLT(Main[[#This Row],[Comments]])=0.1,"N/A",IF(stdProdLT(Main[[#This Row],[Comments]])=0,"",stdProdLT(Main[[#This Row],[Comments]])))</f>
        <v/>
      </c>
      <c r="H888" s="76" t="str">
        <f>IF(AND(Main[[#This Row],[In Stock Date]]&lt;&gt;"",Main[[#This Row],[Revised Due Date]]&lt;&gt;""),Main[[#This Row],[In Stock Date]]-Main[[#This Row],[Revised Due Date]],"")</f>
        <v/>
      </c>
      <c r="I888" s="72" t="s">
        <v>4</v>
      </c>
      <c r="J888" s="72" t="s">
        <v>28</v>
      </c>
      <c r="K888" s="72" t="s">
        <v>1949</v>
      </c>
      <c r="L888" s="74"/>
      <c r="M888" s="77" t="str">
        <f>IF(Main[[#This Row],[Tech Start Date]]&lt;1/1/1990,"",IF(Main[[#This Row],[Class]]="C",WORKDAY(Main[[#This Row],[Tech Start Date]],9),IF(Main[[#This Row],[Class]]="B", WORKDAY(Main[[#This Row],[Tech Start Date]],6),IF(Main[[#This Row],[Class]]="A",WORKDAY(Main[[#This Row],[Tech Start Date]],2),""))))</f>
        <v/>
      </c>
      <c r="N888" s="77" t="str">
        <f>IF(Main[[#This Row],[Tech Start Date]]&lt;1/1/1990,"",IF(Main[[#This Row],[Class]]="C",WORKDAY(Main[[#This Row],[Tech Start Date]],19),IF(Main[[#This Row],[Class]]="B", WORKDAY(Main[[#This Row],[Tech Start Date]],12),IF(Main[[#This Row],[Class]]="A",WORKDAY(Main[[#This Row],[Tech Start Date]],4),""))))</f>
        <v/>
      </c>
      <c r="O888" s="77" t="str">
        <f>IF(Main[[#This Row],[Tech Start Date]]&lt;1/1/1990,"",IF(Main[[#This Row],[Class]]="C",WORKDAY(Main[[#This Row],[Tech Start Date]],23),IF(Main[[#This Row],[Class]]="B", WORKDAY(Main[[#This Row],[Tech Start Date]],15),IF(Main[[#This Row],[Class]]="A",WORKDAY(Main[[#This Row],[Tech Start Date]],5),""))))</f>
        <v/>
      </c>
      <c r="P888" s="77" t="str">
        <f>IF(Main[[#This Row],[Tech Start Date]]&lt;1/1/1990,"",IF(Main[[#This Row],[Class]]="C",WORKDAY(Main[[#This Row],[Tech Start Date]],28),IF(Main[[#This Row],[Class]]="B", WORKDAY(Main[[#This Row],[Tech Start Date]],19),IF(Main[[#This Row],[Class]]="A",WORKDAY(Main[[#This Row],[Tech Start Date]],9),""))))</f>
        <v/>
      </c>
      <c r="Q888" s="74">
        <v>40522</v>
      </c>
      <c r="R888" s="74"/>
      <c r="S888" s="72" t="s">
        <v>17</v>
      </c>
      <c r="T888" s="80" t="s">
        <v>4</v>
      </c>
      <c r="U888" s="72" t="s">
        <v>14</v>
      </c>
      <c r="V888" s="72" t="s">
        <v>1937</v>
      </c>
      <c r="W888" s="72" t="s">
        <v>1942</v>
      </c>
      <c r="X888" s="72" t="s">
        <v>3014</v>
      </c>
      <c r="Y888" s="72" t="s">
        <v>3164</v>
      </c>
      <c r="Z888" s="72" t="s">
        <v>129</v>
      </c>
    </row>
    <row r="889" spans="1:26" ht="18.600000000000001" customHeight="1">
      <c r="A889" s="142" t="str">
        <f>IF(priority(Main[[#This Row],[Comments]])&lt;&gt;0, priority(Main[[#This Row],[Comments]]),"")</f>
        <v/>
      </c>
      <c r="B889" s="90" t="s">
        <v>1714</v>
      </c>
      <c r="C889" s="72" t="s">
        <v>67</v>
      </c>
      <c r="D889" s="73" t="s">
        <v>761</v>
      </c>
      <c r="E889" s="74"/>
      <c r="F889" s="74"/>
      <c r="G889" s="75" t="str">
        <f>IF(stdProdLT(Main[[#This Row],[Comments]])=0.1,"N/A",IF(stdProdLT(Main[[#This Row],[Comments]])=0,"",stdProdLT(Main[[#This Row],[Comments]])))</f>
        <v/>
      </c>
      <c r="H889" s="76" t="str">
        <f>IF(AND(Main[[#This Row],[In Stock Date]]&lt;&gt;"",Main[[#This Row],[Revised Due Date]]&lt;&gt;""),Main[[#This Row],[In Stock Date]]-Main[[#This Row],[Revised Due Date]],"")</f>
        <v/>
      </c>
      <c r="I889" s="72" t="s">
        <v>4</v>
      </c>
      <c r="J889" s="72" t="s">
        <v>4</v>
      </c>
      <c r="K889" s="72" t="s">
        <v>4</v>
      </c>
      <c r="L889" s="74"/>
      <c r="M889" s="77" t="str">
        <f>IF(Main[[#This Row],[Tech Start Date]]&lt;1/1/1990,"",IF(Main[[#This Row],[Class]]="C",WORKDAY(Main[[#This Row],[Tech Start Date]],9),IF(Main[[#This Row],[Class]]="B", WORKDAY(Main[[#This Row],[Tech Start Date]],6),IF(Main[[#This Row],[Class]]="A",WORKDAY(Main[[#This Row],[Tech Start Date]],2),""))))</f>
        <v/>
      </c>
      <c r="N889" s="77" t="str">
        <f>IF(Main[[#This Row],[Tech Start Date]]&lt;1/1/1990,"",IF(Main[[#This Row],[Class]]="C",WORKDAY(Main[[#This Row],[Tech Start Date]],19),IF(Main[[#This Row],[Class]]="B", WORKDAY(Main[[#This Row],[Tech Start Date]],12),IF(Main[[#This Row],[Class]]="A",WORKDAY(Main[[#This Row],[Tech Start Date]],4),""))))</f>
        <v/>
      </c>
      <c r="O889" s="77" t="str">
        <f>IF(Main[[#This Row],[Tech Start Date]]&lt;1/1/1990,"",IF(Main[[#This Row],[Class]]="C",WORKDAY(Main[[#This Row],[Tech Start Date]],23),IF(Main[[#This Row],[Class]]="B", WORKDAY(Main[[#This Row],[Tech Start Date]],15),IF(Main[[#This Row],[Class]]="A",WORKDAY(Main[[#This Row],[Tech Start Date]],5),""))))</f>
        <v/>
      </c>
      <c r="P889" s="77" t="str">
        <f>IF(Main[[#This Row],[Tech Start Date]]&lt;1/1/1990,"",IF(Main[[#This Row],[Class]]="C",WORKDAY(Main[[#This Row],[Tech Start Date]],28),IF(Main[[#This Row],[Class]]="B", WORKDAY(Main[[#This Row],[Tech Start Date]],19),IF(Main[[#This Row],[Class]]="A",WORKDAY(Main[[#This Row],[Tech Start Date]],9),""))))</f>
        <v/>
      </c>
      <c r="Q889" s="74">
        <v>40241</v>
      </c>
      <c r="R889" s="74"/>
      <c r="S889" s="72" t="s">
        <v>11</v>
      </c>
      <c r="T889" s="80" t="s">
        <v>4</v>
      </c>
      <c r="U889" s="72" t="s">
        <v>14</v>
      </c>
      <c r="V889" s="72" t="s">
        <v>1947</v>
      </c>
      <c r="W889" s="72" t="s">
        <v>1939</v>
      </c>
      <c r="X889" s="72" t="s">
        <v>560</v>
      </c>
      <c r="Y889" s="72" t="s">
        <v>4</v>
      </c>
      <c r="Z889" s="72" t="s">
        <v>4</v>
      </c>
    </row>
    <row r="890" spans="1:26" ht="18.600000000000001" customHeight="1">
      <c r="A890" s="142" t="str">
        <f>IF(priority(Main[[#This Row],[Comments]])&lt;&gt;0, priority(Main[[#This Row],[Comments]]),"")</f>
        <v/>
      </c>
      <c r="B890" s="90" t="s">
        <v>1715</v>
      </c>
      <c r="C890" s="72" t="s">
        <v>4</v>
      </c>
      <c r="D890" s="73" t="s">
        <v>762</v>
      </c>
      <c r="E890" s="74"/>
      <c r="F890" s="74"/>
      <c r="G890" s="75" t="str">
        <f>IF(stdProdLT(Main[[#This Row],[Comments]])=0.1,"N/A",IF(stdProdLT(Main[[#This Row],[Comments]])=0,"",stdProdLT(Main[[#This Row],[Comments]])))</f>
        <v/>
      </c>
      <c r="H890" s="76" t="str">
        <f>IF(AND(Main[[#This Row],[In Stock Date]]&lt;&gt;"",Main[[#This Row],[Revised Due Date]]&lt;&gt;""),Main[[#This Row],[In Stock Date]]-Main[[#This Row],[Revised Due Date]],"")</f>
        <v/>
      </c>
      <c r="I890" s="72" t="s">
        <v>4</v>
      </c>
      <c r="J890" s="72" t="s">
        <v>28</v>
      </c>
      <c r="K890" s="72" t="s">
        <v>4</v>
      </c>
      <c r="L890" s="74"/>
      <c r="M890" s="77" t="str">
        <f>IF(Main[[#This Row],[Tech Start Date]]&lt;1/1/1990,"",IF(Main[[#This Row],[Class]]="C",WORKDAY(Main[[#This Row],[Tech Start Date]],9),IF(Main[[#This Row],[Class]]="B", WORKDAY(Main[[#This Row],[Tech Start Date]],6),IF(Main[[#This Row],[Class]]="A",WORKDAY(Main[[#This Row],[Tech Start Date]],2),""))))</f>
        <v/>
      </c>
      <c r="N890" s="77" t="str">
        <f>IF(Main[[#This Row],[Tech Start Date]]&lt;1/1/1990,"",IF(Main[[#This Row],[Class]]="C",WORKDAY(Main[[#This Row],[Tech Start Date]],19),IF(Main[[#This Row],[Class]]="B", WORKDAY(Main[[#This Row],[Tech Start Date]],12),IF(Main[[#This Row],[Class]]="A",WORKDAY(Main[[#This Row],[Tech Start Date]],4),""))))</f>
        <v/>
      </c>
      <c r="O890" s="77" t="str">
        <f>IF(Main[[#This Row],[Tech Start Date]]&lt;1/1/1990,"",IF(Main[[#This Row],[Class]]="C",WORKDAY(Main[[#This Row],[Tech Start Date]],23),IF(Main[[#This Row],[Class]]="B", WORKDAY(Main[[#This Row],[Tech Start Date]],15),IF(Main[[#This Row],[Class]]="A",WORKDAY(Main[[#This Row],[Tech Start Date]],5),""))))</f>
        <v/>
      </c>
      <c r="P890" s="77" t="str">
        <f>IF(Main[[#This Row],[Tech Start Date]]&lt;1/1/1990,"",IF(Main[[#This Row],[Class]]="C",WORKDAY(Main[[#This Row],[Tech Start Date]],28),IF(Main[[#This Row],[Class]]="B", WORKDAY(Main[[#This Row],[Tech Start Date]],19),IF(Main[[#This Row],[Class]]="A",WORKDAY(Main[[#This Row],[Tech Start Date]],9),""))))</f>
        <v/>
      </c>
      <c r="Q890" s="74">
        <v>40471</v>
      </c>
      <c r="R890" s="74"/>
      <c r="S890" s="72" t="s">
        <v>6</v>
      </c>
      <c r="T890" s="80" t="s">
        <v>4</v>
      </c>
      <c r="U890" s="72" t="s">
        <v>14</v>
      </c>
      <c r="V890" s="72" t="s">
        <v>1947</v>
      </c>
      <c r="W890" s="72" t="s">
        <v>1939</v>
      </c>
      <c r="X890" s="72" t="s">
        <v>2999</v>
      </c>
      <c r="Y890" s="72" t="s">
        <v>3136</v>
      </c>
      <c r="Z890" s="72" t="s">
        <v>536</v>
      </c>
    </row>
    <row r="891" spans="1:26" ht="18.600000000000001" customHeight="1">
      <c r="A891" s="142" t="str">
        <f>IF(priority(Main[[#This Row],[Comments]])&lt;&gt;0, priority(Main[[#This Row],[Comments]]),"")</f>
        <v/>
      </c>
      <c r="B891" s="90" t="s">
        <v>1718</v>
      </c>
      <c r="C891" s="72" t="s">
        <v>280</v>
      </c>
      <c r="D891" s="73" t="s">
        <v>765</v>
      </c>
      <c r="E891" s="74"/>
      <c r="F891" s="74">
        <v>40451</v>
      </c>
      <c r="G891" s="75" t="str">
        <f>IF(stdProdLT(Main[[#This Row],[Comments]])=0.1,"N/A",IF(stdProdLT(Main[[#This Row],[Comments]])=0,"",stdProdLT(Main[[#This Row],[Comments]])))</f>
        <v/>
      </c>
      <c r="H891" s="76" t="str">
        <f>IF(AND(Main[[#This Row],[In Stock Date]]&lt;&gt;"",Main[[#This Row],[Revised Due Date]]&lt;&gt;""),Main[[#This Row],[In Stock Date]]-Main[[#This Row],[Revised Due Date]],"")</f>
        <v/>
      </c>
      <c r="I891" s="72" t="s">
        <v>4</v>
      </c>
      <c r="J891" s="72" t="s">
        <v>4</v>
      </c>
      <c r="K891" s="72" t="s">
        <v>4</v>
      </c>
      <c r="L891" s="74"/>
      <c r="M891" s="77" t="str">
        <f>IF(Main[[#This Row],[Tech Start Date]]&lt;1/1/1990,"",IF(Main[[#This Row],[Class]]="C",WORKDAY(Main[[#This Row],[Tech Start Date]],9),IF(Main[[#This Row],[Class]]="B", WORKDAY(Main[[#This Row],[Tech Start Date]],6),IF(Main[[#This Row],[Class]]="A",WORKDAY(Main[[#This Row],[Tech Start Date]],2),""))))</f>
        <v/>
      </c>
      <c r="N891" s="77" t="str">
        <f>IF(Main[[#This Row],[Tech Start Date]]&lt;1/1/1990,"",IF(Main[[#This Row],[Class]]="C",WORKDAY(Main[[#This Row],[Tech Start Date]],19),IF(Main[[#This Row],[Class]]="B", WORKDAY(Main[[#This Row],[Tech Start Date]],12),IF(Main[[#This Row],[Class]]="A",WORKDAY(Main[[#This Row],[Tech Start Date]],4),""))))</f>
        <v/>
      </c>
      <c r="O891" s="77" t="str">
        <f>IF(Main[[#This Row],[Tech Start Date]]&lt;1/1/1990,"",IF(Main[[#This Row],[Class]]="C",WORKDAY(Main[[#This Row],[Tech Start Date]],23),IF(Main[[#This Row],[Class]]="B", WORKDAY(Main[[#This Row],[Tech Start Date]],15),IF(Main[[#This Row],[Class]]="A",WORKDAY(Main[[#This Row],[Tech Start Date]],5),""))))</f>
        <v/>
      </c>
      <c r="P891" s="77" t="str">
        <f>IF(Main[[#This Row],[Tech Start Date]]&lt;1/1/1990,"",IF(Main[[#This Row],[Class]]="C",WORKDAY(Main[[#This Row],[Tech Start Date]],28),IF(Main[[#This Row],[Class]]="B", WORKDAY(Main[[#This Row],[Tech Start Date]],19),IF(Main[[#This Row],[Class]]="A",WORKDAY(Main[[#This Row],[Tech Start Date]],9),""))))</f>
        <v/>
      </c>
      <c r="Q891" s="74">
        <v>40269</v>
      </c>
      <c r="R891" s="74"/>
      <c r="S891" s="72" t="s">
        <v>11</v>
      </c>
      <c r="T891" s="80" t="s">
        <v>4</v>
      </c>
      <c r="U891" s="72" t="s">
        <v>14</v>
      </c>
      <c r="V891" s="72" t="s">
        <v>1940</v>
      </c>
      <c r="W891" s="72" t="s">
        <v>1942</v>
      </c>
      <c r="X891" s="72" t="s">
        <v>65</v>
      </c>
      <c r="Y891" s="72" t="s">
        <v>4</v>
      </c>
      <c r="Z891" s="72" t="s">
        <v>4</v>
      </c>
    </row>
    <row r="892" spans="1:26" ht="18.600000000000001" customHeight="1">
      <c r="A892" s="142" t="str">
        <f>IF(priority(Main[[#This Row],[Comments]])&lt;&gt;0, priority(Main[[#This Row],[Comments]]),"")</f>
        <v/>
      </c>
      <c r="B892" s="90" t="s">
        <v>1725</v>
      </c>
      <c r="C892" s="72" t="s">
        <v>31</v>
      </c>
      <c r="D892" s="73" t="s">
        <v>766</v>
      </c>
      <c r="E892" s="74"/>
      <c r="F892" s="74">
        <v>40602</v>
      </c>
      <c r="G892" s="75" t="str">
        <f>IF(stdProdLT(Main[[#This Row],[Comments]])=0.1,"N/A",IF(stdProdLT(Main[[#This Row],[Comments]])=0,"",stdProdLT(Main[[#This Row],[Comments]])))</f>
        <v/>
      </c>
      <c r="H892" s="76" t="str">
        <f>IF(AND(Main[[#This Row],[In Stock Date]]&lt;&gt;"",Main[[#This Row],[Revised Due Date]]&lt;&gt;""),Main[[#This Row],[In Stock Date]]-Main[[#This Row],[Revised Due Date]],"")</f>
        <v/>
      </c>
      <c r="I892" s="72" t="s">
        <v>404</v>
      </c>
      <c r="J892" s="72" t="s">
        <v>75</v>
      </c>
      <c r="K892" s="81" t="s">
        <v>1946</v>
      </c>
      <c r="L892" s="74"/>
      <c r="M892" s="77" t="str">
        <f>IF(Main[[#This Row],[Tech Start Date]]&lt;1/1/1990,"",IF(Main[[#This Row],[Class]]="C",WORKDAY(Main[[#This Row],[Tech Start Date]],9),IF(Main[[#This Row],[Class]]="B", WORKDAY(Main[[#This Row],[Tech Start Date]],6),IF(Main[[#This Row],[Class]]="A",WORKDAY(Main[[#This Row],[Tech Start Date]],2),""))))</f>
        <v/>
      </c>
      <c r="N892" s="77" t="str">
        <f>IF(Main[[#This Row],[Tech Start Date]]&lt;1/1/1990,"",IF(Main[[#This Row],[Class]]="C",WORKDAY(Main[[#This Row],[Tech Start Date]],19),IF(Main[[#This Row],[Class]]="B", WORKDAY(Main[[#This Row],[Tech Start Date]],12),IF(Main[[#This Row],[Class]]="A",WORKDAY(Main[[#This Row],[Tech Start Date]],4),""))))</f>
        <v/>
      </c>
      <c r="O892" s="77" t="str">
        <f>IF(Main[[#This Row],[Tech Start Date]]&lt;1/1/1990,"",IF(Main[[#This Row],[Class]]="C",WORKDAY(Main[[#This Row],[Tech Start Date]],23),IF(Main[[#This Row],[Class]]="B", WORKDAY(Main[[#This Row],[Tech Start Date]],15),IF(Main[[#This Row],[Class]]="A",WORKDAY(Main[[#This Row],[Tech Start Date]],5),""))))</f>
        <v/>
      </c>
      <c r="P892" s="77" t="str">
        <f>IF(Main[[#This Row],[Tech Start Date]]&lt;1/1/1990,"",IF(Main[[#This Row],[Class]]="C",WORKDAY(Main[[#This Row],[Tech Start Date]],28),IF(Main[[#This Row],[Class]]="B", WORKDAY(Main[[#This Row],[Tech Start Date]],19),IF(Main[[#This Row],[Class]]="A",WORKDAY(Main[[#This Row],[Tech Start Date]],9),""))))</f>
        <v/>
      </c>
      <c r="Q892" s="74"/>
      <c r="R892" s="74"/>
      <c r="S892" s="72" t="s">
        <v>11</v>
      </c>
      <c r="T892" s="80" t="s">
        <v>4</v>
      </c>
      <c r="U892" s="72" t="s">
        <v>14</v>
      </c>
      <c r="V892" s="72" t="s">
        <v>1940</v>
      </c>
      <c r="W892" s="72" t="s">
        <v>1943</v>
      </c>
      <c r="X892" s="72" t="s">
        <v>50</v>
      </c>
      <c r="Y892" s="72" t="s">
        <v>3119</v>
      </c>
      <c r="Z892" s="72" t="s">
        <v>311</v>
      </c>
    </row>
    <row r="893" spans="1:26" ht="18.600000000000001" customHeight="1">
      <c r="A893" s="142" t="str">
        <f>IF(priority(Main[[#This Row],[Comments]])&lt;&gt;0, priority(Main[[#This Row],[Comments]]),"")</f>
        <v/>
      </c>
      <c r="B893" s="90" t="s">
        <v>1726</v>
      </c>
      <c r="C893" s="72" t="s">
        <v>93</v>
      </c>
      <c r="D893" s="73" t="s">
        <v>767</v>
      </c>
      <c r="E893" s="74"/>
      <c r="F893" s="74">
        <v>40302</v>
      </c>
      <c r="G893" s="75" t="str">
        <f>IF(stdProdLT(Main[[#This Row],[Comments]])=0.1,"N/A",IF(stdProdLT(Main[[#This Row],[Comments]])=0,"",stdProdLT(Main[[#This Row],[Comments]])))</f>
        <v/>
      </c>
      <c r="H893" s="76" t="str">
        <f>IF(AND(Main[[#This Row],[In Stock Date]]&lt;&gt;"",Main[[#This Row],[Revised Due Date]]&lt;&gt;""),Main[[#This Row],[In Stock Date]]-Main[[#This Row],[Revised Due Date]],"")</f>
        <v/>
      </c>
      <c r="I893" s="72" t="s">
        <v>4</v>
      </c>
      <c r="J893" s="72" t="s">
        <v>4</v>
      </c>
      <c r="K893" s="72" t="s">
        <v>4</v>
      </c>
      <c r="L893" s="74"/>
      <c r="M893" s="77" t="str">
        <f>IF(Main[[#This Row],[Tech Start Date]]&lt;1/1/1990,"",IF(Main[[#This Row],[Class]]="C",WORKDAY(Main[[#This Row],[Tech Start Date]],9),IF(Main[[#This Row],[Class]]="B", WORKDAY(Main[[#This Row],[Tech Start Date]],6),IF(Main[[#This Row],[Class]]="A",WORKDAY(Main[[#This Row],[Tech Start Date]],2),""))))</f>
        <v/>
      </c>
      <c r="N893" s="77" t="str">
        <f>IF(Main[[#This Row],[Tech Start Date]]&lt;1/1/1990,"",IF(Main[[#This Row],[Class]]="C",WORKDAY(Main[[#This Row],[Tech Start Date]],19),IF(Main[[#This Row],[Class]]="B", WORKDAY(Main[[#This Row],[Tech Start Date]],12),IF(Main[[#This Row],[Class]]="A",WORKDAY(Main[[#This Row],[Tech Start Date]],4),""))))</f>
        <v/>
      </c>
      <c r="O893" s="77" t="str">
        <f>IF(Main[[#This Row],[Tech Start Date]]&lt;1/1/1990,"",IF(Main[[#This Row],[Class]]="C",WORKDAY(Main[[#This Row],[Tech Start Date]],23),IF(Main[[#This Row],[Class]]="B", WORKDAY(Main[[#This Row],[Tech Start Date]],15),IF(Main[[#This Row],[Class]]="A",WORKDAY(Main[[#This Row],[Tech Start Date]],5),""))))</f>
        <v/>
      </c>
      <c r="P893" s="77" t="str">
        <f>IF(Main[[#This Row],[Tech Start Date]]&lt;1/1/1990,"",IF(Main[[#This Row],[Class]]="C",WORKDAY(Main[[#This Row],[Tech Start Date]],28),IF(Main[[#This Row],[Class]]="B", WORKDAY(Main[[#This Row],[Tech Start Date]],19),IF(Main[[#This Row],[Class]]="A",WORKDAY(Main[[#This Row],[Tech Start Date]],9),""))))</f>
        <v/>
      </c>
      <c r="Q893" s="74">
        <v>40190</v>
      </c>
      <c r="R893" s="74"/>
      <c r="S893" s="72" t="s">
        <v>11</v>
      </c>
      <c r="T893" s="80" t="s">
        <v>4</v>
      </c>
      <c r="U893" s="72" t="s">
        <v>12</v>
      </c>
      <c r="V893" s="72" t="s">
        <v>1947</v>
      </c>
      <c r="W893" s="72" t="s">
        <v>1943</v>
      </c>
      <c r="X893" s="72" t="s">
        <v>3050</v>
      </c>
      <c r="Y893" s="72" t="s">
        <v>4</v>
      </c>
      <c r="Z893" s="72" t="s">
        <v>4</v>
      </c>
    </row>
    <row r="894" spans="1:26" ht="18.600000000000001" customHeight="1">
      <c r="A894" s="142" t="str">
        <f>IF(priority(Main[[#This Row],[Comments]])&lt;&gt;0, priority(Main[[#This Row],[Comments]]),"")</f>
        <v/>
      </c>
      <c r="B894" s="90" t="s">
        <v>1883</v>
      </c>
      <c r="C894" s="72" t="s">
        <v>31</v>
      </c>
      <c r="D894" s="73" t="s">
        <v>932</v>
      </c>
      <c r="E894" s="74"/>
      <c r="F894" s="74">
        <v>40664</v>
      </c>
      <c r="G894" s="75" t="str">
        <f>IF(stdProdLT(Main[[#This Row],[Comments]])=0.1,"N/A",IF(stdProdLT(Main[[#This Row],[Comments]])=0,"",stdProdLT(Main[[#This Row],[Comments]])))</f>
        <v/>
      </c>
      <c r="H894" s="76">
        <f>IF(AND(Main[[#This Row],[In Stock Date]]&lt;&gt;"",Main[[#This Row],[Revised Due Date]]&lt;&gt;""),Main[[#This Row],[In Stock Date]]-Main[[#This Row],[Revised Due Date]],"")</f>
        <v>87</v>
      </c>
      <c r="I894" s="72" t="s">
        <v>404</v>
      </c>
      <c r="J894" s="72" t="s">
        <v>75</v>
      </c>
      <c r="K894" s="72" t="s">
        <v>1946</v>
      </c>
      <c r="L894" s="74"/>
      <c r="M894" s="77" t="str">
        <f>IF(Main[[#This Row],[Tech Start Date]]&lt;1/1/1990,"",IF(Main[[#This Row],[Class]]="C",WORKDAY(Main[[#This Row],[Tech Start Date]],9),IF(Main[[#This Row],[Class]]="B", WORKDAY(Main[[#This Row],[Tech Start Date]],6),IF(Main[[#This Row],[Class]]="A",WORKDAY(Main[[#This Row],[Tech Start Date]],2),""))))</f>
        <v/>
      </c>
      <c r="N894" s="77" t="str">
        <f>IF(Main[[#This Row],[Tech Start Date]]&lt;1/1/1990,"",IF(Main[[#This Row],[Class]]="C",WORKDAY(Main[[#This Row],[Tech Start Date]],19),IF(Main[[#This Row],[Class]]="B", WORKDAY(Main[[#This Row],[Tech Start Date]],12),IF(Main[[#This Row],[Class]]="A",WORKDAY(Main[[#This Row],[Tech Start Date]],4),""))))</f>
        <v/>
      </c>
      <c r="O894" s="77" t="str">
        <f>IF(Main[[#This Row],[Tech Start Date]]&lt;1/1/1990,"",IF(Main[[#This Row],[Class]]="C",WORKDAY(Main[[#This Row],[Tech Start Date]],23),IF(Main[[#This Row],[Class]]="B", WORKDAY(Main[[#This Row],[Tech Start Date]],15),IF(Main[[#This Row],[Class]]="A",WORKDAY(Main[[#This Row],[Tech Start Date]],5),""))))</f>
        <v/>
      </c>
      <c r="P894" s="77" t="str">
        <f>IF(Main[[#This Row],[Tech Start Date]]&lt;1/1/1990,"",IF(Main[[#This Row],[Class]]="C",WORKDAY(Main[[#This Row],[Tech Start Date]],28),IF(Main[[#This Row],[Class]]="B", WORKDAY(Main[[#This Row],[Tech Start Date]],19),IF(Main[[#This Row],[Class]]="A",WORKDAY(Main[[#This Row],[Tech Start Date]],9),""))))</f>
        <v/>
      </c>
      <c r="Q894" s="74"/>
      <c r="R894" s="74">
        <v>40577</v>
      </c>
      <c r="S894" s="72" t="s">
        <v>11</v>
      </c>
      <c r="T894" s="80" t="s">
        <v>4</v>
      </c>
      <c r="U894" s="72" t="s">
        <v>14</v>
      </c>
      <c r="V894" s="72" t="s">
        <v>1940</v>
      </c>
      <c r="W894" s="72" t="s">
        <v>1943</v>
      </c>
      <c r="X894" s="72" t="s">
        <v>2977</v>
      </c>
      <c r="Y894" s="72" t="s">
        <v>3125</v>
      </c>
      <c r="Z894" s="72" t="s">
        <v>536</v>
      </c>
    </row>
    <row r="895" spans="1:26" ht="18.600000000000001" customHeight="1">
      <c r="A895" s="142" t="str">
        <f>IF(priority(Main[[#This Row],[Comments]])&lt;&gt;0, priority(Main[[#This Row],[Comments]]),"")</f>
        <v/>
      </c>
      <c r="B895" s="90" t="s">
        <v>1747</v>
      </c>
      <c r="C895" s="72" t="s">
        <v>4</v>
      </c>
      <c r="D895" s="73" t="s">
        <v>794</v>
      </c>
      <c r="E895" s="74"/>
      <c r="F895" s="74"/>
      <c r="G895" s="75" t="str">
        <f>IF(stdProdLT(Main[[#This Row],[Comments]])=0.1,"N/A",IF(stdProdLT(Main[[#This Row],[Comments]])=0,"",stdProdLT(Main[[#This Row],[Comments]])))</f>
        <v/>
      </c>
      <c r="H895" s="76" t="str">
        <f>IF(AND(Main[[#This Row],[In Stock Date]]&lt;&gt;"",Main[[#This Row],[Revised Due Date]]&lt;&gt;""),Main[[#This Row],[In Stock Date]]-Main[[#This Row],[Revised Due Date]],"")</f>
        <v/>
      </c>
      <c r="I895" s="72" t="s">
        <v>4</v>
      </c>
      <c r="J895" s="72" t="s">
        <v>4</v>
      </c>
      <c r="K895" s="72" t="s">
        <v>4</v>
      </c>
      <c r="L895" s="74"/>
      <c r="M895" s="77" t="str">
        <f>IF(Main[[#This Row],[Tech Start Date]]&lt;1/1/1990,"",IF(Main[[#This Row],[Class]]="C",WORKDAY(Main[[#This Row],[Tech Start Date]],9),IF(Main[[#This Row],[Class]]="B", WORKDAY(Main[[#This Row],[Tech Start Date]],6),IF(Main[[#This Row],[Class]]="A",WORKDAY(Main[[#This Row],[Tech Start Date]],2),""))))</f>
        <v/>
      </c>
      <c r="N895" s="77" t="str">
        <f>IF(Main[[#This Row],[Tech Start Date]]&lt;1/1/1990,"",IF(Main[[#This Row],[Class]]="C",WORKDAY(Main[[#This Row],[Tech Start Date]],19),IF(Main[[#This Row],[Class]]="B", WORKDAY(Main[[#This Row],[Tech Start Date]],12),IF(Main[[#This Row],[Class]]="A",WORKDAY(Main[[#This Row],[Tech Start Date]],4),""))))</f>
        <v/>
      </c>
      <c r="O895" s="77" t="str">
        <f>IF(Main[[#This Row],[Tech Start Date]]&lt;1/1/1990,"",IF(Main[[#This Row],[Class]]="C",WORKDAY(Main[[#This Row],[Tech Start Date]],23),IF(Main[[#This Row],[Class]]="B", WORKDAY(Main[[#This Row],[Tech Start Date]],15),IF(Main[[#This Row],[Class]]="A",WORKDAY(Main[[#This Row],[Tech Start Date]],5),""))))</f>
        <v/>
      </c>
      <c r="P895" s="77" t="str">
        <f>IF(Main[[#This Row],[Tech Start Date]]&lt;1/1/1990,"",IF(Main[[#This Row],[Class]]="C",WORKDAY(Main[[#This Row],[Tech Start Date]],28),IF(Main[[#This Row],[Class]]="B", WORKDAY(Main[[#This Row],[Tech Start Date]],19),IF(Main[[#This Row],[Class]]="A",WORKDAY(Main[[#This Row],[Tech Start Date]],9),""))))</f>
        <v/>
      </c>
      <c r="Q895" s="74"/>
      <c r="R895" s="74"/>
      <c r="S895" s="72" t="s">
        <v>49</v>
      </c>
      <c r="T895" s="80" t="s">
        <v>4</v>
      </c>
      <c r="U895" s="72" t="s">
        <v>103</v>
      </c>
      <c r="V895" s="72" t="s">
        <v>1938</v>
      </c>
      <c r="W895" s="72" t="s">
        <v>1941</v>
      </c>
      <c r="X895" s="72" t="s">
        <v>311</v>
      </c>
      <c r="Y895" s="72" t="s">
        <v>4</v>
      </c>
      <c r="Z895" s="72" t="s">
        <v>4</v>
      </c>
    </row>
    <row r="896" spans="1:26" ht="18.600000000000001" customHeight="1">
      <c r="A896" s="142" t="str">
        <f>IF(priority(Main[[#This Row],[Comments]])&lt;&gt;0, priority(Main[[#This Row],[Comments]]),"")</f>
        <v/>
      </c>
      <c r="B896" s="90" t="s">
        <v>2225</v>
      </c>
      <c r="C896" s="72" t="s">
        <v>4</v>
      </c>
      <c r="D896" s="73" t="s">
        <v>2226</v>
      </c>
      <c r="E896" s="74"/>
      <c r="F896" s="74"/>
      <c r="G896" s="75" t="str">
        <f>IF(stdProdLT(Main[[#This Row],[Comments]])=0.1,"N/A",IF(stdProdLT(Main[[#This Row],[Comments]])=0,"",stdProdLT(Main[[#This Row],[Comments]])))</f>
        <v/>
      </c>
      <c r="H896" s="76" t="str">
        <f>IF(AND(Main[[#This Row],[In Stock Date]]&lt;&gt;"",Main[[#This Row],[Revised Due Date]]&lt;&gt;""),Main[[#This Row],[In Stock Date]]-Main[[#This Row],[Revised Due Date]],"")</f>
        <v/>
      </c>
      <c r="I896" s="72" t="s">
        <v>4</v>
      </c>
      <c r="J896" s="72" t="s">
        <v>4</v>
      </c>
      <c r="K896" s="72" t="s">
        <v>4</v>
      </c>
      <c r="L896" s="74"/>
      <c r="M896" s="77" t="str">
        <f>IF(Main[[#This Row],[Tech Start Date]]&lt;1/1/1990,"",IF(Main[[#This Row],[Class]]="C",WORKDAY(Main[[#This Row],[Tech Start Date]],9),IF(Main[[#This Row],[Class]]="B", WORKDAY(Main[[#This Row],[Tech Start Date]],6),IF(Main[[#This Row],[Class]]="A",WORKDAY(Main[[#This Row],[Tech Start Date]],2),""))))</f>
        <v/>
      </c>
      <c r="N896" s="77" t="str">
        <f>IF(Main[[#This Row],[Tech Start Date]]&lt;1/1/1990,"",IF(Main[[#This Row],[Class]]="C",WORKDAY(Main[[#This Row],[Tech Start Date]],19),IF(Main[[#This Row],[Class]]="B", WORKDAY(Main[[#This Row],[Tech Start Date]],12),IF(Main[[#This Row],[Class]]="A",WORKDAY(Main[[#This Row],[Tech Start Date]],4),""))))</f>
        <v/>
      </c>
      <c r="O896" s="77" t="str">
        <f>IF(Main[[#This Row],[Tech Start Date]]&lt;1/1/1990,"",IF(Main[[#This Row],[Class]]="C",WORKDAY(Main[[#This Row],[Tech Start Date]],23),IF(Main[[#This Row],[Class]]="B", WORKDAY(Main[[#This Row],[Tech Start Date]],15),IF(Main[[#This Row],[Class]]="A",WORKDAY(Main[[#This Row],[Tech Start Date]],5),""))))</f>
        <v/>
      </c>
      <c r="P896" s="77" t="str">
        <f>IF(Main[[#This Row],[Tech Start Date]]&lt;1/1/1990,"",IF(Main[[#This Row],[Class]]="C",WORKDAY(Main[[#This Row],[Tech Start Date]],28),IF(Main[[#This Row],[Class]]="B", WORKDAY(Main[[#This Row],[Tech Start Date]],19),IF(Main[[#This Row],[Class]]="A",WORKDAY(Main[[#This Row],[Tech Start Date]],9),""))))</f>
        <v/>
      </c>
      <c r="Q896" s="74"/>
      <c r="R896" s="74"/>
      <c r="S896" s="72" t="s">
        <v>6</v>
      </c>
      <c r="T896" s="80" t="s">
        <v>4</v>
      </c>
      <c r="U896" s="72" t="s">
        <v>14</v>
      </c>
      <c r="V896" s="72" t="s">
        <v>1952</v>
      </c>
      <c r="W896" s="72" t="s">
        <v>4</v>
      </c>
      <c r="X896" s="72" t="s">
        <v>311</v>
      </c>
      <c r="Y896" s="72" t="s">
        <v>4</v>
      </c>
      <c r="Z896" s="72" t="s">
        <v>4</v>
      </c>
    </row>
    <row r="897" spans="1:26" ht="18.600000000000001" customHeight="1">
      <c r="A897" s="142" t="str">
        <f>IF(priority(Main[[#This Row],[Comments]])&lt;&gt;0, priority(Main[[#This Row],[Comments]]),"")</f>
        <v/>
      </c>
      <c r="B897" s="90" t="s">
        <v>1720</v>
      </c>
      <c r="C897" s="72" t="s">
        <v>768</v>
      </c>
      <c r="D897" s="73" t="s">
        <v>769</v>
      </c>
      <c r="E897" s="74"/>
      <c r="F897" s="74"/>
      <c r="G897" s="75" t="str">
        <f>IF(stdProdLT(Main[[#This Row],[Comments]])=0.1,"N/A",IF(stdProdLT(Main[[#This Row],[Comments]])=0,"",stdProdLT(Main[[#This Row],[Comments]])))</f>
        <v/>
      </c>
      <c r="H897" s="76" t="str">
        <f>IF(AND(Main[[#This Row],[In Stock Date]]&lt;&gt;"",Main[[#This Row],[Revised Due Date]]&lt;&gt;""),Main[[#This Row],[In Stock Date]]-Main[[#This Row],[Revised Due Date]],"")</f>
        <v/>
      </c>
      <c r="I897" s="72" t="s">
        <v>4</v>
      </c>
      <c r="J897" s="72" t="s">
        <v>4</v>
      </c>
      <c r="K897" s="81" t="s">
        <v>4</v>
      </c>
      <c r="L897" s="74"/>
      <c r="M897" s="77" t="str">
        <f>IF(Main[[#This Row],[Tech Start Date]]&lt;1/1/1990,"",IF(Main[[#This Row],[Class]]="C",WORKDAY(Main[[#This Row],[Tech Start Date]],9),IF(Main[[#This Row],[Class]]="B", WORKDAY(Main[[#This Row],[Tech Start Date]],6),IF(Main[[#This Row],[Class]]="A",WORKDAY(Main[[#This Row],[Tech Start Date]],2),""))))</f>
        <v/>
      </c>
      <c r="N897" s="77" t="str">
        <f>IF(Main[[#This Row],[Tech Start Date]]&lt;1/1/1990,"",IF(Main[[#This Row],[Class]]="C",WORKDAY(Main[[#This Row],[Tech Start Date]],19),IF(Main[[#This Row],[Class]]="B", WORKDAY(Main[[#This Row],[Tech Start Date]],12),IF(Main[[#This Row],[Class]]="A",WORKDAY(Main[[#This Row],[Tech Start Date]],4),""))))</f>
        <v/>
      </c>
      <c r="O897" s="77" t="str">
        <f>IF(Main[[#This Row],[Tech Start Date]]&lt;1/1/1990,"",IF(Main[[#This Row],[Class]]="C",WORKDAY(Main[[#This Row],[Tech Start Date]],23),IF(Main[[#This Row],[Class]]="B", WORKDAY(Main[[#This Row],[Tech Start Date]],15),IF(Main[[#This Row],[Class]]="A",WORKDAY(Main[[#This Row],[Tech Start Date]],5),""))))</f>
        <v/>
      </c>
      <c r="P897" s="77" t="str">
        <f>IF(Main[[#This Row],[Tech Start Date]]&lt;1/1/1990,"",IF(Main[[#This Row],[Class]]="C",WORKDAY(Main[[#This Row],[Tech Start Date]],28),IF(Main[[#This Row],[Class]]="B", WORKDAY(Main[[#This Row],[Tech Start Date]],19),IF(Main[[#This Row],[Class]]="A",WORKDAY(Main[[#This Row],[Tech Start Date]],9),""))))</f>
        <v/>
      </c>
      <c r="Q897" s="74"/>
      <c r="R897" s="74"/>
      <c r="S897" s="72" t="s">
        <v>11</v>
      </c>
      <c r="T897" s="80" t="s">
        <v>4</v>
      </c>
      <c r="U897" s="72" t="s">
        <v>14</v>
      </c>
      <c r="V897" s="72" t="s">
        <v>1938</v>
      </c>
      <c r="W897" s="72" t="s">
        <v>1945</v>
      </c>
      <c r="X897" s="72" t="s">
        <v>2979</v>
      </c>
      <c r="Y897" s="72" t="s">
        <v>3106</v>
      </c>
      <c r="Z897" s="72" t="s">
        <v>4</v>
      </c>
    </row>
    <row r="898" spans="1:26" ht="18.600000000000001" customHeight="1">
      <c r="A898" s="142" t="str">
        <f>IF(priority(Main[[#This Row],[Comments]])&lt;&gt;0, priority(Main[[#This Row],[Comments]]),"")</f>
        <v/>
      </c>
      <c r="B898" s="90" t="s">
        <v>1721</v>
      </c>
      <c r="C898" s="72" t="s">
        <v>4</v>
      </c>
      <c r="D898" s="73" t="s">
        <v>770</v>
      </c>
      <c r="E898" s="74">
        <v>40436.644293981481</v>
      </c>
      <c r="F898" s="74"/>
      <c r="G898" s="75" t="str">
        <f>IF(stdProdLT(Main[[#This Row],[Comments]])=0.1,"N/A",IF(stdProdLT(Main[[#This Row],[Comments]])=0,"",stdProdLT(Main[[#This Row],[Comments]])))</f>
        <v/>
      </c>
      <c r="H898" s="76" t="str">
        <f>IF(AND(Main[[#This Row],[In Stock Date]]&lt;&gt;"",Main[[#This Row],[Revised Due Date]]&lt;&gt;""),Main[[#This Row],[In Stock Date]]-Main[[#This Row],[Revised Due Date]],"")</f>
        <v/>
      </c>
      <c r="I898" s="72" t="s">
        <v>4</v>
      </c>
      <c r="J898" s="72" t="s">
        <v>28</v>
      </c>
      <c r="K898" s="81" t="s">
        <v>4</v>
      </c>
      <c r="L898" s="74"/>
      <c r="M898" s="77" t="str">
        <f>IF(Main[[#This Row],[Tech Start Date]]&lt;1/1/1990,"",IF(Main[[#This Row],[Class]]="C",WORKDAY(Main[[#This Row],[Tech Start Date]],9),IF(Main[[#This Row],[Class]]="B", WORKDAY(Main[[#This Row],[Tech Start Date]],6),IF(Main[[#This Row],[Class]]="A",WORKDAY(Main[[#This Row],[Tech Start Date]],2),""))))</f>
        <v/>
      </c>
      <c r="N898" s="77" t="str">
        <f>IF(Main[[#This Row],[Tech Start Date]]&lt;1/1/1990,"",IF(Main[[#This Row],[Class]]="C",WORKDAY(Main[[#This Row],[Tech Start Date]],19),IF(Main[[#This Row],[Class]]="B", WORKDAY(Main[[#This Row],[Tech Start Date]],12),IF(Main[[#This Row],[Class]]="A",WORKDAY(Main[[#This Row],[Tech Start Date]],4),""))))</f>
        <v/>
      </c>
      <c r="O898" s="77" t="str">
        <f>IF(Main[[#This Row],[Tech Start Date]]&lt;1/1/1990,"",IF(Main[[#This Row],[Class]]="C",WORKDAY(Main[[#This Row],[Tech Start Date]],23),IF(Main[[#This Row],[Class]]="B", WORKDAY(Main[[#This Row],[Tech Start Date]],15),IF(Main[[#This Row],[Class]]="A",WORKDAY(Main[[#This Row],[Tech Start Date]],5),""))))</f>
        <v/>
      </c>
      <c r="P898" s="77" t="str">
        <f>IF(Main[[#This Row],[Tech Start Date]]&lt;1/1/1990,"",IF(Main[[#This Row],[Class]]="C",WORKDAY(Main[[#This Row],[Tech Start Date]],28),IF(Main[[#This Row],[Class]]="B", WORKDAY(Main[[#This Row],[Tech Start Date]],19),IF(Main[[#This Row],[Class]]="A",WORKDAY(Main[[#This Row],[Tech Start Date]],9),""))))</f>
        <v/>
      </c>
      <c r="Q898" s="74"/>
      <c r="R898" s="74"/>
      <c r="S898" s="72" t="s">
        <v>6</v>
      </c>
      <c r="T898" s="80" t="s">
        <v>4</v>
      </c>
      <c r="U898" s="72" t="s">
        <v>7</v>
      </c>
      <c r="V898" s="72" t="s">
        <v>1937</v>
      </c>
      <c r="W898" s="72" t="s">
        <v>1941</v>
      </c>
      <c r="X898" s="72" t="s">
        <v>937</v>
      </c>
      <c r="Y898" s="72" t="s">
        <v>3140</v>
      </c>
      <c r="Z898" s="72" t="s">
        <v>129</v>
      </c>
    </row>
    <row r="899" spans="1:26" ht="18.600000000000001" customHeight="1">
      <c r="A899" s="142" t="str">
        <f>IF(priority(Main[[#This Row],[Comments]])&lt;&gt;0, priority(Main[[#This Row],[Comments]]),"")</f>
        <v/>
      </c>
      <c r="B899" s="90" t="s">
        <v>1722</v>
      </c>
      <c r="C899" s="72" t="s">
        <v>771</v>
      </c>
      <c r="D899" s="73" t="s">
        <v>772</v>
      </c>
      <c r="E899" s="74"/>
      <c r="F899" s="74"/>
      <c r="G899" s="75" t="str">
        <f>IF(stdProdLT(Main[[#This Row],[Comments]])=0.1,"N/A",IF(stdProdLT(Main[[#This Row],[Comments]])=0,"",stdProdLT(Main[[#This Row],[Comments]])))</f>
        <v/>
      </c>
      <c r="H899" s="76" t="str">
        <f>IF(AND(Main[[#This Row],[In Stock Date]]&lt;&gt;"",Main[[#This Row],[Revised Due Date]]&lt;&gt;""),Main[[#This Row],[In Stock Date]]-Main[[#This Row],[Revised Due Date]],"")</f>
        <v/>
      </c>
      <c r="I899" s="72" t="s">
        <v>165</v>
      </c>
      <c r="J899" s="72" t="s">
        <v>4</v>
      </c>
      <c r="K899" s="72" t="s">
        <v>1944</v>
      </c>
      <c r="L899" s="74"/>
      <c r="M899" s="77" t="str">
        <f>IF(Main[[#This Row],[Tech Start Date]]&lt;1/1/1990,"",IF(Main[[#This Row],[Class]]="C",WORKDAY(Main[[#This Row],[Tech Start Date]],9),IF(Main[[#This Row],[Class]]="B", WORKDAY(Main[[#This Row],[Tech Start Date]],6),IF(Main[[#This Row],[Class]]="A",WORKDAY(Main[[#This Row],[Tech Start Date]],2),""))))</f>
        <v/>
      </c>
      <c r="N899" s="77" t="str">
        <f>IF(Main[[#This Row],[Tech Start Date]]&lt;1/1/1990,"",IF(Main[[#This Row],[Class]]="C",WORKDAY(Main[[#This Row],[Tech Start Date]],19),IF(Main[[#This Row],[Class]]="B", WORKDAY(Main[[#This Row],[Tech Start Date]],12),IF(Main[[#This Row],[Class]]="A",WORKDAY(Main[[#This Row],[Tech Start Date]],4),""))))</f>
        <v/>
      </c>
      <c r="O899" s="77" t="str">
        <f>IF(Main[[#This Row],[Tech Start Date]]&lt;1/1/1990,"",IF(Main[[#This Row],[Class]]="C",WORKDAY(Main[[#This Row],[Tech Start Date]],23),IF(Main[[#This Row],[Class]]="B", WORKDAY(Main[[#This Row],[Tech Start Date]],15),IF(Main[[#This Row],[Class]]="A",WORKDAY(Main[[#This Row],[Tech Start Date]],5),""))))</f>
        <v/>
      </c>
      <c r="P899" s="77" t="str">
        <f>IF(Main[[#This Row],[Tech Start Date]]&lt;1/1/1990,"",IF(Main[[#This Row],[Class]]="C",WORKDAY(Main[[#This Row],[Tech Start Date]],28),IF(Main[[#This Row],[Class]]="B", WORKDAY(Main[[#This Row],[Tech Start Date]],19),IF(Main[[#This Row],[Class]]="A",WORKDAY(Main[[#This Row],[Tech Start Date]],9),""))))</f>
        <v/>
      </c>
      <c r="Q899" s="74">
        <v>40421</v>
      </c>
      <c r="R899" s="74"/>
      <c r="S899" s="72" t="s">
        <v>17</v>
      </c>
      <c r="T899" s="80" t="s">
        <v>4</v>
      </c>
      <c r="U899" s="72" t="s">
        <v>14</v>
      </c>
      <c r="V899" s="72" t="s">
        <v>1940</v>
      </c>
      <c r="W899" s="72" t="s">
        <v>1941</v>
      </c>
      <c r="X899" s="72" t="s">
        <v>165</v>
      </c>
      <c r="Y899" s="72" t="s">
        <v>3259</v>
      </c>
      <c r="Z899" s="72" t="s">
        <v>4</v>
      </c>
    </row>
    <row r="900" spans="1:26" ht="18.600000000000001" customHeight="1">
      <c r="A900" s="142" t="str">
        <f>IF(priority(Main[[#This Row],[Comments]])&lt;&gt;0, priority(Main[[#This Row],[Comments]]),"")</f>
        <v/>
      </c>
      <c r="B900" s="90" t="s">
        <v>1723</v>
      </c>
      <c r="C900" s="72" t="s">
        <v>4</v>
      </c>
      <c r="D900" s="73" t="s">
        <v>773</v>
      </c>
      <c r="E900" s="74"/>
      <c r="F900" s="74"/>
      <c r="G900" s="75" t="str">
        <f>IF(stdProdLT(Main[[#This Row],[Comments]])=0.1,"N/A",IF(stdProdLT(Main[[#This Row],[Comments]])=0,"",stdProdLT(Main[[#This Row],[Comments]])))</f>
        <v/>
      </c>
      <c r="H900" s="76" t="str">
        <f>IF(AND(Main[[#This Row],[In Stock Date]]&lt;&gt;"",Main[[#This Row],[Revised Due Date]]&lt;&gt;""),Main[[#This Row],[In Stock Date]]-Main[[#This Row],[Revised Due Date]],"")</f>
        <v/>
      </c>
      <c r="I900" s="72" t="s">
        <v>4</v>
      </c>
      <c r="J900" s="72" t="s">
        <v>4</v>
      </c>
      <c r="K900" s="72" t="s">
        <v>4</v>
      </c>
      <c r="L900" s="74"/>
      <c r="M900" s="77" t="str">
        <f>IF(Main[[#This Row],[Tech Start Date]]&lt;1/1/1990,"",IF(Main[[#This Row],[Class]]="C",WORKDAY(Main[[#This Row],[Tech Start Date]],9),IF(Main[[#This Row],[Class]]="B", WORKDAY(Main[[#This Row],[Tech Start Date]],6),IF(Main[[#This Row],[Class]]="A",WORKDAY(Main[[#This Row],[Tech Start Date]],2),""))))</f>
        <v/>
      </c>
      <c r="N900" s="77" t="str">
        <f>IF(Main[[#This Row],[Tech Start Date]]&lt;1/1/1990,"",IF(Main[[#This Row],[Class]]="C",WORKDAY(Main[[#This Row],[Tech Start Date]],19),IF(Main[[#This Row],[Class]]="B", WORKDAY(Main[[#This Row],[Tech Start Date]],12),IF(Main[[#This Row],[Class]]="A",WORKDAY(Main[[#This Row],[Tech Start Date]],4),""))))</f>
        <v/>
      </c>
      <c r="O900" s="77" t="str">
        <f>IF(Main[[#This Row],[Tech Start Date]]&lt;1/1/1990,"",IF(Main[[#This Row],[Class]]="C",WORKDAY(Main[[#This Row],[Tech Start Date]],23),IF(Main[[#This Row],[Class]]="B", WORKDAY(Main[[#This Row],[Tech Start Date]],15),IF(Main[[#This Row],[Class]]="A",WORKDAY(Main[[#This Row],[Tech Start Date]],5),""))))</f>
        <v/>
      </c>
      <c r="P900" s="77" t="str">
        <f>IF(Main[[#This Row],[Tech Start Date]]&lt;1/1/1990,"",IF(Main[[#This Row],[Class]]="C",WORKDAY(Main[[#This Row],[Tech Start Date]],28),IF(Main[[#This Row],[Class]]="B", WORKDAY(Main[[#This Row],[Tech Start Date]],19),IF(Main[[#This Row],[Class]]="A",WORKDAY(Main[[#This Row],[Tech Start Date]],9),""))))</f>
        <v/>
      </c>
      <c r="Q900" s="74">
        <v>40500</v>
      </c>
      <c r="R900" s="74"/>
      <c r="S900" s="72" t="s">
        <v>11</v>
      </c>
      <c r="T900" s="80" t="s">
        <v>4</v>
      </c>
      <c r="U900" s="72" t="s">
        <v>14</v>
      </c>
      <c r="V900" s="72" t="s">
        <v>1937</v>
      </c>
      <c r="W900" s="72" t="s">
        <v>4</v>
      </c>
      <c r="X900" s="72" t="s">
        <v>2984</v>
      </c>
      <c r="Y900" s="72" t="s">
        <v>3260</v>
      </c>
      <c r="Z900" s="72" t="s">
        <v>4</v>
      </c>
    </row>
    <row r="901" spans="1:26" ht="18.600000000000001" customHeight="1">
      <c r="A901" s="142" t="str">
        <f>IF(priority(Main[[#This Row],[Comments]])&lt;&gt;0, priority(Main[[#This Row],[Comments]]),"")</f>
        <v/>
      </c>
      <c r="B901" s="90" t="s">
        <v>1724</v>
      </c>
      <c r="C901" s="72" t="s">
        <v>122</v>
      </c>
      <c r="D901" s="73" t="s">
        <v>706</v>
      </c>
      <c r="E901" s="74"/>
      <c r="F901" s="74"/>
      <c r="G901" s="75" t="str">
        <f>IF(stdProdLT(Main[[#This Row],[Comments]])=0.1,"N/A",IF(stdProdLT(Main[[#This Row],[Comments]])=0,"",stdProdLT(Main[[#This Row],[Comments]])))</f>
        <v/>
      </c>
      <c r="H901" s="76" t="str">
        <f>IF(AND(Main[[#This Row],[In Stock Date]]&lt;&gt;"",Main[[#This Row],[Revised Due Date]]&lt;&gt;""),Main[[#This Row],[In Stock Date]]-Main[[#This Row],[Revised Due Date]],"")</f>
        <v/>
      </c>
      <c r="I901" s="72" t="s">
        <v>4</v>
      </c>
      <c r="J901" s="72" t="s">
        <v>4</v>
      </c>
      <c r="K901" s="72" t="s">
        <v>4</v>
      </c>
      <c r="L901" s="74"/>
      <c r="M901" s="77" t="str">
        <f>IF(Main[[#This Row],[Tech Start Date]]&lt;1/1/1990,"",IF(Main[[#This Row],[Class]]="C",WORKDAY(Main[[#This Row],[Tech Start Date]],9),IF(Main[[#This Row],[Class]]="B", WORKDAY(Main[[#This Row],[Tech Start Date]],6),IF(Main[[#This Row],[Class]]="A",WORKDAY(Main[[#This Row],[Tech Start Date]],2),""))))</f>
        <v/>
      </c>
      <c r="N901" s="77" t="str">
        <f>IF(Main[[#This Row],[Tech Start Date]]&lt;1/1/1990,"",IF(Main[[#This Row],[Class]]="C",WORKDAY(Main[[#This Row],[Tech Start Date]],19),IF(Main[[#This Row],[Class]]="B", WORKDAY(Main[[#This Row],[Tech Start Date]],12),IF(Main[[#This Row],[Class]]="A",WORKDAY(Main[[#This Row],[Tech Start Date]],4),""))))</f>
        <v/>
      </c>
      <c r="O901" s="77" t="str">
        <f>IF(Main[[#This Row],[Tech Start Date]]&lt;1/1/1990,"",IF(Main[[#This Row],[Class]]="C",WORKDAY(Main[[#This Row],[Tech Start Date]],23),IF(Main[[#This Row],[Class]]="B", WORKDAY(Main[[#This Row],[Tech Start Date]],15),IF(Main[[#This Row],[Class]]="A",WORKDAY(Main[[#This Row],[Tech Start Date]],5),""))))</f>
        <v/>
      </c>
      <c r="P901" s="77" t="str">
        <f>IF(Main[[#This Row],[Tech Start Date]]&lt;1/1/1990,"",IF(Main[[#This Row],[Class]]="C",WORKDAY(Main[[#This Row],[Tech Start Date]],28),IF(Main[[#This Row],[Class]]="B", WORKDAY(Main[[#This Row],[Tech Start Date]],19),IF(Main[[#This Row],[Class]]="A",WORKDAY(Main[[#This Row],[Tech Start Date]],9),""))))</f>
        <v/>
      </c>
      <c r="Q901" s="74"/>
      <c r="R901" s="74"/>
      <c r="S901" s="72" t="s">
        <v>11</v>
      </c>
      <c r="T901" s="80" t="s">
        <v>4</v>
      </c>
      <c r="U901" s="72" t="s">
        <v>14</v>
      </c>
      <c r="V901" s="72" t="s">
        <v>1937</v>
      </c>
      <c r="W901" s="72" t="s">
        <v>1948</v>
      </c>
      <c r="X901" s="72" t="s">
        <v>2972</v>
      </c>
      <c r="Y901" s="72" t="s">
        <v>3251</v>
      </c>
      <c r="Z901" s="72" t="s">
        <v>4</v>
      </c>
    </row>
    <row r="902" spans="1:26" ht="18.600000000000001" customHeight="1">
      <c r="A902" s="142" t="str">
        <f>IF(priority(Main[[#This Row],[Comments]])&lt;&gt;0, priority(Main[[#This Row],[Comments]]),"")</f>
        <v/>
      </c>
      <c r="B902" s="90" t="s">
        <v>1727</v>
      </c>
      <c r="C902" s="72" t="s">
        <v>4</v>
      </c>
      <c r="D902" s="73" t="s">
        <v>779</v>
      </c>
      <c r="E902" s="74"/>
      <c r="F902" s="74"/>
      <c r="G902" s="75" t="str">
        <f>IF(stdProdLT(Main[[#This Row],[Comments]])=0.1,"N/A",IF(stdProdLT(Main[[#This Row],[Comments]])=0,"",stdProdLT(Main[[#This Row],[Comments]])))</f>
        <v/>
      </c>
      <c r="H902" s="76" t="str">
        <f>IF(AND(Main[[#This Row],[In Stock Date]]&lt;&gt;"",Main[[#This Row],[Revised Due Date]]&lt;&gt;""),Main[[#This Row],[In Stock Date]]-Main[[#This Row],[Revised Due Date]],"")</f>
        <v/>
      </c>
      <c r="I902" s="72" t="s">
        <v>4</v>
      </c>
      <c r="J902" s="72" t="s">
        <v>4</v>
      </c>
      <c r="K902" s="81" t="s">
        <v>4</v>
      </c>
      <c r="L902" s="74"/>
      <c r="M902" s="77" t="str">
        <f>IF(Main[[#This Row],[Tech Start Date]]&lt;1/1/1990,"",IF(Main[[#This Row],[Class]]="C",WORKDAY(Main[[#This Row],[Tech Start Date]],9),IF(Main[[#This Row],[Class]]="B", WORKDAY(Main[[#This Row],[Tech Start Date]],6),IF(Main[[#This Row],[Class]]="A",WORKDAY(Main[[#This Row],[Tech Start Date]],2),""))))</f>
        <v/>
      </c>
      <c r="N902" s="77" t="str">
        <f>IF(Main[[#This Row],[Tech Start Date]]&lt;1/1/1990,"",IF(Main[[#This Row],[Class]]="C",WORKDAY(Main[[#This Row],[Tech Start Date]],19),IF(Main[[#This Row],[Class]]="B", WORKDAY(Main[[#This Row],[Tech Start Date]],12),IF(Main[[#This Row],[Class]]="A",WORKDAY(Main[[#This Row],[Tech Start Date]],4),""))))</f>
        <v/>
      </c>
      <c r="O902" s="77" t="str">
        <f>IF(Main[[#This Row],[Tech Start Date]]&lt;1/1/1990,"",IF(Main[[#This Row],[Class]]="C",WORKDAY(Main[[#This Row],[Tech Start Date]],23),IF(Main[[#This Row],[Class]]="B", WORKDAY(Main[[#This Row],[Tech Start Date]],15),IF(Main[[#This Row],[Class]]="A",WORKDAY(Main[[#This Row],[Tech Start Date]],5),""))))</f>
        <v/>
      </c>
      <c r="P902" s="77" t="str">
        <f>IF(Main[[#This Row],[Tech Start Date]]&lt;1/1/1990,"",IF(Main[[#This Row],[Class]]="C",WORKDAY(Main[[#This Row],[Tech Start Date]],28),IF(Main[[#This Row],[Class]]="B", WORKDAY(Main[[#This Row],[Tech Start Date]],19),IF(Main[[#This Row],[Class]]="A",WORKDAY(Main[[#This Row],[Tech Start Date]],9),""))))</f>
        <v/>
      </c>
      <c r="Q902" s="74"/>
      <c r="R902" s="74"/>
      <c r="S902" s="72" t="s">
        <v>17</v>
      </c>
      <c r="T902" s="80" t="s">
        <v>4</v>
      </c>
      <c r="U902" s="72" t="s">
        <v>14</v>
      </c>
      <c r="V902" s="72" t="s">
        <v>1940</v>
      </c>
      <c r="W902" s="72" t="s">
        <v>4</v>
      </c>
      <c r="X902" s="72" t="s">
        <v>311</v>
      </c>
      <c r="Y902" s="72" t="s">
        <v>4</v>
      </c>
      <c r="Z902" s="72" t="s">
        <v>4</v>
      </c>
    </row>
    <row r="903" spans="1:26" ht="18.600000000000001" customHeight="1">
      <c r="A903" s="142" t="str">
        <f>IF(priority(Main[[#This Row],[Comments]])&lt;&gt;0, priority(Main[[#This Row],[Comments]]),"")</f>
        <v/>
      </c>
      <c r="B903" s="90" t="s">
        <v>1728</v>
      </c>
      <c r="C903" s="72" t="s">
        <v>58</v>
      </c>
      <c r="D903" s="73" t="s">
        <v>205</v>
      </c>
      <c r="E903" s="74"/>
      <c r="F903" s="74">
        <v>40697</v>
      </c>
      <c r="G903" s="75" t="str">
        <f>IF(stdProdLT(Main[[#This Row],[Comments]])=0.1,"N/A",IF(stdProdLT(Main[[#This Row],[Comments]])=0,"",stdProdLT(Main[[#This Row],[Comments]])))</f>
        <v/>
      </c>
      <c r="H903" s="76" t="str">
        <f>IF(AND(Main[[#This Row],[In Stock Date]]&lt;&gt;"",Main[[#This Row],[Revised Due Date]]&lt;&gt;""),Main[[#This Row],[In Stock Date]]-Main[[#This Row],[Revised Due Date]],"")</f>
        <v/>
      </c>
      <c r="I903" s="72" t="s">
        <v>4</v>
      </c>
      <c r="J903" s="72" t="s">
        <v>4</v>
      </c>
      <c r="K903" s="72" t="s">
        <v>4</v>
      </c>
      <c r="L903" s="74"/>
      <c r="M903" s="77" t="str">
        <f>IF(Main[[#This Row],[Tech Start Date]]&lt;1/1/1990,"",IF(Main[[#This Row],[Class]]="C",WORKDAY(Main[[#This Row],[Tech Start Date]],9),IF(Main[[#This Row],[Class]]="B", WORKDAY(Main[[#This Row],[Tech Start Date]],6),IF(Main[[#This Row],[Class]]="A",WORKDAY(Main[[#This Row],[Tech Start Date]],2),""))))</f>
        <v/>
      </c>
      <c r="N903" s="77" t="str">
        <f>IF(Main[[#This Row],[Tech Start Date]]&lt;1/1/1990,"",IF(Main[[#This Row],[Class]]="C",WORKDAY(Main[[#This Row],[Tech Start Date]],19),IF(Main[[#This Row],[Class]]="B", WORKDAY(Main[[#This Row],[Tech Start Date]],12),IF(Main[[#This Row],[Class]]="A",WORKDAY(Main[[#This Row],[Tech Start Date]],4),""))))</f>
        <v/>
      </c>
      <c r="O903" s="77" t="str">
        <f>IF(Main[[#This Row],[Tech Start Date]]&lt;1/1/1990,"",IF(Main[[#This Row],[Class]]="C",WORKDAY(Main[[#This Row],[Tech Start Date]],23),IF(Main[[#This Row],[Class]]="B", WORKDAY(Main[[#This Row],[Tech Start Date]],15),IF(Main[[#This Row],[Class]]="A",WORKDAY(Main[[#This Row],[Tech Start Date]],5),""))))</f>
        <v/>
      </c>
      <c r="P903" s="77" t="str">
        <f>IF(Main[[#This Row],[Tech Start Date]]&lt;1/1/1990,"",IF(Main[[#This Row],[Class]]="C",WORKDAY(Main[[#This Row],[Tech Start Date]],28),IF(Main[[#This Row],[Class]]="B", WORKDAY(Main[[#This Row],[Tech Start Date]],19),IF(Main[[#This Row],[Class]]="A",WORKDAY(Main[[#This Row],[Tech Start Date]],9),""))))</f>
        <v/>
      </c>
      <c r="Q903" s="74">
        <v>40539</v>
      </c>
      <c r="R903" s="74"/>
      <c r="S903" s="72" t="s">
        <v>11</v>
      </c>
      <c r="T903" s="80" t="s">
        <v>4</v>
      </c>
      <c r="U903" s="72" t="s">
        <v>14</v>
      </c>
      <c r="V903" s="72" t="s">
        <v>1937</v>
      </c>
      <c r="W903" s="72" t="s">
        <v>1943</v>
      </c>
      <c r="X903" s="72" t="s">
        <v>2981</v>
      </c>
      <c r="Y903" s="72" t="s">
        <v>3109</v>
      </c>
      <c r="Z903" s="72" t="s">
        <v>4</v>
      </c>
    </row>
    <row r="904" spans="1:26" ht="18.600000000000001" customHeight="1">
      <c r="A904" s="142" t="str">
        <f>IF(priority(Main[[#This Row],[Comments]])&lt;&gt;0, priority(Main[[#This Row],[Comments]]),"")</f>
        <v/>
      </c>
      <c r="B904" s="90" t="s">
        <v>1632</v>
      </c>
      <c r="C904" s="72" t="s">
        <v>4</v>
      </c>
      <c r="D904" s="73" t="s">
        <v>694</v>
      </c>
      <c r="E904" s="74">
        <v>40031.45721064815</v>
      </c>
      <c r="F904" s="74"/>
      <c r="G904" s="75" t="str">
        <f>IF(stdProdLT(Main[[#This Row],[Comments]])=0.1,"N/A",IF(stdProdLT(Main[[#This Row],[Comments]])=0,"",stdProdLT(Main[[#This Row],[Comments]])))</f>
        <v/>
      </c>
      <c r="H904" s="76" t="str">
        <f>IF(AND(Main[[#This Row],[In Stock Date]]&lt;&gt;"",Main[[#This Row],[Revised Due Date]]&lt;&gt;""),Main[[#This Row],[In Stock Date]]-Main[[#This Row],[Revised Due Date]],"")</f>
        <v/>
      </c>
      <c r="I904" s="72" t="s">
        <v>30</v>
      </c>
      <c r="J904" s="72" t="s">
        <v>21</v>
      </c>
      <c r="K904" s="81" t="s">
        <v>1946</v>
      </c>
      <c r="L904" s="74"/>
      <c r="M904" s="77" t="str">
        <f>IF(Main[[#This Row],[Tech Start Date]]&lt;1/1/1990,"",IF(Main[[#This Row],[Class]]="C",WORKDAY(Main[[#This Row],[Tech Start Date]],9),IF(Main[[#This Row],[Class]]="B", WORKDAY(Main[[#This Row],[Tech Start Date]],6),IF(Main[[#This Row],[Class]]="A",WORKDAY(Main[[#This Row],[Tech Start Date]],2),""))))</f>
        <v/>
      </c>
      <c r="N904" s="77" t="str">
        <f>IF(Main[[#This Row],[Tech Start Date]]&lt;1/1/1990,"",IF(Main[[#This Row],[Class]]="C",WORKDAY(Main[[#This Row],[Tech Start Date]],19),IF(Main[[#This Row],[Class]]="B", WORKDAY(Main[[#This Row],[Tech Start Date]],12),IF(Main[[#This Row],[Class]]="A",WORKDAY(Main[[#This Row],[Tech Start Date]],4),""))))</f>
        <v/>
      </c>
      <c r="O904" s="77" t="str">
        <f>IF(Main[[#This Row],[Tech Start Date]]&lt;1/1/1990,"",IF(Main[[#This Row],[Class]]="C",WORKDAY(Main[[#This Row],[Tech Start Date]],23),IF(Main[[#This Row],[Class]]="B", WORKDAY(Main[[#This Row],[Tech Start Date]],15),IF(Main[[#This Row],[Class]]="A",WORKDAY(Main[[#This Row],[Tech Start Date]],5),""))))</f>
        <v/>
      </c>
      <c r="P904" s="77" t="str">
        <f>IF(Main[[#This Row],[Tech Start Date]]&lt;1/1/1990,"",IF(Main[[#This Row],[Class]]="C",WORKDAY(Main[[#This Row],[Tech Start Date]],28),IF(Main[[#This Row],[Class]]="B", WORKDAY(Main[[#This Row],[Tech Start Date]],19),IF(Main[[#This Row],[Class]]="A",WORKDAY(Main[[#This Row],[Tech Start Date]],9),""))))</f>
        <v/>
      </c>
      <c r="Q904" s="74"/>
      <c r="R904" s="74"/>
      <c r="S904" s="72" t="s">
        <v>6</v>
      </c>
      <c r="T904" s="80" t="s">
        <v>4</v>
      </c>
      <c r="U904" s="72" t="s">
        <v>29</v>
      </c>
      <c r="V904" s="72" t="s">
        <v>1940</v>
      </c>
      <c r="W904" s="72" t="s">
        <v>1941</v>
      </c>
      <c r="X904" s="72" t="s">
        <v>3039</v>
      </c>
      <c r="Y904" s="72" t="s">
        <v>3201</v>
      </c>
      <c r="Z904" s="72" t="s">
        <v>30</v>
      </c>
    </row>
    <row r="905" spans="1:26" ht="18.600000000000001" customHeight="1">
      <c r="A905" s="142" t="str">
        <f>IF(priority(Main[[#This Row],[Comments]])&lt;&gt;0, priority(Main[[#This Row],[Comments]]),"")</f>
        <v/>
      </c>
      <c r="B905" s="90" t="s">
        <v>1729</v>
      </c>
      <c r="C905" s="72" t="s">
        <v>4</v>
      </c>
      <c r="D905" s="73" t="s">
        <v>721</v>
      </c>
      <c r="E905" s="74"/>
      <c r="F905" s="74"/>
      <c r="G905" s="75" t="str">
        <f>IF(stdProdLT(Main[[#This Row],[Comments]])=0.1,"N/A",IF(stdProdLT(Main[[#This Row],[Comments]])=0,"",stdProdLT(Main[[#This Row],[Comments]])))</f>
        <v/>
      </c>
      <c r="H905" s="76" t="str">
        <f>IF(AND(Main[[#This Row],[In Stock Date]]&lt;&gt;"",Main[[#This Row],[Revised Due Date]]&lt;&gt;""),Main[[#This Row],[In Stock Date]]-Main[[#This Row],[Revised Due Date]],"")</f>
        <v/>
      </c>
      <c r="I905" s="72" t="s">
        <v>4</v>
      </c>
      <c r="J905" s="72" t="s">
        <v>28</v>
      </c>
      <c r="K905" s="72" t="s">
        <v>1946</v>
      </c>
      <c r="L905" s="74"/>
      <c r="M905" s="77" t="str">
        <f>IF(Main[[#This Row],[Tech Start Date]]&lt;1/1/1990,"",IF(Main[[#This Row],[Class]]="C",WORKDAY(Main[[#This Row],[Tech Start Date]],9),IF(Main[[#This Row],[Class]]="B", WORKDAY(Main[[#This Row],[Tech Start Date]],6),IF(Main[[#This Row],[Class]]="A",WORKDAY(Main[[#This Row],[Tech Start Date]],2),""))))</f>
        <v/>
      </c>
      <c r="N905" s="77" t="str">
        <f>IF(Main[[#This Row],[Tech Start Date]]&lt;1/1/1990,"",IF(Main[[#This Row],[Class]]="C",WORKDAY(Main[[#This Row],[Tech Start Date]],19),IF(Main[[#This Row],[Class]]="B", WORKDAY(Main[[#This Row],[Tech Start Date]],12),IF(Main[[#This Row],[Class]]="A",WORKDAY(Main[[#This Row],[Tech Start Date]],4),""))))</f>
        <v/>
      </c>
      <c r="O905" s="77" t="str">
        <f>IF(Main[[#This Row],[Tech Start Date]]&lt;1/1/1990,"",IF(Main[[#This Row],[Class]]="C",WORKDAY(Main[[#This Row],[Tech Start Date]],23),IF(Main[[#This Row],[Class]]="B", WORKDAY(Main[[#This Row],[Tech Start Date]],15),IF(Main[[#This Row],[Class]]="A",WORKDAY(Main[[#This Row],[Tech Start Date]],5),""))))</f>
        <v/>
      </c>
      <c r="P905" s="77" t="str">
        <f>IF(Main[[#This Row],[Tech Start Date]]&lt;1/1/1990,"",IF(Main[[#This Row],[Class]]="C",WORKDAY(Main[[#This Row],[Tech Start Date]],28),IF(Main[[#This Row],[Class]]="B", WORKDAY(Main[[#This Row],[Tech Start Date]],19),IF(Main[[#This Row],[Class]]="A",WORKDAY(Main[[#This Row],[Tech Start Date]],9),""))))</f>
        <v/>
      </c>
      <c r="Q905" s="74">
        <v>40647</v>
      </c>
      <c r="R905" s="74"/>
      <c r="S905" s="72" t="s">
        <v>6</v>
      </c>
      <c r="T905" s="80" t="s">
        <v>4</v>
      </c>
      <c r="U905" s="72" t="s">
        <v>14</v>
      </c>
      <c r="V905" s="72" t="s">
        <v>1937</v>
      </c>
      <c r="W905" s="72" t="s">
        <v>1941</v>
      </c>
      <c r="X905" s="72" t="s">
        <v>2973</v>
      </c>
      <c r="Y905" s="72" t="s">
        <v>3094</v>
      </c>
      <c r="Z905" s="72" t="s">
        <v>129</v>
      </c>
    </row>
    <row r="906" spans="1:26" ht="18.600000000000001" customHeight="1">
      <c r="A906" s="142" t="str">
        <f>IF(priority(Main[[#This Row],[Comments]])&lt;&gt;0, priority(Main[[#This Row],[Comments]]),"")</f>
        <v/>
      </c>
      <c r="B906" s="90" t="s">
        <v>2101</v>
      </c>
      <c r="C906" s="72" t="s">
        <v>4</v>
      </c>
      <c r="D906" s="73" t="s">
        <v>2430</v>
      </c>
      <c r="E906" s="74">
        <v>40760.555381944447</v>
      </c>
      <c r="F906" s="74"/>
      <c r="G906" s="75" t="str">
        <f>IF(stdProdLT(Main[[#This Row],[Comments]])=0.1,"N/A",IF(stdProdLT(Main[[#This Row],[Comments]])=0,"",stdProdLT(Main[[#This Row],[Comments]])))</f>
        <v/>
      </c>
      <c r="H906" s="76" t="str">
        <f>IF(AND(Main[[#This Row],[In Stock Date]]&lt;&gt;"",Main[[#This Row],[Revised Due Date]]&lt;&gt;""),Main[[#This Row],[In Stock Date]]-Main[[#This Row],[Revised Due Date]],"")</f>
        <v/>
      </c>
      <c r="I906" s="72" t="s">
        <v>4</v>
      </c>
      <c r="J906" s="72" t="s">
        <v>4</v>
      </c>
      <c r="K906" s="81" t="s">
        <v>4</v>
      </c>
      <c r="L906" s="74"/>
      <c r="M906" s="77" t="str">
        <f>IF(Main[[#This Row],[Tech Start Date]]&lt;1/1/1990,"",IF(Main[[#This Row],[Class]]="C",WORKDAY(Main[[#This Row],[Tech Start Date]],9),IF(Main[[#This Row],[Class]]="B", WORKDAY(Main[[#This Row],[Tech Start Date]],6),IF(Main[[#This Row],[Class]]="A",WORKDAY(Main[[#This Row],[Tech Start Date]],2),""))))</f>
        <v/>
      </c>
      <c r="N906" s="77" t="str">
        <f>IF(Main[[#This Row],[Tech Start Date]]&lt;1/1/1990,"",IF(Main[[#This Row],[Class]]="C",WORKDAY(Main[[#This Row],[Tech Start Date]],19),IF(Main[[#This Row],[Class]]="B", WORKDAY(Main[[#This Row],[Tech Start Date]],12),IF(Main[[#This Row],[Class]]="A",WORKDAY(Main[[#This Row],[Tech Start Date]],4),""))))</f>
        <v/>
      </c>
      <c r="O906" s="77" t="str">
        <f>IF(Main[[#This Row],[Tech Start Date]]&lt;1/1/1990,"",IF(Main[[#This Row],[Class]]="C",WORKDAY(Main[[#This Row],[Tech Start Date]],23),IF(Main[[#This Row],[Class]]="B", WORKDAY(Main[[#This Row],[Tech Start Date]],15),IF(Main[[#This Row],[Class]]="A",WORKDAY(Main[[#This Row],[Tech Start Date]],5),""))))</f>
        <v/>
      </c>
      <c r="P906" s="77" t="str">
        <f>IF(Main[[#This Row],[Tech Start Date]]&lt;1/1/1990,"",IF(Main[[#This Row],[Class]]="C",WORKDAY(Main[[#This Row],[Tech Start Date]],28),IF(Main[[#This Row],[Class]]="B", WORKDAY(Main[[#This Row],[Tech Start Date]],19),IF(Main[[#This Row],[Class]]="A",WORKDAY(Main[[#This Row],[Tech Start Date]],9),""))))</f>
        <v/>
      </c>
      <c r="Q906" s="74"/>
      <c r="R906" s="74"/>
      <c r="S906" s="72" t="s">
        <v>6</v>
      </c>
      <c r="T906" s="80" t="s">
        <v>4</v>
      </c>
      <c r="U906" s="72" t="s">
        <v>7</v>
      </c>
      <c r="V906" s="72" t="s">
        <v>1937</v>
      </c>
      <c r="W906" s="72" t="s">
        <v>1941</v>
      </c>
      <c r="X906" s="72" t="s">
        <v>311</v>
      </c>
      <c r="Y906" s="72" t="s">
        <v>4</v>
      </c>
      <c r="Z906" s="72" t="s">
        <v>4</v>
      </c>
    </row>
    <row r="907" spans="1:26" ht="18.600000000000001" customHeight="1">
      <c r="A907" s="142" t="str">
        <f>IF(priority(Main[[#This Row],[Comments]])&lt;&gt;0, priority(Main[[#This Row],[Comments]]),"")</f>
        <v/>
      </c>
      <c r="B907" s="90" t="s">
        <v>1654</v>
      </c>
      <c r="C907" s="72" t="s">
        <v>4</v>
      </c>
      <c r="D907" s="73" t="s">
        <v>2431</v>
      </c>
      <c r="E907" s="74">
        <v>40567.655532407407</v>
      </c>
      <c r="F907" s="74">
        <v>40602</v>
      </c>
      <c r="G907" s="75" t="str">
        <f>IF(stdProdLT(Main[[#This Row],[Comments]])=0.1,"N/A",IF(stdProdLT(Main[[#This Row],[Comments]])=0,"",stdProdLT(Main[[#This Row],[Comments]])))</f>
        <v/>
      </c>
      <c r="H907" s="76" t="str">
        <f>IF(AND(Main[[#This Row],[In Stock Date]]&lt;&gt;"",Main[[#This Row],[Revised Due Date]]&lt;&gt;""),Main[[#This Row],[In Stock Date]]-Main[[#This Row],[Revised Due Date]],"")</f>
        <v/>
      </c>
      <c r="I907" s="72" t="s">
        <v>927</v>
      </c>
      <c r="J907" s="72" t="s">
        <v>52</v>
      </c>
      <c r="K907" s="72" t="s">
        <v>1946</v>
      </c>
      <c r="L907" s="74"/>
      <c r="M907" s="77" t="str">
        <f>IF(Main[[#This Row],[Tech Start Date]]&lt;1/1/1990,"",IF(Main[[#This Row],[Class]]="C",WORKDAY(Main[[#This Row],[Tech Start Date]],9),IF(Main[[#This Row],[Class]]="B", WORKDAY(Main[[#This Row],[Tech Start Date]],6),IF(Main[[#This Row],[Class]]="A",WORKDAY(Main[[#This Row],[Tech Start Date]],2),""))))</f>
        <v/>
      </c>
      <c r="N907" s="77" t="str">
        <f>IF(Main[[#This Row],[Tech Start Date]]&lt;1/1/1990,"",IF(Main[[#This Row],[Class]]="C",WORKDAY(Main[[#This Row],[Tech Start Date]],19),IF(Main[[#This Row],[Class]]="B", WORKDAY(Main[[#This Row],[Tech Start Date]],12),IF(Main[[#This Row],[Class]]="A",WORKDAY(Main[[#This Row],[Tech Start Date]],4),""))))</f>
        <v/>
      </c>
      <c r="O907" s="77" t="str">
        <f>IF(Main[[#This Row],[Tech Start Date]]&lt;1/1/1990,"",IF(Main[[#This Row],[Class]]="C",WORKDAY(Main[[#This Row],[Tech Start Date]],23),IF(Main[[#This Row],[Class]]="B", WORKDAY(Main[[#This Row],[Tech Start Date]],15),IF(Main[[#This Row],[Class]]="A",WORKDAY(Main[[#This Row],[Tech Start Date]],5),""))))</f>
        <v/>
      </c>
      <c r="P907" s="77" t="str">
        <f>IF(Main[[#This Row],[Tech Start Date]]&lt;1/1/1990,"",IF(Main[[#This Row],[Class]]="C",WORKDAY(Main[[#This Row],[Tech Start Date]],28),IF(Main[[#This Row],[Class]]="B", WORKDAY(Main[[#This Row],[Tech Start Date]],19),IF(Main[[#This Row],[Class]]="A",WORKDAY(Main[[#This Row],[Tech Start Date]],9),""))))</f>
        <v/>
      </c>
      <c r="Q907" s="74">
        <v>40602</v>
      </c>
      <c r="R907" s="74"/>
      <c r="S907" s="72" t="s">
        <v>6</v>
      </c>
      <c r="T907" s="80" t="s">
        <v>4</v>
      </c>
      <c r="U907" s="72" t="s">
        <v>29</v>
      </c>
      <c r="V907" s="72" t="s">
        <v>1937</v>
      </c>
      <c r="W907" s="72" t="s">
        <v>1939</v>
      </c>
      <c r="X907" s="72" t="s">
        <v>2970</v>
      </c>
      <c r="Y907" s="72" t="s">
        <v>3087</v>
      </c>
      <c r="Z907" s="72" t="s">
        <v>129</v>
      </c>
    </row>
    <row r="908" spans="1:26" ht="18.600000000000001" customHeight="1">
      <c r="A908" s="142" t="str">
        <f>IF(priority(Main[[#This Row],[Comments]])&lt;&gt;0, priority(Main[[#This Row],[Comments]]),"")</f>
        <v/>
      </c>
      <c r="B908" s="90" t="s">
        <v>1731</v>
      </c>
      <c r="C908" s="72" t="s">
        <v>4</v>
      </c>
      <c r="D908" s="73" t="s">
        <v>781</v>
      </c>
      <c r="E908" s="74"/>
      <c r="F908" s="74"/>
      <c r="G908" s="75" t="str">
        <f>IF(stdProdLT(Main[[#This Row],[Comments]])=0.1,"N/A",IF(stdProdLT(Main[[#This Row],[Comments]])=0,"",stdProdLT(Main[[#This Row],[Comments]])))</f>
        <v/>
      </c>
      <c r="H908" s="76" t="str">
        <f>IF(AND(Main[[#This Row],[In Stock Date]]&lt;&gt;"",Main[[#This Row],[Revised Due Date]]&lt;&gt;""),Main[[#This Row],[In Stock Date]]-Main[[#This Row],[Revised Due Date]],"")</f>
        <v/>
      </c>
      <c r="I908" s="72" t="s">
        <v>4</v>
      </c>
      <c r="J908" s="72" t="s">
        <v>4</v>
      </c>
      <c r="K908" s="72" t="s">
        <v>4</v>
      </c>
      <c r="L908" s="74"/>
      <c r="M908" s="77" t="str">
        <f>IF(Main[[#This Row],[Tech Start Date]]&lt;1/1/1990,"",IF(Main[[#This Row],[Class]]="C",WORKDAY(Main[[#This Row],[Tech Start Date]],9),IF(Main[[#This Row],[Class]]="B", WORKDAY(Main[[#This Row],[Tech Start Date]],6),IF(Main[[#This Row],[Class]]="A",WORKDAY(Main[[#This Row],[Tech Start Date]],2),""))))</f>
        <v/>
      </c>
      <c r="N908" s="77" t="str">
        <f>IF(Main[[#This Row],[Tech Start Date]]&lt;1/1/1990,"",IF(Main[[#This Row],[Class]]="C",WORKDAY(Main[[#This Row],[Tech Start Date]],19),IF(Main[[#This Row],[Class]]="B", WORKDAY(Main[[#This Row],[Tech Start Date]],12),IF(Main[[#This Row],[Class]]="A",WORKDAY(Main[[#This Row],[Tech Start Date]],4),""))))</f>
        <v/>
      </c>
      <c r="O908" s="77" t="str">
        <f>IF(Main[[#This Row],[Tech Start Date]]&lt;1/1/1990,"",IF(Main[[#This Row],[Class]]="C",WORKDAY(Main[[#This Row],[Tech Start Date]],23),IF(Main[[#This Row],[Class]]="B", WORKDAY(Main[[#This Row],[Tech Start Date]],15),IF(Main[[#This Row],[Class]]="A",WORKDAY(Main[[#This Row],[Tech Start Date]],5),""))))</f>
        <v/>
      </c>
      <c r="P908" s="77" t="str">
        <f>IF(Main[[#This Row],[Tech Start Date]]&lt;1/1/1990,"",IF(Main[[#This Row],[Class]]="C",WORKDAY(Main[[#This Row],[Tech Start Date]],28),IF(Main[[#This Row],[Class]]="B", WORKDAY(Main[[#This Row],[Tech Start Date]],19),IF(Main[[#This Row],[Class]]="A",WORKDAY(Main[[#This Row],[Tech Start Date]],9),""))))</f>
        <v/>
      </c>
      <c r="Q908" s="74"/>
      <c r="R908" s="74"/>
      <c r="S908" s="72" t="s">
        <v>6</v>
      </c>
      <c r="T908" s="80" t="s">
        <v>4</v>
      </c>
      <c r="U908" s="72" t="s">
        <v>12</v>
      </c>
      <c r="V908" s="72" t="s">
        <v>1937</v>
      </c>
      <c r="W908" s="72" t="s">
        <v>1941</v>
      </c>
      <c r="X908" s="72" t="s">
        <v>937</v>
      </c>
      <c r="Y908" s="72" t="s">
        <v>3140</v>
      </c>
      <c r="Z908" s="72" t="s">
        <v>4</v>
      </c>
    </row>
    <row r="909" spans="1:26" ht="18.600000000000001" customHeight="1">
      <c r="A909" s="142" t="str">
        <f>IF(priority(Main[[#This Row],[Comments]])&lt;&gt;0, priority(Main[[#This Row],[Comments]]),"")</f>
        <v/>
      </c>
      <c r="B909" s="90" t="s">
        <v>1734</v>
      </c>
      <c r="C909" s="72" t="s">
        <v>4</v>
      </c>
      <c r="D909" s="73" t="s">
        <v>776</v>
      </c>
      <c r="E909" s="74"/>
      <c r="F909" s="74"/>
      <c r="G909" s="75" t="str">
        <f>IF(stdProdLT(Main[[#This Row],[Comments]])=0.1,"N/A",IF(stdProdLT(Main[[#This Row],[Comments]])=0,"",stdProdLT(Main[[#This Row],[Comments]])))</f>
        <v/>
      </c>
      <c r="H909" s="76" t="str">
        <f>IF(AND(Main[[#This Row],[In Stock Date]]&lt;&gt;"",Main[[#This Row],[Revised Due Date]]&lt;&gt;""),Main[[#This Row],[In Stock Date]]-Main[[#This Row],[Revised Due Date]],"")</f>
        <v/>
      </c>
      <c r="I909" s="72" t="s">
        <v>404</v>
      </c>
      <c r="J909" s="72" t="s">
        <v>75</v>
      </c>
      <c r="K909" s="81" t="s">
        <v>4</v>
      </c>
      <c r="L909" s="74"/>
      <c r="M909" s="77" t="str">
        <f>IF(Main[[#This Row],[Tech Start Date]]&lt;1/1/1990,"",IF(Main[[#This Row],[Class]]="C",WORKDAY(Main[[#This Row],[Tech Start Date]],9),IF(Main[[#This Row],[Class]]="B", WORKDAY(Main[[#This Row],[Tech Start Date]],6),IF(Main[[#This Row],[Class]]="A",WORKDAY(Main[[#This Row],[Tech Start Date]],2),""))))</f>
        <v/>
      </c>
      <c r="N909" s="77" t="str">
        <f>IF(Main[[#This Row],[Tech Start Date]]&lt;1/1/1990,"",IF(Main[[#This Row],[Class]]="C",WORKDAY(Main[[#This Row],[Tech Start Date]],19),IF(Main[[#This Row],[Class]]="B", WORKDAY(Main[[#This Row],[Tech Start Date]],12),IF(Main[[#This Row],[Class]]="A",WORKDAY(Main[[#This Row],[Tech Start Date]],4),""))))</f>
        <v/>
      </c>
      <c r="O909" s="77" t="str">
        <f>IF(Main[[#This Row],[Tech Start Date]]&lt;1/1/1990,"",IF(Main[[#This Row],[Class]]="C",WORKDAY(Main[[#This Row],[Tech Start Date]],23),IF(Main[[#This Row],[Class]]="B", WORKDAY(Main[[#This Row],[Tech Start Date]],15),IF(Main[[#This Row],[Class]]="A",WORKDAY(Main[[#This Row],[Tech Start Date]],5),""))))</f>
        <v/>
      </c>
      <c r="P909" s="77" t="str">
        <f>IF(Main[[#This Row],[Tech Start Date]]&lt;1/1/1990,"",IF(Main[[#This Row],[Class]]="C",WORKDAY(Main[[#This Row],[Tech Start Date]],28),IF(Main[[#This Row],[Class]]="B", WORKDAY(Main[[#This Row],[Tech Start Date]],19),IF(Main[[#This Row],[Class]]="A",WORKDAY(Main[[#This Row],[Tech Start Date]],9),""))))</f>
        <v/>
      </c>
      <c r="Q909" s="74">
        <v>40401</v>
      </c>
      <c r="R909" s="74"/>
      <c r="S909" s="72" t="s">
        <v>6</v>
      </c>
      <c r="T909" s="80" t="s">
        <v>4</v>
      </c>
      <c r="U909" s="72" t="s">
        <v>14</v>
      </c>
      <c r="V909" s="72" t="s">
        <v>1940</v>
      </c>
      <c r="W909" s="72" t="s">
        <v>1941</v>
      </c>
      <c r="X909" s="72" t="s">
        <v>404</v>
      </c>
      <c r="Y909" s="72" t="s">
        <v>4</v>
      </c>
      <c r="Z909" s="72" t="s">
        <v>311</v>
      </c>
    </row>
    <row r="910" spans="1:26" ht="18.600000000000001" customHeight="1">
      <c r="A910" s="142" t="str">
        <f>IF(priority(Main[[#This Row],[Comments]])&lt;&gt;0, priority(Main[[#This Row],[Comments]]),"")</f>
        <v/>
      </c>
      <c r="B910" s="90" t="s">
        <v>1735</v>
      </c>
      <c r="C910" s="72" t="s">
        <v>4</v>
      </c>
      <c r="D910" s="73" t="s">
        <v>778</v>
      </c>
      <c r="E910" s="74">
        <v>40647.40420138889</v>
      </c>
      <c r="F910" s="74"/>
      <c r="G910" s="75" t="str">
        <f>IF(stdProdLT(Main[[#This Row],[Comments]])=0.1,"N/A",IF(stdProdLT(Main[[#This Row],[Comments]])=0,"",stdProdLT(Main[[#This Row],[Comments]])))</f>
        <v/>
      </c>
      <c r="H910" s="76" t="str">
        <f>IF(AND(Main[[#This Row],[In Stock Date]]&lt;&gt;"",Main[[#This Row],[Revised Due Date]]&lt;&gt;""),Main[[#This Row],[In Stock Date]]-Main[[#This Row],[Revised Due Date]],"")</f>
        <v/>
      </c>
      <c r="I910" s="72" t="s">
        <v>4</v>
      </c>
      <c r="J910" s="72" t="s">
        <v>4</v>
      </c>
      <c r="K910" s="72" t="s">
        <v>4</v>
      </c>
      <c r="L910" s="74"/>
      <c r="M910" s="77" t="str">
        <f>IF(Main[[#This Row],[Tech Start Date]]&lt;1/1/1990,"",IF(Main[[#This Row],[Class]]="C",WORKDAY(Main[[#This Row],[Tech Start Date]],9),IF(Main[[#This Row],[Class]]="B", WORKDAY(Main[[#This Row],[Tech Start Date]],6),IF(Main[[#This Row],[Class]]="A",WORKDAY(Main[[#This Row],[Tech Start Date]],2),""))))</f>
        <v/>
      </c>
      <c r="N910" s="77" t="str">
        <f>IF(Main[[#This Row],[Tech Start Date]]&lt;1/1/1990,"",IF(Main[[#This Row],[Class]]="C",WORKDAY(Main[[#This Row],[Tech Start Date]],19),IF(Main[[#This Row],[Class]]="B", WORKDAY(Main[[#This Row],[Tech Start Date]],12),IF(Main[[#This Row],[Class]]="A",WORKDAY(Main[[#This Row],[Tech Start Date]],4),""))))</f>
        <v/>
      </c>
      <c r="O910" s="77" t="str">
        <f>IF(Main[[#This Row],[Tech Start Date]]&lt;1/1/1990,"",IF(Main[[#This Row],[Class]]="C",WORKDAY(Main[[#This Row],[Tech Start Date]],23),IF(Main[[#This Row],[Class]]="B", WORKDAY(Main[[#This Row],[Tech Start Date]],15),IF(Main[[#This Row],[Class]]="A",WORKDAY(Main[[#This Row],[Tech Start Date]],5),""))))</f>
        <v/>
      </c>
      <c r="P910" s="77" t="str">
        <f>IF(Main[[#This Row],[Tech Start Date]]&lt;1/1/1990,"",IF(Main[[#This Row],[Class]]="C",WORKDAY(Main[[#This Row],[Tech Start Date]],28),IF(Main[[#This Row],[Class]]="B", WORKDAY(Main[[#This Row],[Tech Start Date]],19),IF(Main[[#This Row],[Class]]="A",WORKDAY(Main[[#This Row],[Tech Start Date]],9),""))))</f>
        <v/>
      </c>
      <c r="Q910" s="74">
        <v>40676</v>
      </c>
      <c r="R910" s="74"/>
      <c r="S910" s="72" t="s">
        <v>6</v>
      </c>
      <c r="T910" s="80" t="s">
        <v>4</v>
      </c>
      <c r="U910" s="72" t="s">
        <v>7</v>
      </c>
      <c r="V910" s="72" t="s">
        <v>1937</v>
      </c>
      <c r="W910" s="72" t="s">
        <v>4</v>
      </c>
      <c r="X910" s="72" t="s">
        <v>2974</v>
      </c>
      <c r="Y910" s="72" t="s">
        <v>3096</v>
      </c>
      <c r="Z910" s="72" t="s">
        <v>4</v>
      </c>
    </row>
    <row r="911" spans="1:26" ht="18.600000000000001" customHeight="1">
      <c r="A911" s="142" t="str">
        <f>IF(priority(Main[[#This Row],[Comments]])&lt;&gt;0, priority(Main[[#This Row],[Comments]]),"")</f>
        <v/>
      </c>
      <c r="B911" s="90" t="s">
        <v>1847</v>
      </c>
      <c r="C911" s="72" t="s">
        <v>47</v>
      </c>
      <c r="D911" s="73" t="s">
        <v>890</v>
      </c>
      <c r="E911" s="74">
        <v>39937.613564814812</v>
      </c>
      <c r="F911" s="74"/>
      <c r="G911" s="75" t="str">
        <f>IF(stdProdLT(Main[[#This Row],[Comments]])=0.1,"N/A",IF(stdProdLT(Main[[#This Row],[Comments]])=0,"",stdProdLT(Main[[#This Row],[Comments]])))</f>
        <v/>
      </c>
      <c r="H911" s="76" t="str">
        <f>IF(AND(Main[[#This Row],[In Stock Date]]&lt;&gt;"",Main[[#This Row],[Revised Due Date]]&lt;&gt;""),Main[[#This Row],[In Stock Date]]-Main[[#This Row],[Revised Due Date]],"")</f>
        <v/>
      </c>
      <c r="I911" s="72" t="s">
        <v>891</v>
      </c>
      <c r="J911" s="72" t="s">
        <v>4</v>
      </c>
      <c r="K911" s="81" t="s">
        <v>1949</v>
      </c>
      <c r="L911" s="74"/>
      <c r="M911" s="77" t="str">
        <f>IF(Main[[#This Row],[Tech Start Date]]&lt;1/1/1990,"",IF(Main[[#This Row],[Class]]="C",WORKDAY(Main[[#This Row],[Tech Start Date]],9),IF(Main[[#This Row],[Class]]="B", WORKDAY(Main[[#This Row],[Tech Start Date]],6),IF(Main[[#This Row],[Class]]="A",WORKDAY(Main[[#This Row],[Tech Start Date]],2),""))))</f>
        <v/>
      </c>
      <c r="N911" s="77" t="str">
        <f>IF(Main[[#This Row],[Tech Start Date]]&lt;1/1/1990,"",IF(Main[[#This Row],[Class]]="C",WORKDAY(Main[[#This Row],[Tech Start Date]],19),IF(Main[[#This Row],[Class]]="B", WORKDAY(Main[[#This Row],[Tech Start Date]],12),IF(Main[[#This Row],[Class]]="A",WORKDAY(Main[[#This Row],[Tech Start Date]],4),""))))</f>
        <v/>
      </c>
      <c r="O911" s="77" t="str">
        <f>IF(Main[[#This Row],[Tech Start Date]]&lt;1/1/1990,"",IF(Main[[#This Row],[Class]]="C",WORKDAY(Main[[#This Row],[Tech Start Date]],23),IF(Main[[#This Row],[Class]]="B", WORKDAY(Main[[#This Row],[Tech Start Date]],15),IF(Main[[#This Row],[Class]]="A",WORKDAY(Main[[#This Row],[Tech Start Date]],5),""))))</f>
        <v/>
      </c>
      <c r="P911" s="77" t="str">
        <f>IF(Main[[#This Row],[Tech Start Date]]&lt;1/1/1990,"",IF(Main[[#This Row],[Class]]="C",WORKDAY(Main[[#This Row],[Tech Start Date]],28),IF(Main[[#This Row],[Class]]="B", WORKDAY(Main[[#This Row],[Tech Start Date]],19),IF(Main[[#This Row],[Class]]="A",WORKDAY(Main[[#This Row],[Tech Start Date]],9),""))))</f>
        <v/>
      </c>
      <c r="Q911" s="74">
        <v>40267</v>
      </c>
      <c r="R911" s="74">
        <v>40359</v>
      </c>
      <c r="S911" s="72" t="s">
        <v>17</v>
      </c>
      <c r="T911" s="80" t="s">
        <v>4</v>
      </c>
      <c r="U911" s="72" t="s">
        <v>29</v>
      </c>
      <c r="V911" s="72" t="s">
        <v>1937</v>
      </c>
      <c r="W911" s="72" t="s">
        <v>1941</v>
      </c>
      <c r="X911" s="72" t="s">
        <v>311</v>
      </c>
      <c r="Y911" s="72" t="s">
        <v>3099</v>
      </c>
      <c r="Z911" s="72" t="s">
        <v>4</v>
      </c>
    </row>
    <row r="912" spans="1:26" ht="18.600000000000001" customHeight="1">
      <c r="A912" s="142" t="str">
        <f>IF(priority(Main[[#This Row],[Comments]])&lt;&gt;0, priority(Main[[#This Row],[Comments]]),"")</f>
        <v/>
      </c>
      <c r="B912" s="90" t="s">
        <v>1736</v>
      </c>
      <c r="C912" s="72" t="s">
        <v>4</v>
      </c>
      <c r="D912" s="73" t="s">
        <v>515</v>
      </c>
      <c r="E912" s="74"/>
      <c r="F912" s="74"/>
      <c r="G912" s="75" t="str">
        <f>IF(stdProdLT(Main[[#This Row],[Comments]])=0.1,"N/A",IF(stdProdLT(Main[[#This Row],[Comments]])=0,"",stdProdLT(Main[[#This Row],[Comments]])))</f>
        <v/>
      </c>
      <c r="H912" s="76" t="str">
        <f>IF(AND(Main[[#This Row],[In Stock Date]]&lt;&gt;"",Main[[#This Row],[Revised Due Date]]&lt;&gt;""),Main[[#This Row],[In Stock Date]]-Main[[#This Row],[Revised Due Date]],"")</f>
        <v/>
      </c>
      <c r="I912" s="72" t="s">
        <v>4</v>
      </c>
      <c r="J912" s="72" t="s">
        <v>4</v>
      </c>
      <c r="K912" s="72" t="s">
        <v>4</v>
      </c>
      <c r="L912" s="74"/>
      <c r="M912" s="77" t="str">
        <f>IF(Main[[#This Row],[Tech Start Date]]&lt;1/1/1990,"",IF(Main[[#This Row],[Class]]="C",WORKDAY(Main[[#This Row],[Tech Start Date]],9),IF(Main[[#This Row],[Class]]="B", WORKDAY(Main[[#This Row],[Tech Start Date]],6),IF(Main[[#This Row],[Class]]="A",WORKDAY(Main[[#This Row],[Tech Start Date]],2),""))))</f>
        <v/>
      </c>
      <c r="N912" s="77" t="str">
        <f>IF(Main[[#This Row],[Tech Start Date]]&lt;1/1/1990,"",IF(Main[[#This Row],[Class]]="C",WORKDAY(Main[[#This Row],[Tech Start Date]],19),IF(Main[[#This Row],[Class]]="B", WORKDAY(Main[[#This Row],[Tech Start Date]],12),IF(Main[[#This Row],[Class]]="A",WORKDAY(Main[[#This Row],[Tech Start Date]],4),""))))</f>
        <v/>
      </c>
      <c r="O912" s="77" t="str">
        <f>IF(Main[[#This Row],[Tech Start Date]]&lt;1/1/1990,"",IF(Main[[#This Row],[Class]]="C",WORKDAY(Main[[#This Row],[Tech Start Date]],23),IF(Main[[#This Row],[Class]]="B", WORKDAY(Main[[#This Row],[Tech Start Date]],15),IF(Main[[#This Row],[Class]]="A",WORKDAY(Main[[#This Row],[Tech Start Date]],5),""))))</f>
        <v/>
      </c>
      <c r="P912" s="77" t="str">
        <f>IF(Main[[#This Row],[Tech Start Date]]&lt;1/1/1990,"",IF(Main[[#This Row],[Class]]="C",WORKDAY(Main[[#This Row],[Tech Start Date]],28),IF(Main[[#This Row],[Class]]="B", WORKDAY(Main[[#This Row],[Tech Start Date]],19),IF(Main[[#This Row],[Class]]="A",WORKDAY(Main[[#This Row],[Tech Start Date]],9),""))))</f>
        <v/>
      </c>
      <c r="Q912" s="74"/>
      <c r="R912" s="74"/>
      <c r="S912" s="72" t="s">
        <v>4</v>
      </c>
      <c r="T912" s="80" t="s">
        <v>4</v>
      </c>
      <c r="U912" s="72" t="s">
        <v>14</v>
      </c>
      <c r="V912" s="72" t="s">
        <v>1940</v>
      </c>
      <c r="W912" s="72" t="s">
        <v>4</v>
      </c>
      <c r="X912" s="72" t="s">
        <v>3030</v>
      </c>
      <c r="Y912" s="72" t="s">
        <v>3184</v>
      </c>
      <c r="Z912" s="72" t="s">
        <v>4</v>
      </c>
    </row>
    <row r="913" spans="1:26" ht="18.600000000000001" customHeight="1">
      <c r="A913" s="142" t="str">
        <f>IF(priority(Main[[#This Row],[Comments]])&lt;&gt;0, priority(Main[[#This Row],[Comments]]),"")</f>
        <v/>
      </c>
      <c r="B913" s="90" t="s">
        <v>1737</v>
      </c>
      <c r="C913" s="72" t="s">
        <v>282</v>
      </c>
      <c r="D913" s="73" t="s">
        <v>782</v>
      </c>
      <c r="E913" s="74"/>
      <c r="F913" s="74">
        <v>40602</v>
      </c>
      <c r="G913" s="75" t="str">
        <f>IF(stdProdLT(Main[[#This Row],[Comments]])=0.1,"N/A",IF(stdProdLT(Main[[#This Row],[Comments]])=0,"",stdProdLT(Main[[#This Row],[Comments]])))</f>
        <v/>
      </c>
      <c r="H913" s="76" t="str">
        <f>IF(AND(Main[[#This Row],[In Stock Date]]&lt;&gt;"",Main[[#This Row],[Revised Due Date]]&lt;&gt;""),Main[[#This Row],[In Stock Date]]-Main[[#This Row],[Revised Due Date]],"")</f>
        <v/>
      </c>
      <c r="I913" s="72" t="s">
        <v>4</v>
      </c>
      <c r="J913" s="72" t="s">
        <v>4</v>
      </c>
      <c r="K913" s="72" t="s">
        <v>4</v>
      </c>
      <c r="L913" s="74"/>
      <c r="M913" s="77" t="str">
        <f>IF(Main[[#This Row],[Tech Start Date]]&lt;1/1/1990,"",IF(Main[[#This Row],[Class]]="C",WORKDAY(Main[[#This Row],[Tech Start Date]],9),IF(Main[[#This Row],[Class]]="B", WORKDAY(Main[[#This Row],[Tech Start Date]],6),IF(Main[[#This Row],[Class]]="A",WORKDAY(Main[[#This Row],[Tech Start Date]],2),""))))</f>
        <v/>
      </c>
      <c r="N913" s="77" t="str">
        <f>IF(Main[[#This Row],[Tech Start Date]]&lt;1/1/1990,"",IF(Main[[#This Row],[Class]]="C",WORKDAY(Main[[#This Row],[Tech Start Date]],19),IF(Main[[#This Row],[Class]]="B", WORKDAY(Main[[#This Row],[Tech Start Date]],12),IF(Main[[#This Row],[Class]]="A",WORKDAY(Main[[#This Row],[Tech Start Date]],4),""))))</f>
        <v/>
      </c>
      <c r="O913" s="77" t="str">
        <f>IF(Main[[#This Row],[Tech Start Date]]&lt;1/1/1990,"",IF(Main[[#This Row],[Class]]="C",WORKDAY(Main[[#This Row],[Tech Start Date]],23),IF(Main[[#This Row],[Class]]="B", WORKDAY(Main[[#This Row],[Tech Start Date]],15),IF(Main[[#This Row],[Class]]="A",WORKDAY(Main[[#This Row],[Tech Start Date]],5),""))))</f>
        <v/>
      </c>
      <c r="P913" s="77" t="str">
        <f>IF(Main[[#This Row],[Tech Start Date]]&lt;1/1/1990,"",IF(Main[[#This Row],[Class]]="C",WORKDAY(Main[[#This Row],[Tech Start Date]],28),IF(Main[[#This Row],[Class]]="B", WORKDAY(Main[[#This Row],[Tech Start Date]],19),IF(Main[[#This Row],[Class]]="A",WORKDAY(Main[[#This Row],[Tech Start Date]],9),""))))</f>
        <v/>
      </c>
      <c r="Q913" s="74">
        <v>40602</v>
      </c>
      <c r="R913" s="74"/>
      <c r="S913" s="72" t="s">
        <v>11</v>
      </c>
      <c r="T913" s="80" t="s">
        <v>4</v>
      </c>
      <c r="U913" s="72" t="s">
        <v>12</v>
      </c>
      <c r="V913" s="72" t="s">
        <v>1938</v>
      </c>
      <c r="W913" s="72" t="s">
        <v>1942</v>
      </c>
      <c r="X913" s="72" t="s">
        <v>3012</v>
      </c>
      <c r="Y913" s="72" t="s">
        <v>4</v>
      </c>
      <c r="Z913" s="72" t="s">
        <v>4</v>
      </c>
    </row>
    <row r="914" spans="1:26" ht="18.600000000000001" customHeight="1">
      <c r="A914" s="142" t="str">
        <f>IF(priority(Main[[#This Row],[Comments]])&lt;&gt;0, priority(Main[[#This Row],[Comments]]),"")</f>
        <v/>
      </c>
      <c r="B914" s="90" t="s">
        <v>1738</v>
      </c>
      <c r="C914" s="72" t="s">
        <v>282</v>
      </c>
      <c r="D914" s="73" t="s">
        <v>783</v>
      </c>
      <c r="E914" s="74"/>
      <c r="F914" s="74">
        <v>40602</v>
      </c>
      <c r="G914" s="75" t="str">
        <f>IF(stdProdLT(Main[[#This Row],[Comments]])=0.1,"N/A",IF(stdProdLT(Main[[#This Row],[Comments]])=0,"",stdProdLT(Main[[#This Row],[Comments]])))</f>
        <v/>
      </c>
      <c r="H914" s="76" t="str">
        <f>IF(AND(Main[[#This Row],[In Stock Date]]&lt;&gt;"",Main[[#This Row],[Revised Due Date]]&lt;&gt;""),Main[[#This Row],[In Stock Date]]-Main[[#This Row],[Revised Due Date]],"")</f>
        <v/>
      </c>
      <c r="I914" s="72" t="s">
        <v>4</v>
      </c>
      <c r="J914" s="72" t="s">
        <v>4</v>
      </c>
      <c r="K914" s="72" t="s">
        <v>4</v>
      </c>
      <c r="L914" s="74"/>
      <c r="M914" s="77" t="str">
        <f>IF(Main[[#This Row],[Tech Start Date]]&lt;1/1/1990,"",IF(Main[[#This Row],[Class]]="C",WORKDAY(Main[[#This Row],[Tech Start Date]],9),IF(Main[[#This Row],[Class]]="B", WORKDAY(Main[[#This Row],[Tech Start Date]],6),IF(Main[[#This Row],[Class]]="A",WORKDAY(Main[[#This Row],[Tech Start Date]],2),""))))</f>
        <v/>
      </c>
      <c r="N914" s="77" t="str">
        <f>IF(Main[[#This Row],[Tech Start Date]]&lt;1/1/1990,"",IF(Main[[#This Row],[Class]]="C",WORKDAY(Main[[#This Row],[Tech Start Date]],19),IF(Main[[#This Row],[Class]]="B", WORKDAY(Main[[#This Row],[Tech Start Date]],12),IF(Main[[#This Row],[Class]]="A",WORKDAY(Main[[#This Row],[Tech Start Date]],4),""))))</f>
        <v/>
      </c>
      <c r="O914" s="77" t="str">
        <f>IF(Main[[#This Row],[Tech Start Date]]&lt;1/1/1990,"",IF(Main[[#This Row],[Class]]="C",WORKDAY(Main[[#This Row],[Tech Start Date]],23),IF(Main[[#This Row],[Class]]="B", WORKDAY(Main[[#This Row],[Tech Start Date]],15),IF(Main[[#This Row],[Class]]="A",WORKDAY(Main[[#This Row],[Tech Start Date]],5),""))))</f>
        <v/>
      </c>
      <c r="P914" s="77" t="str">
        <f>IF(Main[[#This Row],[Tech Start Date]]&lt;1/1/1990,"",IF(Main[[#This Row],[Class]]="C",WORKDAY(Main[[#This Row],[Tech Start Date]],28),IF(Main[[#This Row],[Class]]="B", WORKDAY(Main[[#This Row],[Tech Start Date]],19),IF(Main[[#This Row],[Class]]="A",WORKDAY(Main[[#This Row],[Tech Start Date]],9),""))))</f>
        <v/>
      </c>
      <c r="Q914" s="74">
        <v>40602</v>
      </c>
      <c r="R914" s="74"/>
      <c r="S914" s="72" t="s">
        <v>11</v>
      </c>
      <c r="T914" s="80" t="s">
        <v>4</v>
      </c>
      <c r="U914" s="72" t="s">
        <v>12</v>
      </c>
      <c r="V914" s="72" t="s">
        <v>1940</v>
      </c>
      <c r="W914" s="72" t="s">
        <v>1942</v>
      </c>
      <c r="X914" s="72" t="s">
        <v>3012</v>
      </c>
      <c r="Y914" s="72" t="s">
        <v>4</v>
      </c>
      <c r="Z914" s="72" t="s">
        <v>4</v>
      </c>
    </row>
    <row r="915" spans="1:26" ht="18.600000000000001" customHeight="1">
      <c r="A915" s="142" t="str">
        <f>IF(priority(Main[[#This Row],[Comments]])&lt;&gt;0, priority(Main[[#This Row],[Comments]]),"")</f>
        <v/>
      </c>
      <c r="B915" s="90" t="s">
        <v>1884</v>
      </c>
      <c r="C915" s="72" t="s">
        <v>31</v>
      </c>
      <c r="D915" s="73" t="s">
        <v>934</v>
      </c>
      <c r="E915" s="74"/>
      <c r="F915" s="74">
        <v>40664</v>
      </c>
      <c r="G915" s="75" t="str">
        <f>IF(stdProdLT(Main[[#This Row],[Comments]])=0.1,"N/A",IF(stdProdLT(Main[[#This Row],[Comments]])=0,"",stdProdLT(Main[[#This Row],[Comments]])))</f>
        <v/>
      </c>
      <c r="H915" s="76">
        <f>IF(AND(Main[[#This Row],[In Stock Date]]&lt;&gt;"",Main[[#This Row],[Revised Due Date]]&lt;&gt;""),Main[[#This Row],[In Stock Date]]-Main[[#This Row],[Revised Due Date]],"")</f>
        <v>87</v>
      </c>
      <c r="I915" s="72" t="s">
        <v>102</v>
      </c>
      <c r="J915" s="72" t="s">
        <v>75</v>
      </c>
      <c r="K915" s="72" t="s">
        <v>1946</v>
      </c>
      <c r="L915" s="74"/>
      <c r="M915" s="77" t="str">
        <f>IF(Main[[#This Row],[Tech Start Date]]&lt;1/1/1990,"",IF(Main[[#This Row],[Class]]="C",WORKDAY(Main[[#This Row],[Tech Start Date]],9),IF(Main[[#This Row],[Class]]="B", WORKDAY(Main[[#This Row],[Tech Start Date]],6),IF(Main[[#This Row],[Class]]="A",WORKDAY(Main[[#This Row],[Tech Start Date]],2),""))))</f>
        <v/>
      </c>
      <c r="N915" s="77" t="str">
        <f>IF(Main[[#This Row],[Tech Start Date]]&lt;1/1/1990,"",IF(Main[[#This Row],[Class]]="C",WORKDAY(Main[[#This Row],[Tech Start Date]],19),IF(Main[[#This Row],[Class]]="B", WORKDAY(Main[[#This Row],[Tech Start Date]],12),IF(Main[[#This Row],[Class]]="A",WORKDAY(Main[[#This Row],[Tech Start Date]],4),""))))</f>
        <v/>
      </c>
      <c r="O915" s="77" t="str">
        <f>IF(Main[[#This Row],[Tech Start Date]]&lt;1/1/1990,"",IF(Main[[#This Row],[Class]]="C",WORKDAY(Main[[#This Row],[Tech Start Date]],23),IF(Main[[#This Row],[Class]]="B", WORKDAY(Main[[#This Row],[Tech Start Date]],15),IF(Main[[#This Row],[Class]]="A",WORKDAY(Main[[#This Row],[Tech Start Date]],5),""))))</f>
        <v/>
      </c>
      <c r="P915" s="77" t="str">
        <f>IF(Main[[#This Row],[Tech Start Date]]&lt;1/1/1990,"",IF(Main[[#This Row],[Class]]="C",WORKDAY(Main[[#This Row],[Tech Start Date]],28),IF(Main[[#This Row],[Class]]="B", WORKDAY(Main[[#This Row],[Tech Start Date]],19),IF(Main[[#This Row],[Class]]="A",WORKDAY(Main[[#This Row],[Tech Start Date]],9),""))))</f>
        <v/>
      </c>
      <c r="Q915" s="74">
        <v>40589</v>
      </c>
      <c r="R915" s="74">
        <v>40577</v>
      </c>
      <c r="S915" s="72" t="s">
        <v>11</v>
      </c>
      <c r="T915" s="80" t="s">
        <v>4</v>
      </c>
      <c r="U915" s="72" t="s">
        <v>14</v>
      </c>
      <c r="V915" s="72" t="s">
        <v>1940</v>
      </c>
      <c r="W915" s="72" t="s">
        <v>1943</v>
      </c>
      <c r="X915" s="72" t="s">
        <v>2977</v>
      </c>
      <c r="Y915" s="72" t="s">
        <v>3125</v>
      </c>
      <c r="Z915" s="72" t="s">
        <v>536</v>
      </c>
    </row>
    <row r="916" spans="1:26" ht="18.600000000000001" customHeight="1">
      <c r="A916" s="142" t="str">
        <f>IF(priority(Main[[#This Row],[Comments]])&lt;&gt;0, priority(Main[[#This Row],[Comments]]),"")</f>
        <v/>
      </c>
      <c r="B916" s="90" t="s">
        <v>1742</v>
      </c>
      <c r="C916" s="72" t="s">
        <v>4</v>
      </c>
      <c r="D916" s="73" t="s">
        <v>788</v>
      </c>
      <c r="E916" s="74"/>
      <c r="F916" s="74">
        <v>40025</v>
      </c>
      <c r="G916" s="75" t="str">
        <f>IF(stdProdLT(Main[[#This Row],[Comments]])=0.1,"N/A",IF(stdProdLT(Main[[#This Row],[Comments]])=0,"",stdProdLT(Main[[#This Row],[Comments]])))</f>
        <v/>
      </c>
      <c r="H916" s="76" t="str">
        <f>IF(AND(Main[[#This Row],[In Stock Date]]&lt;&gt;"",Main[[#This Row],[Revised Due Date]]&lt;&gt;""),Main[[#This Row],[In Stock Date]]-Main[[#This Row],[Revised Due Date]],"")</f>
        <v/>
      </c>
      <c r="I916" s="72" t="s">
        <v>4</v>
      </c>
      <c r="J916" s="72" t="s">
        <v>4</v>
      </c>
      <c r="K916" s="72" t="s">
        <v>4</v>
      </c>
      <c r="L916" s="74"/>
      <c r="M916" s="77" t="str">
        <f>IF(Main[[#This Row],[Tech Start Date]]&lt;1/1/1990,"",IF(Main[[#This Row],[Class]]="C",WORKDAY(Main[[#This Row],[Tech Start Date]],9),IF(Main[[#This Row],[Class]]="B", WORKDAY(Main[[#This Row],[Tech Start Date]],6),IF(Main[[#This Row],[Class]]="A",WORKDAY(Main[[#This Row],[Tech Start Date]],2),""))))</f>
        <v/>
      </c>
      <c r="N916" s="77" t="str">
        <f>IF(Main[[#This Row],[Tech Start Date]]&lt;1/1/1990,"",IF(Main[[#This Row],[Class]]="C",WORKDAY(Main[[#This Row],[Tech Start Date]],19),IF(Main[[#This Row],[Class]]="B", WORKDAY(Main[[#This Row],[Tech Start Date]],12),IF(Main[[#This Row],[Class]]="A",WORKDAY(Main[[#This Row],[Tech Start Date]],4),""))))</f>
        <v/>
      </c>
      <c r="O916" s="77" t="str">
        <f>IF(Main[[#This Row],[Tech Start Date]]&lt;1/1/1990,"",IF(Main[[#This Row],[Class]]="C",WORKDAY(Main[[#This Row],[Tech Start Date]],23),IF(Main[[#This Row],[Class]]="B", WORKDAY(Main[[#This Row],[Tech Start Date]],15),IF(Main[[#This Row],[Class]]="A",WORKDAY(Main[[#This Row],[Tech Start Date]],5),""))))</f>
        <v/>
      </c>
      <c r="P916" s="77" t="str">
        <f>IF(Main[[#This Row],[Tech Start Date]]&lt;1/1/1990,"",IF(Main[[#This Row],[Class]]="C",WORKDAY(Main[[#This Row],[Tech Start Date]],28),IF(Main[[#This Row],[Class]]="B", WORKDAY(Main[[#This Row],[Tech Start Date]],19),IF(Main[[#This Row],[Class]]="A",WORKDAY(Main[[#This Row],[Tech Start Date]],9),""))))</f>
        <v/>
      </c>
      <c r="Q916" s="74">
        <v>39963</v>
      </c>
      <c r="R916" s="74"/>
      <c r="S916" s="72" t="s">
        <v>11</v>
      </c>
      <c r="T916" s="80" t="s">
        <v>4</v>
      </c>
      <c r="U916" s="72" t="s">
        <v>14</v>
      </c>
      <c r="V916" s="72" t="s">
        <v>1947</v>
      </c>
      <c r="W916" s="72" t="s">
        <v>1945</v>
      </c>
      <c r="X916" s="72" t="s">
        <v>3015</v>
      </c>
      <c r="Y916" s="72" t="s">
        <v>3227</v>
      </c>
      <c r="Z916" s="72" t="s">
        <v>4</v>
      </c>
    </row>
    <row r="917" spans="1:26" ht="18.600000000000001" customHeight="1">
      <c r="A917" s="142" t="str">
        <f>IF(priority(Main[[#This Row],[Comments]])&lt;&gt;0, priority(Main[[#This Row],[Comments]]),"")</f>
        <v/>
      </c>
      <c r="B917" s="90" t="s">
        <v>1743</v>
      </c>
      <c r="C917" s="72" t="s">
        <v>4</v>
      </c>
      <c r="D917" s="73" t="s">
        <v>789</v>
      </c>
      <c r="E917" s="74">
        <v>40506.439513888887</v>
      </c>
      <c r="F917" s="74"/>
      <c r="G917" s="75" t="str">
        <f>IF(stdProdLT(Main[[#This Row],[Comments]])=0.1,"N/A",IF(stdProdLT(Main[[#This Row],[Comments]])=0,"",stdProdLT(Main[[#This Row],[Comments]])))</f>
        <v/>
      </c>
      <c r="H917" s="76" t="str">
        <f>IF(AND(Main[[#This Row],[In Stock Date]]&lt;&gt;"",Main[[#This Row],[Revised Due Date]]&lt;&gt;""),Main[[#This Row],[In Stock Date]]-Main[[#This Row],[Revised Due Date]],"")</f>
        <v/>
      </c>
      <c r="I917" s="72" t="s">
        <v>4</v>
      </c>
      <c r="J917" s="72" t="s">
        <v>28</v>
      </c>
      <c r="K917" s="72" t="s">
        <v>1944</v>
      </c>
      <c r="L917" s="74"/>
      <c r="M917" s="77" t="str">
        <f>IF(Main[[#This Row],[Tech Start Date]]&lt;1/1/1990,"",IF(Main[[#This Row],[Class]]="C",WORKDAY(Main[[#This Row],[Tech Start Date]],9),IF(Main[[#This Row],[Class]]="B", WORKDAY(Main[[#This Row],[Tech Start Date]],6),IF(Main[[#This Row],[Class]]="A",WORKDAY(Main[[#This Row],[Tech Start Date]],2),""))))</f>
        <v/>
      </c>
      <c r="N917" s="77" t="str">
        <f>IF(Main[[#This Row],[Tech Start Date]]&lt;1/1/1990,"",IF(Main[[#This Row],[Class]]="C",WORKDAY(Main[[#This Row],[Tech Start Date]],19),IF(Main[[#This Row],[Class]]="B", WORKDAY(Main[[#This Row],[Tech Start Date]],12),IF(Main[[#This Row],[Class]]="A",WORKDAY(Main[[#This Row],[Tech Start Date]],4),""))))</f>
        <v/>
      </c>
      <c r="O917" s="77" t="str">
        <f>IF(Main[[#This Row],[Tech Start Date]]&lt;1/1/1990,"",IF(Main[[#This Row],[Class]]="C",WORKDAY(Main[[#This Row],[Tech Start Date]],23),IF(Main[[#This Row],[Class]]="B", WORKDAY(Main[[#This Row],[Tech Start Date]],15),IF(Main[[#This Row],[Class]]="A",WORKDAY(Main[[#This Row],[Tech Start Date]],5),""))))</f>
        <v/>
      </c>
      <c r="P917" s="77" t="str">
        <f>IF(Main[[#This Row],[Tech Start Date]]&lt;1/1/1990,"",IF(Main[[#This Row],[Class]]="C",WORKDAY(Main[[#This Row],[Tech Start Date]],28),IF(Main[[#This Row],[Class]]="B", WORKDAY(Main[[#This Row],[Tech Start Date]],19),IF(Main[[#This Row],[Class]]="A",WORKDAY(Main[[#This Row],[Tech Start Date]],9),""))))</f>
        <v/>
      </c>
      <c r="Q917" s="74">
        <v>40555</v>
      </c>
      <c r="R917" s="74"/>
      <c r="S917" s="72" t="s">
        <v>6</v>
      </c>
      <c r="T917" s="80" t="s">
        <v>4</v>
      </c>
      <c r="U917" s="72" t="s">
        <v>7</v>
      </c>
      <c r="V917" s="72" t="s">
        <v>1937</v>
      </c>
      <c r="W917" s="72" t="s">
        <v>1941</v>
      </c>
      <c r="X917" s="72" t="s">
        <v>2973</v>
      </c>
      <c r="Y917" s="72" t="s">
        <v>3094</v>
      </c>
      <c r="Z917" s="72" t="s">
        <v>129</v>
      </c>
    </row>
    <row r="918" spans="1:26" ht="18.600000000000001" customHeight="1">
      <c r="A918" s="142" t="str">
        <f>IF(priority(Main[[#This Row],[Comments]])&lt;&gt;0, priority(Main[[#This Row],[Comments]]),"")</f>
        <v/>
      </c>
      <c r="B918" s="90" t="s">
        <v>1677</v>
      </c>
      <c r="C918" s="72" t="s">
        <v>4</v>
      </c>
      <c r="D918" s="73" t="s">
        <v>732</v>
      </c>
      <c r="E918" s="74"/>
      <c r="F918" s="74">
        <v>40640</v>
      </c>
      <c r="G918" s="75" t="str">
        <f>IF(stdProdLT(Main[[#This Row],[Comments]])=0.1,"N/A",IF(stdProdLT(Main[[#This Row],[Comments]])=0,"",stdProdLT(Main[[#This Row],[Comments]])))</f>
        <v/>
      </c>
      <c r="H918" s="76" t="str">
        <f>IF(AND(Main[[#This Row],[In Stock Date]]&lt;&gt;"",Main[[#This Row],[Revised Due Date]]&lt;&gt;""),Main[[#This Row],[In Stock Date]]-Main[[#This Row],[Revised Due Date]],"")</f>
        <v/>
      </c>
      <c r="I918" s="72" t="s">
        <v>4</v>
      </c>
      <c r="J918" s="72" t="s">
        <v>28</v>
      </c>
      <c r="K918" s="72" t="s">
        <v>1950</v>
      </c>
      <c r="L918" s="74"/>
      <c r="M918" s="77" t="str">
        <f>IF(Main[[#This Row],[Tech Start Date]]&lt;1/1/1990,"",IF(Main[[#This Row],[Class]]="C",WORKDAY(Main[[#This Row],[Tech Start Date]],9),IF(Main[[#This Row],[Class]]="B", WORKDAY(Main[[#This Row],[Tech Start Date]],6),IF(Main[[#This Row],[Class]]="A",WORKDAY(Main[[#This Row],[Tech Start Date]],2),""))))</f>
        <v/>
      </c>
      <c r="N918" s="77" t="str">
        <f>IF(Main[[#This Row],[Tech Start Date]]&lt;1/1/1990,"",IF(Main[[#This Row],[Class]]="C",WORKDAY(Main[[#This Row],[Tech Start Date]],19),IF(Main[[#This Row],[Class]]="B", WORKDAY(Main[[#This Row],[Tech Start Date]],12),IF(Main[[#This Row],[Class]]="A",WORKDAY(Main[[#This Row],[Tech Start Date]],4),""))))</f>
        <v/>
      </c>
      <c r="O918" s="77" t="str">
        <f>IF(Main[[#This Row],[Tech Start Date]]&lt;1/1/1990,"",IF(Main[[#This Row],[Class]]="C",WORKDAY(Main[[#This Row],[Tech Start Date]],23),IF(Main[[#This Row],[Class]]="B", WORKDAY(Main[[#This Row],[Tech Start Date]],15),IF(Main[[#This Row],[Class]]="A",WORKDAY(Main[[#This Row],[Tech Start Date]],5),""))))</f>
        <v/>
      </c>
      <c r="P918" s="77" t="str">
        <f>IF(Main[[#This Row],[Tech Start Date]]&lt;1/1/1990,"",IF(Main[[#This Row],[Class]]="C",WORKDAY(Main[[#This Row],[Tech Start Date]],28),IF(Main[[#This Row],[Class]]="B", WORKDAY(Main[[#This Row],[Tech Start Date]],19),IF(Main[[#This Row],[Class]]="A",WORKDAY(Main[[#This Row],[Tech Start Date]],9),""))))</f>
        <v/>
      </c>
      <c r="Q918" s="74">
        <v>40640</v>
      </c>
      <c r="R918" s="74"/>
      <c r="S918" s="72" t="s">
        <v>11</v>
      </c>
      <c r="T918" s="80" t="s">
        <v>4</v>
      </c>
      <c r="U918" s="72" t="s">
        <v>14</v>
      </c>
      <c r="V918" s="72" t="s">
        <v>1937</v>
      </c>
      <c r="W918" s="72" t="s">
        <v>1945</v>
      </c>
      <c r="X918" s="72" t="s">
        <v>3013</v>
      </c>
      <c r="Y918" s="72" t="s">
        <v>3163</v>
      </c>
      <c r="Z918" s="72" t="s">
        <v>129</v>
      </c>
    </row>
    <row r="919" spans="1:26" ht="18.600000000000001" customHeight="1">
      <c r="A919" s="142" t="str">
        <f>IF(priority(Main[[#This Row],[Comments]])&lt;&gt;0, priority(Main[[#This Row],[Comments]]),"")</f>
        <v/>
      </c>
      <c r="B919" s="90" t="s">
        <v>1678</v>
      </c>
      <c r="C919" s="72" t="s">
        <v>4</v>
      </c>
      <c r="D919" s="73" t="s">
        <v>733</v>
      </c>
      <c r="E919" s="74"/>
      <c r="F919" s="74"/>
      <c r="G919" s="75" t="str">
        <f>IF(stdProdLT(Main[[#This Row],[Comments]])=0.1,"N/A",IF(stdProdLT(Main[[#This Row],[Comments]])=0,"",stdProdLT(Main[[#This Row],[Comments]])))</f>
        <v/>
      </c>
      <c r="H919" s="76" t="str">
        <f>IF(AND(Main[[#This Row],[In Stock Date]]&lt;&gt;"",Main[[#This Row],[Revised Due Date]]&lt;&gt;""),Main[[#This Row],[In Stock Date]]-Main[[#This Row],[Revised Due Date]],"")</f>
        <v/>
      </c>
      <c r="I919" s="72" t="s">
        <v>4</v>
      </c>
      <c r="J919" s="72" t="s">
        <v>4</v>
      </c>
      <c r="K919" s="72" t="s">
        <v>4</v>
      </c>
      <c r="L919" s="74"/>
      <c r="M919" s="77" t="str">
        <f>IF(Main[[#This Row],[Tech Start Date]]&lt;1/1/1990,"",IF(Main[[#This Row],[Class]]="C",WORKDAY(Main[[#This Row],[Tech Start Date]],9),IF(Main[[#This Row],[Class]]="B", WORKDAY(Main[[#This Row],[Tech Start Date]],6),IF(Main[[#This Row],[Class]]="A",WORKDAY(Main[[#This Row],[Tech Start Date]],2),""))))</f>
        <v/>
      </c>
      <c r="N919" s="77" t="str">
        <f>IF(Main[[#This Row],[Tech Start Date]]&lt;1/1/1990,"",IF(Main[[#This Row],[Class]]="C",WORKDAY(Main[[#This Row],[Tech Start Date]],19),IF(Main[[#This Row],[Class]]="B", WORKDAY(Main[[#This Row],[Tech Start Date]],12),IF(Main[[#This Row],[Class]]="A",WORKDAY(Main[[#This Row],[Tech Start Date]],4),""))))</f>
        <v/>
      </c>
      <c r="O919" s="77" t="str">
        <f>IF(Main[[#This Row],[Tech Start Date]]&lt;1/1/1990,"",IF(Main[[#This Row],[Class]]="C",WORKDAY(Main[[#This Row],[Tech Start Date]],23),IF(Main[[#This Row],[Class]]="B", WORKDAY(Main[[#This Row],[Tech Start Date]],15),IF(Main[[#This Row],[Class]]="A",WORKDAY(Main[[#This Row],[Tech Start Date]],5),""))))</f>
        <v/>
      </c>
      <c r="P919" s="77" t="str">
        <f>IF(Main[[#This Row],[Tech Start Date]]&lt;1/1/1990,"",IF(Main[[#This Row],[Class]]="C",WORKDAY(Main[[#This Row],[Tech Start Date]],28),IF(Main[[#This Row],[Class]]="B", WORKDAY(Main[[#This Row],[Tech Start Date]],19),IF(Main[[#This Row],[Class]]="A",WORKDAY(Main[[#This Row],[Tech Start Date]],9),""))))</f>
        <v/>
      </c>
      <c r="Q919" s="74">
        <v>40385</v>
      </c>
      <c r="R919" s="74"/>
      <c r="S919" s="72" t="s">
        <v>6</v>
      </c>
      <c r="T919" s="80" t="s">
        <v>4</v>
      </c>
      <c r="U919" s="72" t="s">
        <v>14</v>
      </c>
      <c r="V919" s="72" t="s">
        <v>1940</v>
      </c>
      <c r="W919" s="72" t="s">
        <v>1939</v>
      </c>
      <c r="X919" s="72" t="s">
        <v>102</v>
      </c>
      <c r="Y919" s="72" t="s">
        <v>3190</v>
      </c>
      <c r="Z919" s="72" t="s">
        <v>4</v>
      </c>
    </row>
    <row r="920" spans="1:26" ht="18.600000000000001" customHeight="1">
      <c r="A920" s="142" t="str">
        <f>IF(priority(Main[[#This Row],[Comments]])&lt;&gt;0, priority(Main[[#This Row],[Comments]]),"")</f>
        <v/>
      </c>
      <c r="B920" s="90" t="s">
        <v>2136</v>
      </c>
      <c r="C920" s="72" t="s">
        <v>2137</v>
      </c>
      <c r="D920" s="73" t="s">
        <v>2138</v>
      </c>
      <c r="E920" s="74">
        <v>40766.692789351851</v>
      </c>
      <c r="F920" s="74"/>
      <c r="G920" s="75" t="str">
        <f>IF(stdProdLT(Main[[#This Row],[Comments]])=0.1,"N/A",IF(stdProdLT(Main[[#This Row],[Comments]])=0,"",stdProdLT(Main[[#This Row],[Comments]])))</f>
        <v/>
      </c>
      <c r="H920" s="76" t="str">
        <f>IF(AND(Main[[#This Row],[In Stock Date]]&lt;&gt;"",Main[[#This Row],[Revised Due Date]]&lt;&gt;""),Main[[#This Row],[In Stock Date]]-Main[[#This Row],[Revised Due Date]],"")</f>
        <v/>
      </c>
      <c r="I920" s="72" t="s">
        <v>4</v>
      </c>
      <c r="J920" s="72" t="s">
        <v>4</v>
      </c>
      <c r="K920" s="72" t="s">
        <v>4</v>
      </c>
      <c r="L920" s="74"/>
      <c r="M920" s="77" t="str">
        <f>IF(Main[[#This Row],[Tech Start Date]]&lt;1/1/1990,"",IF(Main[[#This Row],[Class]]="C",WORKDAY(Main[[#This Row],[Tech Start Date]],9),IF(Main[[#This Row],[Class]]="B", WORKDAY(Main[[#This Row],[Tech Start Date]],6),IF(Main[[#This Row],[Class]]="A",WORKDAY(Main[[#This Row],[Tech Start Date]],2),""))))</f>
        <v/>
      </c>
      <c r="N920" s="77" t="str">
        <f>IF(Main[[#This Row],[Tech Start Date]]&lt;1/1/1990,"",IF(Main[[#This Row],[Class]]="C",WORKDAY(Main[[#This Row],[Tech Start Date]],19),IF(Main[[#This Row],[Class]]="B", WORKDAY(Main[[#This Row],[Tech Start Date]],12),IF(Main[[#This Row],[Class]]="A",WORKDAY(Main[[#This Row],[Tech Start Date]],4),""))))</f>
        <v/>
      </c>
      <c r="O920" s="77" t="str">
        <f>IF(Main[[#This Row],[Tech Start Date]]&lt;1/1/1990,"",IF(Main[[#This Row],[Class]]="C",WORKDAY(Main[[#This Row],[Tech Start Date]],23),IF(Main[[#This Row],[Class]]="B", WORKDAY(Main[[#This Row],[Tech Start Date]],15),IF(Main[[#This Row],[Class]]="A",WORKDAY(Main[[#This Row],[Tech Start Date]],5),""))))</f>
        <v/>
      </c>
      <c r="P920" s="77" t="str">
        <f>IF(Main[[#This Row],[Tech Start Date]]&lt;1/1/1990,"",IF(Main[[#This Row],[Class]]="C",WORKDAY(Main[[#This Row],[Tech Start Date]],28),IF(Main[[#This Row],[Class]]="B", WORKDAY(Main[[#This Row],[Tech Start Date]],19),IF(Main[[#This Row],[Class]]="A",WORKDAY(Main[[#This Row],[Tech Start Date]],9),""))))</f>
        <v/>
      </c>
      <c r="Q920" s="74">
        <v>40879</v>
      </c>
      <c r="R920" s="74"/>
      <c r="S920" s="72" t="s">
        <v>17</v>
      </c>
      <c r="T920" s="80" t="s">
        <v>4</v>
      </c>
      <c r="U920" s="72" t="s">
        <v>7</v>
      </c>
      <c r="V920" s="72" t="s">
        <v>1952</v>
      </c>
      <c r="W920" s="72" t="s">
        <v>4</v>
      </c>
      <c r="X920" s="72" t="s">
        <v>972</v>
      </c>
      <c r="Y920" s="72" t="s">
        <v>3253</v>
      </c>
      <c r="Z920" s="72" t="s">
        <v>4</v>
      </c>
    </row>
    <row r="921" spans="1:26" ht="18.600000000000001" customHeight="1">
      <c r="A921" s="142" t="str">
        <f>IF(priority(Main[[#This Row],[Comments]])&lt;&gt;0, priority(Main[[#This Row],[Comments]]),"")</f>
        <v/>
      </c>
      <c r="B921" s="90" t="s">
        <v>2037</v>
      </c>
      <c r="C921" s="72" t="s">
        <v>4</v>
      </c>
      <c r="D921" s="73" t="s">
        <v>2118</v>
      </c>
      <c r="E921" s="74">
        <v>40745.696377314816</v>
      </c>
      <c r="F921" s="74"/>
      <c r="G921" s="75" t="str">
        <f>IF(stdProdLT(Main[[#This Row],[Comments]])=0.1,"N/A",IF(stdProdLT(Main[[#This Row],[Comments]])=0,"",stdProdLT(Main[[#This Row],[Comments]])))</f>
        <v/>
      </c>
      <c r="H921" s="76" t="str">
        <f>IF(AND(Main[[#This Row],[In Stock Date]]&lt;&gt;"",Main[[#This Row],[Revised Due Date]]&lt;&gt;""),Main[[#This Row],[In Stock Date]]-Main[[#This Row],[Revised Due Date]],"")</f>
        <v/>
      </c>
      <c r="I921" s="72" t="s">
        <v>437</v>
      </c>
      <c r="J921" s="72" t="s">
        <v>21</v>
      </c>
      <c r="K921" s="72" t="s">
        <v>1946</v>
      </c>
      <c r="L921" s="74"/>
      <c r="M921" s="77" t="str">
        <f>IF(Main[[#This Row],[Tech Start Date]]&lt;1/1/1990,"",IF(Main[[#This Row],[Class]]="C",WORKDAY(Main[[#This Row],[Tech Start Date]],9),IF(Main[[#This Row],[Class]]="B", WORKDAY(Main[[#This Row],[Tech Start Date]],6),IF(Main[[#This Row],[Class]]="A",WORKDAY(Main[[#This Row],[Tech Start Date]],2),""))))</f>
        <v/>
      </c>
      <c r="N921" s="77" t="str">
        <f>IF(Main[[#This Row],[Tech Start Date]]&lt;1/1/1990,"",IF(Main[[#This Row],[Class]]="C",WORKDAY(Main[[#This Row],[Tech Start Date]],19),IF(Main[[#This Row],[Class]]="B", WORKDAY(Main[[#This Row],[Tech Start Date]],12),IF(Main[[#This Row],[Class]]="A",WORKDAY(Main[[#This Row],[Tech Start Date]],4),""))))</f>
        <v/>
      </c>
      <c r="O921" s="77" t="str">
        <f>IF(Main[[#This Row],[Tech Start Date]]&lt;1/1/1990,"",IF(Main[[#This Row],[Class]]="C",WORKDAY(Main[[#This Row],[Tech Start Date]],23),IF(Main[[#This Row],[Class]]="B", WORKDAY(Main[[#This Row],[Tech Start Date]],15),IF(Main[[#This Row],[Class]]="A",WORKDAY(Main[[#This Row],[Tech Start Date]],5),""))))</f>
        <v/>
      </c>
      <c r="P921" s="77" t="str">
        <f>IF(Main[[#This Row],[Tech Start Date]]&lt;1/1/1990,"",IF(Main[[#This Row],[Class]]="C",WORKDAY(Main[[#This Row],[Tech Start Date]],28),IF(Main[[#This Row],[Class]]="B", WORKDAY(Main[[#This Row],[Tech Start Date]],19),IF(Main[[#This Row],[Class]]="A",WORKDAY(Main[[#This Row],[Tech Start Date]],9),""))))</f>
        <v/>
      </c>
      <c r="Q921" s="74">
        <v>40786</v>
      </c>
      <c r="R921" s="74"/>
      <c r="S921" s="72" t="s">
        <v>6</v>
      </c>
      <c r="T921" s="80" t="s">
        <v>4</v>
      </c>
      <c r="U921" s="72" t="s">
        <v>29</v>
      </c>
      <c r="V921" s="72" t="s">
        <v>1940</v>
      </c>
      <c r="W921" s="72" t="s">
        <v>1941</v>
      </c>
      <c r="X921" s="72" t="s">
        <v>30</v>
      </c>
      <c r="Y921" s="72" t="s">
        <v>3254</v>
      </c>
      <c r="Z921" s="72" t="s">
        <v>44</v>
      </c>
    </row>
    <row r="922" spans="1:26" ht="18.600000000000001" customHeight="1">
      <c r="A922" s="142" t="str">
        <f>IF(priority(Main[[#This Row],[Comments]])&lt;&gt;0, priority(Main[[#This Row],[Comments]]),"")</f>
        <v/>
      </c>
      <c r="B922" s="90" t="s">
        <v>2219</v>
      </c>
      <c r="C922" s="72" t="s">
        <v>4</v>
      </c>
      <c r="D922" s="73" t="s">
        <v>2220</v>
      </c>
      <c r="E922" s="74"/>
      <c r="F922" s="74"/>
      <c r="G922" s="75" t="str">
        <f>IF(stdProdLT(Main[[#This Row],[Comments]])=0.1,"N/A",IF(stdProdLT(Main[[#This Row],[Comments]])=0,"",stdProdLT(Main[[#This Row],[Comments]])))</f>
        <v/>
      </c>
      <c r="H922" s="76" t="str">
        <f>IF(AND(Main[[#This Row],[In Stock Date]]&lt;&gt;"",Main[[#This Row],[Revised Due Date]]&lt;&gt;""),Main[[#This Row],[In Stock Date]]-Main[[#This Row],[Revised Due Date]],"")</f>
        <v/>
      </c>
      <c r="I922" s="72" t="s">
        <v>4</v>
      </c>
      <c r="J922" s="72" t="s">
        <v>4</v>
      </c>
      <c r="K922" s="72" t="s">
        <v>4</v>
      </c>
      <c r="L922" s="74"/>
      <c r="M922" s="77" t="str">
        <f>IF(Main[[#This Row],[Tech Start Date]]&lt;1/1/1990,"",IF(Main[[#This Row],[Class]]="C",WORKDAY(Main[[#This Row],[Tech Start Date]],9),IF(Main[[#This Row],[Class]]="B", WORKDAY(Main[[#This Row],[Tech Start Date]],6),IF(Main[[#This Row],[Class]]="A",WORKDAY(Main[[#This Row],[Tech Start Date]],2),""))))</f>
        <v/>
      </c>
      <c r="N922" s="77" t="str">
        <f>IF(Main[[#This Row],[Tech Start Date]]&lt;1/1/1990,"",IF(Main[[#This Row],[Class]]="C",WORKDAY(Main[[#This Row],[Tech Start Date]],19),IF(Main[[#This Row],[Class]]="B", WORKDAY(Main[[#This Row],[Tech Start Date]],12),IF(Main[[#This Row],[Class]]="A",WORKDAY(Main[[#This Row],[Tech Start Date]],4),""))))</f>
        <v/>
      </c>
      <c r="O922" s="77" t="str">
        <f>IF(Main[[#This Row],[Tech Start Date]]&lt;1/1/1990,"",IF(Main[[#This Row],[Class]]="C",WORKDAY(Main[[#This Row],[Tech Start Date]],23),IF(Main[[#This Row],[Class]]="B", WORKDAY(Main[[#This Row],[Tech Start Date]],15),IF(Main[[#This Row],[Class]]="A",WORKDAY(Main[[#This Row],[Tech Start Date]],5),""))))</f>
        <v/>
      </c>
      <c r="P922" s="77" t="str">
        <f>IF(Main[[#This Row],[Tech Start Date]]&lt;1/1/1990,"",IF(Main[[#This Row],[Class]]="C",WORKDAY(Main[[#This Row],[Tech Start Date]],28),IF(Main[[#This Row],[Class]]="B", WORKDAY(Main[[#This Row],[Tech Start Date]],19),IF(Main[[#This Row],[Class]]="A",WORKDAY(Main[[#This Row],[Tech Start Date]],9),""))))</f>
        <v/>
      </c>
      <c r="Q922" s="74">
        <v>40798</v>
      </c>
      <c r="R922" s="74"/>
      <c r="S922" s="72" t="s">
        <v>49</v>
      </c>
      <c r="T922" s="80" t="s">
        <v>4</v>
      </c>
      <c r="U922" s="72" t="s">
        <v>14</v>
      </c>
      <c r="V922" s="72" t="s">
        <v>1947</v>
      </c>
      <c r="W922" s="72" t="s">
        <v>1945</v>
      </c>
      <c r="X922" s="72" t="s">
        <v>3058</v>
      </c>
      <c r="Y922" s="72" t="s">
        <v>3255</v>
      </c>
      <c r="Z922" s="72" t="s">
        <v>4</v>
      </c>
    </row>
    <row r="923" spans="1:26" ht="18.600000000000001" customHeight="1">
      <c r="A923" s="142" t="str">
        <f>IF(priority(Main[[#This Row],[Comments]])&lt;&gt;0, priority(Main[[#This Row],[Comments]]),"")</f>
        <v/>
      </c>
      <c r="B923" s="90" t="s">
        <v>1698</v>
      </c>
      <c r="C923" s="72" t="s">
        <v>72</v>
      </c>
      <c r="D923" s="73" t="s">
        <v>747</v>
      </c>
      <c r="E923" s="74"/>
      <c r="F923" s="74"/>
      <c r="G923" s="75" t="str">
        <f>IF(stdProdLT(Main[[#This Row],[Comments]])=0.1,"N/A",IF(stdProdLT(Main[[#This Row],[Comments]])=0,"",stdProdLT(Main[[#This Row],[Comments]])))</f>
        <v/>
      </c>
      <c r="H923" s="76" t="str">
        <f>IF(AND(Main[[#This Row],[In Stock Date]]&lt;&gt;"",Main[[#This Row],[Revised Due Date]]&lt;&gt;""),Main[[#This Row],[In Stock Date]]-Main[[#This Row],[Revised Due Date]],"")</f>
        <v/>
      </c>
      <c r="I923" s="72" t="s">
        <v>4</v>
      </c>
      <c r="J923" s="72" t="s">
        <v>28</v>
      </c>
      <c r="K923" s="72" t="s">
        <v>1946</v>
      </c>
      <c r="L923" s="74"/>
      <c r="M923" s="77" t="str">
        <f>IF(Main[[#This Row],[Tech Start Date]]&lt;1/1/1990,"",IF(Main[[#This Row],[Class]]="C",WORKDAY(Main[[#This Row],[Tech Start Date]],9),IF(Main[[#This Row],[Class]]="B", WORKDAY(Main[[#This Row],[Tech Start Date]],6),IF(Main[[#This Row],[Class]]="A",WORKDAY(Main[[#This Row],[Tech Start Date]],2),""))))</f>
        <v/>
      </c>
      <c r="N923" s="77" t="str">
        <f>IF(Main[[#This Row],[Tech Start Date]]&lt;1/1/1990,"",IF(Main[[#This Row],[Class]]="C",WORKDAY(Main[[#This Row],[Tech Start Date]],19),IF(Main[[#This Row],[Class]]="B", WORKDAY(Main[[#This Row],[Tech Start Date]],12),IF(Main[[#This Row],[Class]]="A",WORKDAY(Main[[#This Row],[Tech Start Date]],4),""))))</f>
        <v/>
      </c>
      <c r="O923" s="77" t="str">
        <f>IF(Main[[#This Row],[Tech Start Date]]&lt;1/1/1990,"",IF(Main[[#This Row],[Class]]="C",WORKDAY(Main[[#This Row],[Tech Start Date]],23),IF(Main[[#This Row],[Class]]="B", WORKDAY(Main[[#This Row],[Tech Start Date]],15),IF(Main[[#This Row],[Class]]="A",WORKDAY(Main[[#This Row],[Tech Start Date]],5),""))))</f>
        <v/>
      </c>
      <c r="P923" s="77" t="str">
        <f>IF(Main[[#This Row],[Tech Start Date]]&lt;1/1/1990,"",IF(Main[[#This Row],[Class]]="C",WORKDAY(Main[[#This Row],[Tech Start Date]],28),IF(Main[[#This Row],[Class]]="B", WORKDAY(Main[[#This Row],[Tech Start Date]],19),IF(Main[[#This Row],[Class]]="A",WORKDAY(Main[[#This Row],[Tech Start Date]],9),""))))</f>
        <v/>
      </c>
      <c r="Q923" s="74"/>
      <c r="R923" s="74"/>
      <c r="S923" s="72" t="s">
        <v>6</v>
      </c>
      <c r="T923" s="80" t="s">
        <v>4</v>
      </c>
      <c r="U923" s="72" t="s">
        <v>14</v>
      </c>
      <c r="V923" s="72" t="s">
        <v>1940</v>
      </c>
      <c r="W923" s="72" t="s">
        <v>1939</v>
      </c>
      <c r="X923" s="72" t="s">
        <v>2999</v>
      </c>
      <c r="Y923" s="72" t="s">
        <v>3136</v>
      </c>
      <c r="Z923" s="72" t="s">
        <v>536</v>
      </c>
    </row>
    <row r="924" spans="1:26" ht="18.600000000000001" customHeight="1">
      <c r="A924" s="142" t="str">
        <f>IF(priority(Main[[#This Row],[Comments]])&lt;&gt;0, priority(Main[[#This Row],[Comments]]),"")</f>
        <v/>
      </c>
      <c r="B924" s="90" t="s">
        <v>1745</v>
      </c>
      <c r="C924" s="72" t="s">
        <v>791</v>
      </c>
      <c r="D924" s="73" t="s">
        <v>792</v>
      </c>
      <c r="E924" s="74"/>
      <c r="F924" s="74">
        <v>40591</v>
      </c>
      <c r="G924" s="75" t="str">
        <f>IF(stdProdLT(Main[[#This Row],[Comments]])=0.1,"N/A",IF(stdProdLT(Main[[#This Row],[Comments]])=0,"",stdProdLT(Main[[#This Row],[Comments]])))</f>
        <v/>
      </c>
      <c r="H924" s="76" t="str">
        <f>IF(AND(Main[[#This Row],[In Stock Date]]&lt;&gt;"",Main[[#This Row],[Revised Due Date]]&lt;&gt;""),Main[[#This Row],[In Stock Date]]-Main[[#This Row],[Revised Due Date]],"")</f>
        <v/>
      </c>
      <c r="I924" s="72" t="s">
        <v>4</v>
      </c>
      <c r="J924" s="72" t="s">
        <v>4</v>
      </c>
      <c r="K924" s="72" t="s">
        <v>1949</v>
      </c>
      <c r="L924" s="74"/>
      <c r="M924" s="77" t="str">
        <f>IF(Main[[#This Row],[Tech Start Date]]&lt;1/1/1990,"",IF(Main[[#This Row],[Class]]="C",WORKDAY(Main[[#This Row],[Tech Start Date]],9),IF(Main[[#This Row],[Class]]="B", WORKDAY(Main[[#This Row],[Tech Start Date]],6),IF(Main[[#This Row],[Class]]="A",WORKDAY(Main[[#This Row],[Tech Start Date]],2),""))))</f>
        <v/>
      </c>
      <c r="N924" s="77" t="str">
        <f>IF(Main[[#This Row],[Tech Start Date]]&lt;1/1/1990,"",IF(Main[[#This Row],[Class]]="C",WORKDAY(Main[[#This Row],[Tech Start Date]],19),IF(Main[[#This Row],[Class]]="B", WORKDAY(Main[[#This Row],[Tech Start Date]],12),IF(Main[[#This Row],[Class]]="A",WORKDAY(Main[[#This Row],[Tech Start Date]],4),""))))</f>
        <v/>
      </c>
      <c r="O924" s="77" t="str">
        <f>IF(Main[[#This Row],[Tech Start Date]]&lt;1/1/1990,"",IF(Main[[#This Row],[Class]]="C",WORKDAY(Main[[#This Row],[Tech Start Date]],23),IF(Main[[#This Row],[Class]]="B", WORKDAY(Main[[#This Row],[Tech Start Date]],15),IF(Main[[#This Row],[Class]]="A",WORKDAY(Main[[#This Row],[Tech Start Date]],5),""))))</f>
        <v/>
      </c>
      <c r="P924" s="77" t="str">
        <f>IF(Main[[#This Row],[Tech Start Date]]&lt;1/1/1990,"",IF(Main[[#This Row],[Class]]="C",WORKDAY(Main[[#This Row],[Tech Start Date]],28),IF(Main[[#This Row],[Class]]="B", WORKDAY(Main[[#This Row],[Tech Start Date]],19),IF(Main[[#This Row],[Class]]="A",WORKDAY(Main[[#This Row],[Tech Start Date]],9),""))))</f>
        <v/>
      </c>
      <c r="Q924" s="74">
        <v>40514</v>
      </c>
      <c r="R924" s="74"/>
      <c r="S924" s="72" t="s">
        <v>11</v>
      </c>
      <c r="T924" s="80" t="s">
        <v>793</v>
      </c>
      <c r="U924" s="72" t="s">
        <v>14</v>
      </c>
      <c r="V924" s="72" t="s">
        <v>1937</v>
      </c>
      <c r="W924" s="72" t="s">
        <v>1942</v>
      </c>
      <c r="X924" s="72" t="s">
        <v>3056</v>
      </c>
      <c r="Y924" s="72" t="s">
        <v>4</v>
      </c>
      <c r="Z924" s="72" t="s">
        <v>4</v>
      </c>
    </row>
    <row r="925" spans="1:26" ht="18.600000000000001" customHeight="1">
      <c r="A925" s="142" t="str">
        <f>IF(priority(Main[[#This Row],[Comments]])&lt;&gt;0, priority(Main[[#This Row],[Comments]]),"")</f>
        <v/>
      </c>
      <c r="B925" s="90" t="s">
        <v>3379</v>
      </c>
      <c r="C925" s="72" t="s">
        <v>4</v>
      </c>
      <c r="D925" s="73" t="s">
        <v>3380</v>
      </c>
      <c r="E925" s="74">
        <v>40921.403067129628</v>
      </c>
      <c r="F925" s="74"/>
      <c r="G925" s="75" t="str">
        <f>IF(stdProdLT(Main[[#This Row],[Comments]])=0.1,"N/A",IF(stdProdLT(Main[[#This Row],[Comments]])=0,"",stdProdLT(Main[[#This Row],[Comments]])))</f>
        <v/>
      </c>
      <c r="H925" s="76" t="str">
        <f>IF(AND(Main[[#This Row],[In Stock Date]]&lt;&gt;"",Main[[#This Row],[Revised Due Date]]&lt;&gt;""),Main[[#This Row],[In Stock Date]]-Main[[#This Row],[Revised Due Date]],"")</f>
        <v/>
      </c>
      <c r="I925" s="72" t="s">
        <v>4</v>
      </c>
      <c r="J925" s="72" t="s">
        <v>4</v>
      </c>
      <c r="K925" s="72" t="s">
        <v>4</v>
      </c>
      <c r="L925" s="74"/>
      <c r="M925" s="77" t="str">
        <f>IF(Main[[#This Row],[Tech Start Date]]&lt;1/1/1990,"",IF(Main[[#This Row],[Class]]="C",WORKDAY(Main[[#This Row],[Tech Start Date]],9),IF(Main[[#This Row],[Class]]="B", WORKDAY(Main[[#This Row],[Tech Start Date]],6),IF(Main[[#This Row],[Class]]="A",WORKDAY(Main[[#This Row],[Tech Start Date]],2),""))))</f>
        <v/>
      </c>
      <c r="N925" s="77" t="str">
        <f>IF(Main[[#This Row],[Tech Start Date]]&lt;1/1/1990,"",IF(Main[[#This Row],[Class]]="C",WORKDAY(Main[[#This Row],[Tech Start Date]],19),IF(Main[[#This Row],[Class]]="B", WORKDAY(Main[[#This Row],[Tech Start Date]],12),IF(Main[[#This Row],[Class]]="A",WORKDAY(Main[[#This Row],[Tech Start Date]],4),""))))</f>
        <v/>
      </c>
      <c r="O925" s="77" t="str">
        <f>IF(Main[[#This Row],[Tech Start Date]]&lt;1/1/1990,"",IF(Main[[#This Row],[Class]]="C",WORKDAY(Main[[#This Row],[Tech Start Date]],23),IF(Main[[#This Row],[Class]]="B", WORKDAY(Main[[#This Row],[Tech Start Date]],15),IF(Main[[#This Row],[Class]]="A",WORKDAY(Main[[#This Row],[Tech Start Date]],5),""))))</f>
        <v/>
      </c>
      <c r="P925" s="77" t="str">
        <f>IF(Main[[#This Row],[Tech Start Date]]&lt;1/1/1990,"",IF(Main[[#This Row],[Class]]="C",WORKDAY(Main[[#This Row],[Tech Start Date]],28),IF(Main[[#This Row],[Class]]="B", WORKDAY(Main[[#This Row],[Tech Start Date]],19),IF(Main[[#This Row],[Class]]="A",WORKDAY(Main[[#This Row],[Tech Start Date]],9),""))))</f>
        <v/>
      </c>
      <c r="Q925" s="74"/>
      <c r="R925" s="74"/>
      <c r="S925" s="72" t="s">
        <v>6</v>
      </c>
      <c r="T925" s="80" t="s">
        <v>4</v>
      </c>
      <c r="U925" s="72" t="s">
        <v>29</v>
      </c>
      <c r="V925" s="72" t="s">
        <v>1940</v>
      </c>
      <c r="W925" s="72" t="s">
        <v>1945</v>
      </c>
      <c r="X925" s="72" t="s">
        <v>311</v>
      </c>
      <c r="Y925" s="72" t="s">
        <v>4</v>
      </c>
      <c r="Z925" s="72" t="s">
        <v>4</v>
      </c>
    </row>
    <row r="926" spans="1:26" ht="18.600000000000001" customHeight="1">
      <c r="A926" s="142" t="str">
        <f>IF(priority(Main[[#This Row],[Comments]])&lt;&gt;0, priority(Main[[#This Row],[Comments]]),"")</f>
        <v/>
      </c>
      <c r="B926" s="90" t="s">
        <v>1749</v>
      </c>
      <c r="C926" s="72" t="s">
        <v>4</v>
      </c>
      <c r="D926" s="73" t="s">
        <v>796</v>
      </c>
      <c r="E926" s="74">
        <v>40646.604930555557</v>
      </c>
      <c r="F926" s="74"/>
      <c r="G926" s="75" t="str">
        <f>IF(stdProdLT(Main[[#This Row],[Comments]])=0.1,"N/A",IF(stdProdLT(Main[[#This Row],[Comments]])=0,"",stdProdLT(Main[[#This Row],[Comments]])))</f>
        <v/>
      </c>
      <c r="H926" s="76" t="str">
        <f>IF(AND(Main[[#This Row],[In Stock Date]]&lt;&gt;"",Main[[#This Row],[Revised Due Date]]&lt;&gt;""),Main[[#This Row],[In Stock Date]]-Main[[#This Row],[Revised Due Date]],"")</f>
        <v/>
      </c>
      <c r="I926" s="72" t="s">
        <v>4</v>
      </c>
      <c r="J926" s="72" t="s">
        <v>4</v>
      </c>
      <c r="K926" s="72" t="s">
        <v>4</v>
      </c>
      <c r="L926" s="74"/>
      <c r="M926" s="77" t="str">
        <f>IF(Main[[#This Row],[Tech Start Date]]&lt;1/1/1990,"",IF(Main[[#This Row],[Class]]="C",WORKDAY(Main[[#This Row],[Tech Start Date]],9),IF(Main[[#This Row],[Class]]="B", WORKDAY(Main[[#This Row],[Tech Start Date]],6),IF(Main[[#This Row],[Class]]="A",WORKDAY(Main[[#This Row],[Tech Start Date]],2),""))))</f>
        <v/>
      </c>
      <c r="N926" s="77" t="str">
        <f>IF(Main[[#This Row],[Tech Start Date]]&lt;1/1/1990,"",IF(Main[[#This Row],[Class]]="C",WORKDAY(Main[[#This Row],[Tech Start Date]],19),IF(Main[[#This Row],[Class]]="B", WORKDAY(Main[[#This Row],[Tech Start Date]],12),IF(Main[[#This Row],[Class]]="A",WORKDAY(Main[[#This Row],[Tech Start Date]],4),""))))</f>
        <v/>
      </c>
      <c r="O926" s="77" t="str">
        <f>IF(Main[[#This Row],[Tech Start Date]]&lt;1/1/1990,"",IF(Main[[#This Row],[Class]]="C",WORKDAY(Main[[#This Row],[Tech Start Date]],23),IF(Main[[#This Row],[Class]]="B", WORKDAY(Main[[#This Row],[Tech Start Date]],15),IF(Main[[#This Row],[Class]]="A",WORKDAY(Main[[#This Row],[Tech Start Date]],5),""))))</f>
        <v/>
      </c>
      <c r="P926" s="77" t="str">
        <f>IF(Main[[#This Row],[Tech Start Date]]&lt;1/1/1990,"",IF(Main[[#This Row],[Class]]="C",WORKDAY(Main[[#This Row],[Tech Start Date]],28),IF(Main[[#This Row],[Class]]="B", WORKDAY(Main[[#This Row],[Tech Start Date]],19),IF(Main[[#This Row],[Class]]="A",WORKDAY(Main[[#This Row],[Tech Start Date]],9),""))))</f>
        <v/>
      </c>
      <c r="Q926" s="74">
        <v>40683</v>
      </c>
      <c r="R926" s="74"/>
      <c r="S926" s="72" t="s">
        <v>6</v>
      </c>
      <c r="T926" s="80" t="s">
        <v>4</v>
      </c>
      <c r="U926" s="72" t="s">
        <v>7</v>
      </c>
      <c r="V926" s="72" t="s">
        <v>1937</v>
      </c>
      <c r="W926" s="72" t="s">
        <v>4</v>
      </c>
      <c r="X926" s="72" t="s">
        <v>2970</v>
      </c>
      <c r="Y926" s="72" t="s">
        <v>3087</v>
      </c>
      <c r="Z926" s="72" t="s">
        <v>4</v>
      </c>
    </row>
    <row r="927" spans="1:26" ht="18.600000000000001" customHeight="1">
      <c r="A927" s="142" t="str">
        <f>IF(priority(Main[[#This Row],[Comments]])&lt;&gt;0, priority(Main[[#This Row],[Comments]]),"")</f>
        <v/>
      </c>
      <c r="B927" s="90" t="s">
        <v>1777</v>
      </c>
      <c r="C927" s="72" t="s">
        <v>4</v>
      </c>
      <c r="D927" s="73" t="s">
        <v>807</v>
      </c>
      <c r="E927" s="74"/>
      <c r="F927" s="74"/>
      <c r="G927" s="75" t="str">
        <f>IF(stdProdLT(Main[[#This Row],[Comments]])=0.1,"N/A",IF(stdProdLT(Main[[#This Row],[Comments]])=0,"",stdProdLT(Main[[#This Row],[Comments]])))</f>
        <v/>
      </c>
      <c r="H927" s="76" t="str">
        <f>IF(AND(Main[[#This Row],[In Stock Date]]&lt;&gt;"",Main[[#This Row],[Revised Due Date]]&lt;&gt;""),Main[[#This Row],[In Stock Date]]-Main[[#This Row],[Revised Due Date]],"")</f>
        <v/>
      </c>
      <c r="I927" s="72" t="s">
        <v>4</v>
      </c>
      <c r="J927" s="72" t="s">
        <v>4</v>
      </c>
      <c r="K927" s="72" t="s">
        <v>4</v>
      </c>
      <c r="L927" s="74"/>
      <c r="M927" s="77" t="str">
        <f>IF(Main[[#This Row],[Tech Start Date]]&lt;1/1/1990,"",IF(Main[[#This Row],[Class]]="C",WORKDAY(Main[[#This Row],[Tech Start Date]],9),IF(Main[[#This Row],[Class]]="B", WORKDAY(Main[[#This Row],[Tech Start Date]],6),IF(Main[[#This Row],[Class]]="A",WORKDAY(Main[[#This Row],[Tech Start Date]],2),""))))</f>
        <v/>
      </c>
      <c r="N927" s="77" t="str">
        <f>IF(Main[[#This Row],[Tech Start Date]]&lt;1/1/1990,"",IF(Main[[#This Row],[Class]]="C",WORKDAY(Main[[#This Row],[Tech Start Date]],19),IF(Main[[#This Row],[Class]]="B", WORKDAY(Main[[#This Row],[Tech Start Date]],12),IF(Main[[#This Row],[Class]]="A",WORKDAY(Main[[#This Row],[Tech Start Date]],4),""))))</f>
        <v/>
      </c>
      <c r="O927" s="77" t="str">
        <f>IF(Main[[#This Row],[Tech Start Date]]&lt;1/1/1990,"",IF(Main[[#This Row],[Class]]="C",WORKDAY(Main[[#This Row],[Tech Start Date]],23),IF(Main[[#This Row],[Class]]="B", WORKDAY(Main[[#This Row],[Tech Start Date]],15),IF(Main[[#This Row],[Class]]="A",WORKDAY(Main[[#This Row],[Tech Start Date]],5),""))))</f>
        <v/>
      </c>
      <c r="P927" s="77" t="str">
        <f>IF(Main[[#This Row],[Tech Start Date]]&lt;1/1/1990,"",IF(Main[[#This Row],[Class]]="C",WORKDAY(Main[[#This Row],[Tech Start Date]],28),IF(Main[[#This Row],[Class]]="B", WORKDAY(Main[[#This Row],[Tech Start Date]],19),IF(Main[[#This Row],[Class]]="A",WORKDAY(Main[[#This Row],[Tech Start Date]],9),""))))</f>
        <v/>
      </c>
      <c r="Q927" s="74"/>
      <c r="R927" s="74"/>
      <c r="S927" s="72" t="s">
        <v>23</v>
      </c>
      <c r="T927" s="80" t="s">
        <v>4</v>
      </c>
      <c r="U927" s="72" t="s">
        <v>14</v>
      </c>
      <c r="V927" s="72" t="s">
        <v>1940</v>
      </c>
      <c r="W927" s="72" t="s">
        <v>1941</v>
      </c>
      <c r="X927" s="72" t="s">
        <v>311</v>
      </c>
      <c r="Y927" s="72" t="s">
        <v>4</v>
      </c>
      <c r="Z927" s="72" t="s">
        <v>4</v>
      </c>
    </row>
    <row r="928" spans="1:26" ht="18.600000000000001" customHeight="1">
      <c r="A928" s="142" t="str">
        <f>IF(priority(Main[[#This Row],[Comments]])&lt;&gt;0, priority(Main[[#This Row],[Comments]]),"")</f>
        <v/>
      </c>
      <c r="B928" s="90" t="s">
        <v>1778</v>
      </c>
      <c r="C928" s="72" t="s">
        <v>122</v>
      </c>
      <c r="D928" s="73" t="s">
        <v>808</v>
      </c>
      <c r="E928" s="74"/>
      <c r="F928" s="74"/>
      <c r="G928" s="75" t="str">
        <f>IF(stdProdLT(Main[[#This Row],[Comments]])=0.1,"N/A",IF(stdProdLT(Main[[#This Row],[Comments]])=0,"",stdProdLT(Main[[#This Row],[Comments]])))</f>
        <v/>
      </c>
      <c r="H928" s="76" t="str">
        <f>IF(AND(Main[[#This Row],[In Stock Date]]&lt;&gt;"",Main[[#This Row],[Revised Due Date]]&lt;&gt;""),Main[[#This Row],[In Stock Date]]-Main[[#This Row],[Revised Due Date]],"")</f>
        <v/>
      </c>
      <c r="I928" s="72" t="s">
        <v>4</v>
      </c>
      <c r="J928" s="72" t="s">
        <v>4</v>
      </c>
      <c r="K928" s="72" t="s">
        <v>4</v>
      </c>
      <c r="L928" s="74"/>
      <c r="M928" s="77" t="str">
        <f>IF(Main[[#This Row],[Tech Start Date]]&lt;1/1/1990,"",IF(Main[[#This Row],[Class]]="C",WORKDAY(Main[[#This Row],[Tech Start Date]],9),IF(Main[[#This Row],[Class]]="B", WORKDAY(Main[[#This Row],[Tech Start Date]],6),IF(Main[[#This Row],[Class]]="A",WORKDAY(Main[[#This Row],[Tech Start Date]],2),""))))</f>
        <v/>
      </c>
      <c r="N928" s="77" t="str">
        <f>IF(Main[[#This Row],[Tech Start Date]]&lt;1/1/1990,"",IF(Main[[#This Row],[Class]]="C",WORKDAY(Main[[#This Row],[Tech Start Date]],19),IF(Main[[#This Row],[Class]]="B", WORKDAY(Main[[#This Row],[Tech Start Date]],12),IF(Main[[#This Row],[Class]]="A",WORKDAY(Main[[#This Row],[Tech Start Date]],4),""))))</f>
        <v/>
      </c>
      <c r="O928" s="77" t="str">
        <f>IF(Main[[#This Row],[Tech Start Date]]&lt;1/1/1990,"",IF(Main[[#This Row],[Class]]="C",WORKDAY(Main[[#This Row],[Tech Start Date]],23),IF(Main[[#This Row],[Class]]="B", WORKDAY(Main[[#This Row],[Tech Start Date]],15),IF(Main[[#This Row],[Class]]="A",WORKDAY(Main[[#This Row],[Tech Start Date]],5),""))))</f>
        <v/>
      </c>
      <c r="P928" s="77" t="str">
        <f>IF(Main[[#This Row],[Tech Start Date]]&lt;1/1/1990,"",IF(Main[[#This Row],[Class]]="C",WORKDAY(Main[[#This Row],[Tech Start Date]],28),IF(Main[[#This Row],[Class]]="B", WORKDAY(Main[[#This Row],[Tech Start Date]],19),IF(Main[[#This Row],[Class]]="A",WORKDAY(Main[[#This Row],[Tech Start Date]],9),""))))</f>
        <v/>
      </c>
      <c r="Q928" s="74">
        <v>40245</v>
      </c>
      <c r="R928" s="74"/>
      <c r="S928" s="72" t="s">
        <v>11</v>
      </c>
      <c r="T928" s="80" t="s">
        <v>4</v>
      </c>
      <c r="U928" s="72" t="s">
        <v>14</v>
      </c>
      <c r="V928" s="72" t="s">
        <v>1940</v>
      </c>
      <c r="W928" s="72" t="s">
        <v>1939</v>
      </c>
      <c r="X928" s="72" t="s">
        <v>3024</v>
      </c>
      <c r="Y928" s="72" t="s">
        <v>4</v>
      </c>
      <c r="Z928" s="72" t="s">
        <v>4</v>
      </c>
    </row>
    <row r="929" spans="1:26" ht="18.600000000000001" customHeight="1">
      <c r="A929" s="142" t="str">
        <f>IF(priority(Main[[#This Row],[Comments]])&lt;&gt;0, priority(Main[[#This Row],[Comments]]),"")</f>
        <v/>
      </c>
      <c r="B929" s="90" t="s">
        <v>1754</v>
      </c>
      <c r="C929" s="72" t="s">
        <v>4</v>
      </c>
      <c r="D929" s="73" t="s">
        <v>799</v>
      </c>
      <c r="E929" s="74"/>
      <c r="F929" s="74"/>
      <c r="G929" s="75" t="str">
        <f>IF(stdProdLT(Main[[#This Row],[Comments]])=0.1,"N/A",IF(stdProdLT(Main[[#This Row],[Comments]])=0,"",stdProdLT(Main[[#This Row],[Comments]])))</f>
        <v/>
      </c>
      <c r="H929" s="76" t="str">
        <f>IF(AND(Main[[#This Row],[In Stock Date]]&lt;&gt;"",Main[[#This Row],[Revised Due Date]]&lt;&gt;""),Main[[#This Row],[In Stock Date]]-Main[[#This Row],[Revised Due Date]],"")</f>
        <v/>
      </c>
      <c r="I929" s="72" t="s">
        <v>4</v>
      </c>
      <c r="J929" s="72" t="s">
        <v>28</v>
      </c>
      <c r="K929" s="72" t="s">
        <v>4</v>
      </c>
      <c r="L929" s="74"/>
      <c r="M929" s="77" t="str">
        <f>IF(Main[[#This Row],[Tech Start Date]]&lt;1/1/1990,"",IF(Main[[#This Row],[Class]]="C",WORKDAY(Main[[#This Row],[Tech Start Date]],9),IF(Main[[#This Row],[Class]]="B", WORKDAY(Main[[#This Row],[Tech Start Date]],6),IF(Main[[#This Row],[Class]]="A",WORKDAY(Main[[#This Row],[Tech Start Date]],2),""))))</f>
        <v/>
      </c>
      <c r="N929" s="77" t="str">
        <f>IF(Main[[#This Row],[Tech Start Date]]&lt;1/1/1990,"",IF(Main[[#This Row],[Class]]="C",WORKDAY(Main[[#This Row],[Tech Start Date]],19),IF(Main[[#This Row],[Class]]="B", WORKDAY(Main[[#This Row],[Tech Start Date]],12),IF(Main[[#This Row],[Class]]="A",WORKDAY(Main[[#This Row],[Tech Start Date]],4),""))))</f>
        <v/>
      </c>
      <c r="O929" s="77" t="str">
        <f>IF(Main[[#This Row],[Tech Start Date]]&lt;1/1/1990,"",IF(Main[[#This Row],[Class]]="C",WORKDAY(Main[[#This Row],[Tech Start Date]],23),IF(Main[[#This Row],[Class]]="B", WORKDAY(Main[[#This Row],[Tech Start Date]],15),IF(Main[[#This Row],[Class]]="A",WORKDAY(Main[[#This Row],[Tech Start Date]],5),""))))</f>
        <v/>
      </c>
      <c r="P929" s="77" t="str">
        <f>IF(Main[[#This Row],[Tech Start Date]]&lt;1/1/1990,"",IF(Main[[#This Row],[Class]]="C",WORKDAY(Main[[#This Row],[Tech Start Date]],28),IF(Main[[#This Row],[Class]]="B", WORKDAY(Main[[#This Row],[Tech Start Date]],19),IF(Main[[#This Row],[Class]]="A",WORKDAY(Main[[#This Row],[Tech Start Date]],9),""))))</f>
        <v/>
      </c>
      <c r="Q929" s="74">
        <v>40466</v>
      </c>
      <c r="R929" s="74"/>
      <c r="S929" s="72" t="s">
        <v>6</v>
      </c>
      <c r="T929" s="80" t="s">
        <v>4</v>
      </c>
      <c r="U929" s="72" t="s">
        <v>14</v>
      </c>
      <c r="V929" s="72" t="s">
        <v>1937</v>
      </c>
      <c r="W929" s="72" t="s">
        <v>1941</v>
      </c>
      <c r="X929" s="72" t="s">
        <v>922</v>
      </c>
      <c r="Y929" s="72" t="s">
        <v>3175</v>
      </c>
      <c r="Z929" s="72" t="s">
        <v>129</v>
      </c>
    </row>
    <row r="930" spans="1:26" ht="18.600000000000001" customHeight="1">
      <c r="A930" s="142" t="str">
        <f>IF(priority(Main[[#This Row],[Comments]])&lt;&gt;0, priority(Main[[#This Row],[Comments]]),"")</f>
        <v/>
      </c>
      <c r="B930" s="90" t="s">
        <v>1755</v>
      </c>
      <c r="C930" s="72" t="s">
        <v>47</v>
      </c>
      <c r="D930" s="73" t="s">
        <v>800</v>
      </c>
      <c r="E930" s="74">
        <v>39937.598969907405</v>
      </c>
      <c r="F930" s="74"/>
      <c r="G930" s="75" t="str">
        <f>IF(stdProdLT(Main[[#This Row],[Comments]])=0.1,"N/A",IF(stdProdLT(Main[[#This Row],[Comments]])=0,"",stdProdLT(Main[[#This Row],[Comments]])))</f>
        <v/>
      </c>
      <c r="H930" s="76" t="str">
        <f>IF(AND(Main[[#This Row],[In Stock Date]]&lt;&gt;"",Main[[#This Row],[Revised Due Date]]&lt;&gt;""),Main[[#This Row],[In Stock Date]]-Main[[#This Row],[Revised Due Date]],"")</f>
        <v/>
      </c>
      <c r="I930" s="72" t="s">
        <v>4</v>
      </c>
      <c r="J930" s="72" t="s">
        <v>4</v>
      </c>
      <c r="K930" s="72" t="s">
        <v>4</v>
      </c>
      <c r="L930" s="74"/>
      <c r="M930" s="77" t="str">
        <f>IF(Main[[#This Row],[Tech Start Date]]&lt;1/1/1990,"",IF(Main[[#This Row],[Class]]="C",WORKDAY(Main[[#This Row],[Tech Start Date]],9),IF(Main[[#This Row],[Class]]="B", WORKDAY(Main[[#This Row],[Tech Start Date]],6),IF(Main[[#This Row],[Class]]="A",WORKDAY(Main[[#This Row],[Tech Start Date]],2),""))))</f>
        <v/>
      </c>
      <c r="N930" s="77" t="str">
        <f>IF(Main[[#This Row],[Tech Start Date]]&lt;1/1/1990,"",IF(Main[[#This Row],[Class]]="C",WORKDAY(Main[[#This Row],[Tech Start Date]],19),IF(Main[[#This Row],[Class]]="B", WORKDAY(Main[[#This Row],[Tech Start Date]],12),IF(Main[[#This Row],[Class]]="A",WORKDAY(Main[[#This Row],[Tech Start Date]],4),""))))</f>
        <v/>
      </c>
      <c r="O930" s="77" t="str">
        <f>IF(Main[[#This Row],[Tech Start Date]]&lt;1/1/1990,"",IF(Main[[#This Row],[Class]]="C",WORKDAY(Main[[#This Row],[Tech Start Date]],23),IF(Main[[#This Row],[Class]]="B", WORKDAY(Main[[#This Row],[Tech Start Date]],15),IF(Main[[#This Row],[Class]]="A",WORKDAY(Main[[#This Row],[Tech Start Date]],5),""))))</f>
        <v/>
      </c>
      <c r="P930" s="77" t="str">
        <f>IF(Main[[#This Row],[Tech Start Date]]&lt;1/1/1990,"",IF(Main[[#This Row],[Class]]="C",WORKDAY(Main[[#This Row],[Tech Start Date]],28),IF(Main[[#This Row],[Class]]="B", WORKDAY(Main[[#This Row],[Tech Start Date]],19),IF(Main[[#This Row],[Class]]="A",WORKDAY(Main[[#This Row],[Tech Start Date]],9),""))))</f>
        <v/>
      </c>
      <c r="Q930" s="74"/>
      <c r="R930" s="74">
        <v>41172</v>
      </c>
      <c r="S930" s="72" t="s">
        <v>17</v>
      </c>
      <c r="T930" s="80" t="s">
        <v>4</v>
      </c>
      <c r="U930" s="72" t="s">
        <v>29</v>
      </c>
      <c r="V930" s="72" t="s">
        <v>1940</v>
      </c>
      <c r="W930" s="72" t="s">
        <v>4</v>
      </c>
      <c r="X930" s="72" t="s">
        <v>2979</v>
      </c>
      <c r="Y930" s="72" t="s">
        <v>3106</v>
      </c>
      <c r="Z930" s="72" t="s">
        <v>4</v>
      </c>
    </row>
    <row r="931" spans="1:26" ht="18.600000000000001" customHeight="1">
      <c r="A931" s="142" t="str">
        <f>IF(priority(Main[[#This Row],[Comments]])&lt;&gt;0, priority(Main[[#This Row],[Comments]]),"")</f>
        <v/>
      </c>
      <c r="B931" s="90" t="s">
        <v>1757</v>
      </c>
      <c r="C931" s="72" t="s">
        <v>4</v>
      </c>
      <c r="D931" s="73" t="s">
        <v>436</v>
      </c>
      <c r="E931" s="74"/>
      <c r="F931" s="74"/>
      <c r="G931" s="75" t="str">
        <f>IF(stdProdLT(Main[[#This Row],[Comments]])=0.1,"N/A",IF(stdProdLT(Main[[#This Row],[Comments]])=0,"",stdProdLT(Main[[#This Row],[Comments]])))</f>
        <v/>
      </c>
      <c r="H931" s="76" t="str">
        <f>IF(AND(Main[[#This Row],[In Stock Date]]&lt;&gt;"",Main[[#This Row],[Revised Due Date]]&lt;&gt;""),Main[[#This Row],[In Stock Date]]-Main[[#This Row],[Revised Due Date]],"")</f>
        <v/>
      </c>
      <c r="I931" s="72" t="s">
        <v>4</v>
      </c>
      <c r="J931" s="72" t="s">
        <v>4</v>
      </c>
      <c r="K931" s="81" t="s">
        <v>4</v>
      </c>
      <c r="L931" s="74"/>
      <c r="M931" s="77" t="str">
        <f>IF(Main[[#This Row],[Tech Start Date]]&lt;1/1/1990,"",IF(Main[[#This Row],[Class]]="C",WORKDAY(Main[[#This Row],[Tech Start Date]],9),IF(Main[[#This Row],[Class]]="B", WORKDAY(Main[[#This Row],[Tech Start Date]],6),IF(Main[[#This Row],[Class]]="A",WORKDAY(Main[[#This Row],[Tech Start Date]],2),""))))</f>
        <v/>
      </c>
      <c r="N931" s="77" t="str">
        <f>IF(Main[[#This Row],[Tech Start Date]]&lt;1/1/1990,"",IF(Main[[#This Row],[Class]]="C",WORKDAY(Main[[#This Row],[Tech Start Date]],19),IF(Main[[#This Row],[Class]]="B", WORKDAY(Main[[#This Row],[Tech Start Date]],12),IF(Main[[#This Row],[Class]]="A",WORKDAY(Main[[#This Row],[Tech Start Date]],4),""))))</f>
        <v/>
      </c>
      <c r="O931" s="77" t="str">
        <f>IF(Main[[#This Row],[Tech Start Date]]&lt;1/1/1990,"",IF(Main[[#This Row],[Class]]="C",WORKDAY(Main[[#This Row],[Tech Start Date]],23),IF(Main[[#This Row],[Class]]="B", WORKDAY(Main[[#This Row],[Tech Start Date]],15),IF(Main[[#This Row],[Class]]="A",WORKDAY(Main[[#This Row],[Tech Start Date]],5),""))))</f>
        <v/>
      </c>
      <c r="P931" s="77" t="str">
        <f>IF(Main[[#This Row],[Tech Start Date]]&lt;1/1/1990,"",IF(Main[[#This Row],[Class]]="C",WORKDAY(Main[[#This Row],[Tech Start Date]],28),IF(Main[[#This Row],[Class]]="B", WORKDAY(Main[[#This Row],[Tech Start Date]],19),IF(Main[[#This Row],[Class]]="A",WORKDAY(Main[[#This Row],[Tech Start Date]],9),""))))</f>
        <v/>
      </c>
      <c r="Q931" s="74"/>
      <c r="R931" s="74"/>
      <c r="S931" s="72" t="s">
        <v>6</v>
      </c>
      <c r="T931" s="80" t="s">
        <v>4</v>
      </c>
      <c r="U931" s="72" t="s">
        <v>14</v>
      </c>
      <c r="V931" s="72" t="s">
        <v>1940</v>
      </c>
      <c r="W931" s="72" t="s">
        <v>1941</v>
      </c>
      <c r="X931" s="72" t="s">
        <v>30</v>
      </c>
      <c r="Y931" s="72" t="s">
        <v>3115</v>
      </c>
      <c r="Z931" s="72" t="s">
        <v>4</v>
      </c>
    </row>
    <row r="932" spans="1:26" ht="18.600000000000001" customHeight="1">
      <c r="A932" s="142" t="str">
        <f>IF(priority(Main[[#This Row],[Comments]])&lt;&gt;0, priority(Main[[#This Row],[Comments]]),"")</f>
        <v/>
      </c>
      <c r="B932" s="90" t="s">
        <v>1758</v>
      </c>
      <c r="C932" s="72" t="s">
        <v>442</v>
      </c>
      <c r="D932" s="73" t="s">
        <v>802</v>
      </c>
      <c r="E932" s="74"/>
      <c r="F932" s="74"/>
      <c r="G932" s="75" t="str">
        <f>IF(stdProdLT(Main[[#This Row],[Comments]])=0.1,"N/A",IF(stdProdLT(Main[[#This Row],[Comments]])=0,"",stdProdLT(Main[[#This Row],[Comments]])))</f>
        <v/>
      </c>
      <c r="H932" s="76" t="str">
        <f>IF(AND(Main[[#This Row],[In Stock Date]]&lt;&gt;"",Main[[#This Row],[Revised Due Date]]&lt;&gt;""),Main[[#This Row],[In Stock Date]]-Main[[#This Row],[Revised Due Date]],"")</f>
        <v/>
      </c>
      <c r="I932" s="72" t="s">
        <v>4</v>
      </c>
      <c r="J932" s="72" t="s">
        <v>4</v>
      </c>
      <c r="K932" s="72" t="s">
        <v>4</v>
      </c>
      <c r="L932" s="74"/>
      <c r="M932" s="77" t="str">
        <f>IF(Main[[#This Row],[Tech Start Date]]&lt;1/1/1990,"",IF(Main[[#This Row],[Class]]="C",WORKDAY(Main[[#This Row],[Tech Start Date]],9),IF(Main[[#This Row],[Class]]="B", WORKDAY(Main[[#This Row],[Tech Start Date]],6),IF(Main[[#This Row],[Class]]="A",WORKDAY(Main[[#This Row],[Tech Start Date]],2),""))))</f>
        <v/>
      </c>
      <c r="N932" s="77" t="str">
        <f>IF(Main[[#This Row],[Tech Start Date]]&lt;1/1/1990,"",IF(Main[[#This Row],[Class]]="C",WORKDAY(Main[[#This Row],[Tech Start Date]],19),IF(Main[[#This Row],[Class]]="B", WORKDAY(Main[[#This Row],[Tech Start Date]],12),IF(Main[[#This Row],[Class]]="A",WORKDAY(Main[[#This Row],[Tech Start Date]],4),""))))</f>
        <v/>
      </c>
      <c r="O932" s="77" t="str">
        <f>IF(Main[[#This Row],[Tech Start Date]]&lt;1/1/1990,"",IF(Main[[#This Row],[Class]]="C",WORKDAY(Main[[#This Row],[Tech Start Date]],23),IF(Main[[#This Row],[Class]]="B", WORKDAY(Main[[#This Row],[Tech Start Date]],15),IF(Main[[#This Row],[Class]]="A",WORKDAY(Main[[#This Row],[Tech Start Date]],5),""))))</f>
        <v/>
      </c>
      <c r="P932" s="77" t="str">
        <f>IF(Main[[#This Row],[Tech Start Date]]&lt;1/1/1990,"",IF(Main[[#This Row],[Class]]="C",WORKDAY(Main[[#This Row],[Tech Start Date]],28),IF(Main[[#This Row],[Class]]="B", WORKDAY(Main[[#This Row],[Tech Start Date]],19),IF(Main[[#This Row],[Class]]="A",WORKDAY(Main[[#This Row],[Tech Start Date]],9),""))))</f>
        <v/>
      </c>
      <c r="Q932" s="74"/>
      <c r="R932" s="74"/>
      <c r="S932" s="72" t="s">
        <v>11</v>
      </c>
      <c r="T932" s="80" t="s">
        <v>4</v>
      </c>
      <c r="U932" s="72" t="s">
        <v>14</v>
      </c>
      <c r="V932" s="72" t="s">
        <v>1937</v>
      </c>
      <c r="W932" s="72" t="s">
        <v>1945</v>
      </c>
      <c r="X932" s="72" t="s">
        <v>3005</v>
      </c>
      <c r="Y932" s="72" t="s">
        <v>3149</v>
      </c>
      <c r="Z932" s="72" t="s">
        <v>4</v>
      </c>
    </row>
    <row r="933" spans="1:26" ht="18.600000000000001" customHeight="1">
      <c r="A933" s="142" t="str">
        <f>IF(priority(Main[[#This Row],[Comments]])&lt;&gt;0, priority(Main[[#This Row],[Comments]]),"")</f>
        <v/>
      </c>
      <c r="B933" s="90" t="s">
        <v>1759</v>
      </c>
      <c r="C933" s="72" t="s">
        <v>4</v>
      </c>
      <c r="D933" s="73" t="s">
        <v>803</v>
      </c>
      <c r="E933" s="74">
        <v>40479.428263888891</v>
      </c>
      <c r="F933" s="74"/>
      <c r="G933" s="75" t="str">
        <f>IF(stdProdLT(Main[[#This Row],[Comments]])=0.1,"N/A",IF(stdProdLT(Main[[#This Row],[Comments]])=0,"",stdProdLT(Main[[#This Row],[Comments]])))</f>
        <v/>
      </c>
      <c r="H933" s="76" t="str">
        <f>IF(AND(Main[[#This Row],[In Stock Date]]&lt;&gt;"",Main[[#This Row],[Revised Due Date]]&lt;&gt;""),Main[[#This Row],[In Stock Date]]-Main[[#This Row],[Revised Due Date]],"")</f>
        <v/>
      </c>
      <c r="I933" s="72" t="s">
        <v>30</v>
      </c>
      <c r="J933" s="72" t="s">
        <v>28</v>
      </c>
      <c r="K933" s="72" t="s">
        <v>1946</v>
      </c>
      <c r="L933" s="74"/>
      <c r="M933" s="77" t="str">
        <f>IF(Main[[#This Row],[Tech Start Date]]&lt;1/1/1990,"",IF(Main[[#This Row],[Class]]="C",WORKDAY(Main[[#This Row],[Tech Start Date]],9),IF(Main[[#This Row],[Class]]="B", WORKDAY(Main[[#This Row],[Tech Start Date]],6),IF(Main[[#This Row],[Class]]="A",WORKDAY(Main[[#This Row],[Tech Start Date]],2),""))))</f>
        <v/>
      </c>
      <c r="N933" s="77" t="str">
        <f>IF(Main[[#This Row],[Tech Start Date]]&lt;1/1/1990,"",IF(Main[[#This Row],[Class]]="C",WORKDAY(Main[[#This Row],[Tech Start Date]],19),IF(Main[[#This Row],[Class]]="B", WORKDAY(Main[[#This Row],[Tech Start Date]],12),IF(Main[[#This Row],[Class]]="A",WORKDAY(Main[[#This Row],[Tech Start Date]],4),""))))</f>
        <v/>
      </c>
      <c r="O933" s="77" t="str">
        <f>IF(Main[[#This Row],[Tech Start Date]]&lt;1/1/1990,"",IF(Main[[#This Row],[Class]]="C",WORKDAY(Main[[#This Row],[Tech Start Date]],23),IF(Main[[#This Row],[Class]]="B", WORKDAY(Main[[#This Row],[Tech Start Date]],15),IF(Main[[#This Row],[Class]]="A",WORKDAY(Main[[#This Row],[Tech Start Date]],5),""))))</f>
        <v/>
      </c>
      <c r="P933" s="77" t="str">
        <f>IF(Main[[#This Row],[Tech Start Date]]&lt;1/1/1990,"",IF(Main[[#This Row],[Class]]="C",WORKDAY(Main[[#This Row],[Tech Start Date]],28),IF(Main[[#This Row],[Class]]="B", WORKDAY(Main[[#This Row],[Tech Start Date]],19),IF(Main[[#This Row],[Class]]="A",WORKDAY(Main[[#This Row],[Tech Start Date]],9),""))))</f>
        <v/>
      </c>
      <c r="Q933" s="74">
        <v>40512</v>
      </c>
      <c r="R933" s="74"/>
      <c r="S933" s="72" t="s">
        <v>6</v>
      </c>
      <c r="T933" s="80" t="s">
        <v>4</v>
      </c>
      <c r="U933" s="72" t="s">
        <v>540</v>
      </c>
      <c r="V933" s="72" t="s">
        <v>1940</v>
      </c>
      <c r="W933" s="72" t="s">
        <v>1941</v>
      </c>
      <c r="X933" s="72" t="s">
        <v>3043</v>
      </c>
      <c r="Y933" s="72" t="s">
        <v>3262</v>
      </c>
      <c r="Z933" s="72" t="s">
        <v>30</v>
      </c>
    </row>
    <row r="934" spans="1:26" ht="18.600000000000001" customHeight="1">
      <c r="A934" s="142" t="str">
        <f>IF(priority(Main[[#This Row],[Comments]])&lt;&gt;0, priority(Main[[#This Row],[Comments]]),"")</f>
        <v/>
      </c>
      <c r="B934" s="90" t="s">
        <v>2838</v>
      </c>
      <c r="C934" s="72" t="s">
        <v>4</v>
      </c>
      <c r="D934" s="73" t="s">
        <v>2839</v>
      </c>
      <c r="E934" s="74">
        <v>40897.524594907409</v>
      </c>
      <c r="F934" s="74"/>
      <c r="G934" s="75" t="str">
        <f>IF(stdProdLT(Main[[#This Row],[Comments]])=0.1,"N/A",IF(stdProdLT(Main[[#This Row],[Comments]])=0,"",stdProdLT(Main[[#This Row],[Comments]])))</f>
        <v/>
      </c>
      <c r="H934" s="76" t="str">
        <f>IF(AND(Main[[#This Row],[In Stock Date]]&lt;&gt;"",Main[[#This Row],[Revised Due Date]]&lt;&gt;""),Main[[#This Row],[In Stock Date]]-Main[[#This Row],[Revised Due Date]],"")</f>
        <v/>
      </c>
      <c r="I934" s="72" t="s">
        <v>69</v>
      </c>
      <c r="J934" s="72" t="s">
        <v>28</v>
      </c>
      <c r="K934" s="72" t="s">
        <v>1946</v>
      </c>
      <c r="L934" s="74"/>
      <c r="M934" s="77" t="str">
        <f>IF(Main[[#This Row],[Tech Start Date]]&lt;1/1/1990,"",IF(Main[[#This Row],[Class]]="C",WORKDAY(Main[[#This Row],[Tech Start Date]],9),IF(Main[[#This Row],[Class]]="B", WORKDAY(Main[[#This Row],[Tech Start Date]],6),IF(Main[[#This Row],[Class]]="A",WORKDAY(Main[[#This Row],[Tech Start Date]],2),""))))</f>
        <v/>
      </c>
      <c r="N934" s="77" t="str">
        <f>IF(Main[[#This Row],[Tech Start Date]]&lt;1/1/1990,"",IF(Main[[#This Row],[Class]]="C",WORKDAY(Main[[#This Row],[Tech Start Date]],19),IF(Main[[#This Row],[Class]]="B", WORKDAY(Main[[#This Row],[Tech Start Date]],12),IF(Main[[#This Row],[Class]]="A",WORKDAY(Main[[#This Row],[Tech Start Date]],4),""))))</f>
        <v/>
      </c>
      <c r="O934" s="77" t="str">
        <f>IF(Main[[#This Row],[Tech Start Date]]&lt;1/1/1990,"",IF(Main[[#This Row],[Class]]="C",WORKDAY(Main[[#This Row],[Tech Start Date]],23),IF(Main[[#This Row],[Class]]="B", WORKDAY(Main[[#This Row],[Tech Start Date]],15),IF(Main[[#This Row],[Class]]="A",WORKDAY(Main[[#This Row],[Tech Start Date]],5),""))))</f>
        <v/>
      </c>
      <c r="P934" s="77" t="str">
        <f>IF(Main[[#This Row],[Tech Start Date]]&lt;1/1/1990,"",IF(Main[[#This Row],[Class]]="C",WORKDAY(Main[[#This Row],[Tech Start Date]],28),IF(Main[[#This Row],[Class]]="B", WORKDAY(Main[[#This Row],[Tech Start Date]],19),IF(Main[[#This Row],[Class]]="A",WORKDAY(Main[[#This Row],[Tech Start Date]],9),""))))</f>
        <v/>
      </c>
      <c r="Q934" s="74">
        <v>40966</v>
      </c>
      <c r="R934" s="74"/>
      <c r="S934" s="72" t="s">
        <v>6</v>
      </c>
      <c r="T934" s="80" t="s">
        <v>4</v>
      </c>
      <c r="U934" s="72" t="s">
        <v>29</v>
      </c>
      <c r="V934" s="72" t="s">
        <v>1947</v>
      </c>
      <c r="W934" s="72" t="s">
        <v>1941</v>
      </c>
      <c r="X934" s="72" t="s">
        <v>3018</v>
      </c>
      <c r="Y934" s="72" t="s">
        <v>3158</v>
      </c>
      <c r="Z934" s="72" t="s">
        <v>30</v>
      </c>
    </row>
    <row r="935" spans="1:26" ht="18.600000000000001" customHeight="1">
      <c r="A935" s="142" t="str">
        <f>IF(priority(Main[[#This Row],[Comments]])&lt;&gt;0, priority(Main[[#This Row],[Comments]]),"")</f>
        <v/>
      </c>
      <c r="B935" s="90" t="s">
        <v>1760</v>
      </c>
      <c r="C935" s="72" t="s">
        <v>4</v>
      </c>
      <c r="D935" s="73" t="s">
        <v>39</v>
      </c>
      <c r="E935" s="74"/>
      <c r="F935" s="74"/>
      <c r="G935" s="75" t="str">
        <f>IF(stdProdLT(Main[[#This Row],[Comments]])=0.1,"N/A",IF(stdProdLT(Main[[#This Row],[Comments]])=0,"",stdProdLT(Main[[#This Row],[Comments]])))</f>
        <v/>
      </c>
      <c r="H935" s="76" t="str">
        <f>IF(AND(Main[[#This Row],[In Stock Date]]&lt;&gt;"",Main[[#This Row],[Revised Due Date]]&lt;&gt;""),Main[[#This Row],[In Stock Date]]-Main[[#This Row],[Revised Due Date]],"")</f>
        <v/>
      </c>
      <c r="I935" s="72" t="s">
        <v>4</v>
      </c>
      <c r="J935" s="72" t="s">
        <v>4</v>
      </c>
      <c r="K935" s="72" t="s">
        <v>4</v>
      </c>
      <c r="L935" s="74"/>
      <c r="M935" s="77" t="str">
        <f>IF(Main[[#This Row],[Tech Start Date]]&lt;1/1/1990,"",IF(Main[[#This Row],[Class]]="C",WORKDAY(Main[[#This Row],[Tech Start Date]],9),IF(Main[[#This Row],[Class]]="B", WORKDAY(Main[[#This Row],[Tech Start Date]],6),IF(Main[[#This Row],[Class]]="A",WORKDAY(Main[[#This Row],[Tech Start Date]],2),""))))</f>
        <v/>
      </c>
      <c r="N935" s="77" t="str">
        <f>IF(Main[[#This Row],[Tech Start Date]]&lt;1/1/1990,"",IF(Main[[#This Row],[Class]]="C",WORKDAY(Main[[#This Row],[Tech Start Date]],19),IF(Main[[#This Row],[Class]]="B", WORKDAY(Main[[#This Row],[Tech Start Date]],12),IF(Main[[#This Row],[Class]]="A",WORKDAY(Main[[#This Row],[Tech Start Date]],4),""))))</f>
        <v/>
      </c>
      <c r="O935" s="77" t="str">
        <f>IF(Main[[#This Row],[Tech Start Date]]&lt;1/1/1990,"",IF(Main[[#This Row],[Class]]="C",WORKDAY(Main[[#This Row],[Tech Start Date]],23),IF(Main[[#This Row],[Class]]="B", WORKDAY(Main[[#This Row],[Tech Start Date]],15),IF(Main[[#This Row],[Class]]="A",WORKDAY(Main[[#This Row],[Tech Start Date]],5),""))))</f>
        <v/>
      </c>
      <c r="P935" s="77" t="str">
        <f>IF(Main[[#This Row],[Tech Start Date]]&lt;1/1/1990,"",IF(Main[[#This Row],[Class]]="C",WORKDAY(Main[[#This Row],[Tech Start Date]],28),IF(Main[[#This Row],[Class]]="B", WORKDAY(Main[[#This Row],[Tech Start Date]],19),IF(Main[[#This Row],[Class]]="A",WORKDAY(Main[[#This Row],[Tech Start Date]],9),""))))</f>
        <v/>
      </c>
      <c r="Q935" s="74">
        <v>40669</v>
      </c>
      <c r="R935" s="74"/>
      <c r="S935" s="72" t="s">
        <v>6</v>
      </c>
      <c r="T935" s="80" t="s">
        <v>4</v>
      </c>
      <c r="U935" s="72" t="s">
        <v>14</v>
      </c>
      <c r="V935" s="72" t="s">
        <v>1940</v>
      </c>
      <c r="W935" s="72" t="s">
        <v>4</v>
      </c>
      <c r="X935" s="72" t="s">
        <v>2970</v>
      </c>
      <c r="Y935" s="72" t="s">
        <v>3087</v>
      </c>
      <c r="Z935" s="72" t="s">
        <v>4</v>
      </c>
    </row>
    <row r="936" spans="1:26" ht="18.600000000000001" customHeight="1">
      <c r="A936" s="142" t="str">
        <f>IF(priority(Main[[#This Row],[Comments]])&lt;&gt;0, priority(Main[[#This Row],[Comments]]),"")</f>
        <v/>
      </c>
      <c r="B936" s="90" t="s">
        <v>1761</v>
      </c>
      <c r="C936" s="72" t="s">
        <v>4</v>
      </c>
      <c r="D936" s="73" t="s">
        <v>804</v>
      </c>
      <c r="E936" s="74"/>
      <c r="F936" s="74"/>
      <c r="G936" s="75" t="str">
        <f>IF(stdProdLT(Main[[#This Row],[Comments]])=0.1,"N/A",IF(stdProdLT(Main[[#This Row],[Comments]])=0,"",stdProdLT(Main[[#This Row],[Comments]])))</f>
        <v/>
      </c>
      <c r="H936" s="76" t="str">
        <f>IF(AND(Main[[#This Row],[In Stock Date]]&lt;&gt;"",Main[[#This Row],[Revised Due Date]]&lt;&gt;""),Main[[#This Row],[In Stock Date]]-Main[[#This Row],[Revised Due Date]],"")</f>
        <v/>
      </c>
      <c r="I936" s="72" t="s">
        <v>4</v>
      </c>
      <c r="J936" s="72" t="s">
        <v>4</v>
      </c>
      <c r="K936" s="72" t="s">
        <v>4</v>
      </c>
      <c r="L936" s="74"/>
      <c r="M936" s="77" t="str">
        <f>IF(Main[[#This Row],[Tech Start Date]]&lt;1/1/1990,"",IF(Main[[#This Row],[Class]]="C",WORKDAY(Main[[#This Row],[Tech Start Date]],9),IF(Main[[#This Row],[Class]]="B", WORKDAY(Main[[#This Row],[Tech Start Date]],6),IF(Main[[#This Row],[Class]]="A",WORKDAY(Main[[#This Row],[Tech Start Date]],2),""))))</f>
        <v/>
      </c>
      <c r="N936" s="77" t="str">
        <f>IF(Main[[#This Row],[Tech Start Date]]&lt;1/1/1990,"",IF(Main[[#This Row],[Class]]="C",WORKDAY(Main[[#This Row],[Tech Start Date]],19),IF(Main[[#This Row],[Class]]="B", WORKDAY(Main[[#This Row],[Tech Start Date]],12),IF(Main[[#This Row],[Class]]="A",WORKDAY(Main[[#This Row],[Tech Start Date]],4),""))))</f>
        <v/>
      </c>
      <c r="O936" s="77" t="str">
        <f>IF(Main[[#This Row],[Tech Start Date]]&lt;1/1/1990,"",IF(Main[[#This Row],[Class]]="C",WORKDAY(Main[[#This Row],[Tech Start Date]],23),IF(Main[[#This Row],[Class]]="B", WORKDAY(Main[[#This Row],[Tech Start Date]],15),IF(Main[[#This Row],[Class]]="A",WORKDAY(Main[[#This Row],[Tech Start Date]],5),""))))</f>
        <v/>
      </c>
      <c r="P936" s="77" t="str">
        <f>IF(Main[[#This Row],[Tech Start Date]]&lt;1/1/1990,"",IF(Main[[#This Row],[Class]]="C",WORKDAY(Main[[#This Row],[Tech Start Date]],28),IF(Main[[#This Row],[Class]]="B", WORKDAY(Main[[#This Row],[Tech Start Date]],19),IF(Main[[#This Row],[Class]]="A",WORKDAY(Main[[#This Row],[Tech Start Date]],9),""))))</f>
        <v/>
      </c>
      <c r="Q936" s="74"/>
      <c r="R936" s="74"/>
      <c r="S936" s="72" t="s">
        <v>17</v>
      </c>
      <c r="T936" s="80" t="s">
        <v>4</v>
      </c>
      <c r="U936" s="72" t="s">
        <v>14</v>
      </c>
      <c r="V936" s="72" t="s">
        <v>1940</v>
      </c>
      <c r="W936" s="72" t="s">
        <v>4</v>
      </c>
      <c r="X936" s="72" t="s">
        <v>311</v>
      </c>
      <c r="Y936" s="72" t="s">
        <v>4</v>
      </c>
      <c r="Z936" s="72" t="s">
        <v>4</v>
      </c>
    </row>
    <row r="937" spans="1:26" ht="18.600000000000001" customHeight="1">
      <c r="A937" s="142" t="str">
        <f>IF(priority(Main[[#This Row],[Comments]])&lt;&gt;0, priority(Main[[#This Row],[Comments]]),"")</f>
        <v/>
      </c>
      <c r="B937" s="90" t="s">
        <v>1508</v>
      </c>
      <c r="C937" s="72" t="s">
        <v>37</v>
      </c>
      <c r="D937" s="73" t="s">
        <v>2432</v>
      </c>
      <c r="E937" s="74">
        <v>40682.490115740744</v>
      </c>
      <c r="F937" s="74"/>
      <c r="G937" s="75" t="str">
        <f>IF(stdProdLT(Main[[#This Row],[Comments]])=0.1,"N/A",IF(stdProdLT(Main[[#This Row],[Comments]])=0,"",stdProdLT(Main[[#This Row],[Comments]])))</f>
        <v/>
      </c>
      <c r="H937" s="76" t="str">
        <f>IF(AND(Main[[#This Row],[In Stock Date]]&lt;&gt;"",Main[[#This Row],[Revised Due Date]]&lt;&gt;""),Main[[#This Row],[In Stock Date]]-Main[[#This Row],[Revised Due Date]],"")</f>
        <v/>
      </c>
      <c r="I937" s="72" t="s">
        <v>4</v>
      </c>
      <c r="J937" s="72" t="s">
        <v>4</v>
      </c>
      <c r="K937" s="72" t="s">
        <v>4</v>
      </c>
      <c r="L937" s="74"/>
      <c r="M937" s="77" t="str">
        <f>IF(Main[[#This Row],[Tech Start Date]]&lt;1/1/1990,"",IF(Main[[#This Row],[Class]]="C",WORKDAY(Main[[#This Row],[Tech Start Date]],9),IF(Main[[#This Row],[Class]]="B", WORKDAY(Main[[#This Row],[Tech Start Date]],6),IF(Main[[#This Row],[Class]]="A",WORKDAY(Main[[#This Row],[Tech Start Date]],2),""))))</f>
        <v/>
      </c>
      <c r="N937" s="77" t="str">
        <f>IF(Main[[#This Row],[Tech Start Date]]&lt;1/1/1990,"",IF(Main[[#This Row],[Class]]="C",WORKDAY(Main[[#This Row],[Tech Start Date]],19),IF(Main[[#This Row],[Class]]="B", WORKDAY(Main[[#This Row],[Tech Start Date]],12),IF(Main[[#This Row],[Class]]="A",WORKDAY(Main[[#This Row],[Tech Start Date]],4),""))))</f>
        <v/>
      </c>
      <c r="O937" s="77" t="str">
        <f>IF(Main[[#This Row],[Tech Start Date]]&lt;1/1/1990,"",IF(Main[[#This Row],[Class]]="C",WORKDAY(Main[[#This Row],[Tech Start Date]],23),IF(Main[[#This Row],[Class]]="B", WORKDAY(Main[[#This Row],[Tech Start Date]],15),IF(Main[[#This Row],[Class]]="A",WORKDAY(Main[[#This Row],[Tech Start Date]],5),""))))</f>
        <v/>
      </c>
      <c r="P937" s="77" t="str">
        <f>IF(Main[[#This Row],[Tech Start Date]]&lt;1/1/1990,"",IF(Main[[#This Row],[Class]]="C",WORKDAY(Main[[#This Row],[Tech Start Date]],28),IF(Main[[#This Row],[Class]]="B", WORKDAY(Main[[#This Row],[Tech Start Date]],19),IF(Main[[#This Row],[Class]]="A",WORKDAY(Main[[#This Row],[Tech Start Date]],9),""))))</f>
        <v/>
      </c>
      <c r="Q937" s="74">
        <v>40703</v>
      </c>
      <c r="R937" s="74"/>
      <c r="S937" s="72" t="s">
        <v>6</v>
      </c>
      <c r="T937" s="80" t="s">
        <v>4</v>
      </c>
      <c r="U937" s="72" t="s">
        <v>7</v>
      </c>
      <c r="V937" s="72" t="s">
        <v>1937</v>
      </c>
      <c r="W937" s="72" t="s">
        <v>1948</v>
      </c>
      <c r="X937" s="72" t="s">
        <v>986</v>
      </c>
      <c r="Y937" s="72" t="s">
        <v>3256</v>
      </c>
      <c r="Z937" s="72" t="s">
        <v>4</v>
      </c>
    </row>
    <row r="938" spans="1:26" ht="18.600000000000001" customHeight="1">
      <c r="A938" s="142" t="str">
        <f>IF(priority(Main[[#This Row],[Comments]])&lt;&gt;0, priority(Main[[#This Row],[Comments]]),"")</f>
        <v/>
      </c>
      <c r="B938" s="90" t="s">
        <v>1763</v>
      </c>
      <c r="C938" s="72" t="s">
        <v>4</v>
      </c>
      <c r="D938" s="73" t="s">
        <v>691</v>
      </c>
      <c r="E938" s="74"/>
      <c r="F938" s="74"/>
      <c r="G938" s="75" t="str">
        <f>IF(stdProdLT(Main[[#This Row],[Comments]])=0.1,"N/A",IF(stdProdLT(Main[[#This Row],[Comments]])=0,"",stdProdLT(Main[[#This Row],[Comments]])))</f>
        <v/>
      </c>
      <c r="H938" s="76" t="str">
        <f>IF(AND(Main[[#This Row],[In Stock Date]]&lt;&gt;"",Main[[#This Row],[Revised Due Date]]&lt;&gt;""),Main[[#This Row],[In Stock Date]]-Main[[#This Row],[Revised Due Date]],"")</f>
        <v/>
      </c>
      <c r="I938" s="72" t="s">
        <v>4</v>
      </c>
      <c r="J938" s="72" t="s">
        <v>4</v>
      </c>
      <c r="K938" s="72" t="s">
        <v>4</v>
      </c>
      <c r="L938" s="74"/>
      <c r="M938" s="77" t="str">
        <f>IF(Main[[#This Row],[Tech Start Date]]&lt;1/1/1990,"",IF(Main[[#This Row],[Class]]="C",WORKDAY(Main[[#This Row],[Tech Start Date]],9),IF(Main[[#This Row],[Class]]="B", WORKDAY(Main[[#This Row],[Tech Start Date]],6),IF(Main[[#This Row],[Class]]="A",WORKDAY(Main[[#This Row],[Tech Start Date]],2),""))))</f>
        <v/>
      </c>
      <c r="N938" s="77" t="str">
        <f>IF(Main[[#This Row],[Tech Start Date]]&lt;1/1/1990,"",IF(Main[[#This Row],[Class]]="C",WORKDAY(Main[[#This Row],[Tech Start Date]],19),IF(Main[[#This Row],[Class]]="B", WORKDAY(Main[[#This Row],[Tech Start Date]],12),IF(Main[[#This Row],[Class]]="A",WORKDAY(Main[[#This Row],[Tech Start Date]],4),""))))</f>
        <v/>
      </c>
      <c r="O938" s="77" t="str">
        <f>IF(Main[[#This Row],[Tech Start Date]]&lt;1/1/1990,"",IF(Main[[#This Row],[Class]]="C",WORKDAY(Main[[#This Row],[Tech Start Date]],23),IF(Main[[#This Row],[Class]]="B", WORKDAY(Main[[#This Row],[Tech Start Date]],15),IF(Main[[#This Row],[Class]]="A",WORKDAY(Main[[#This Row],[Tech Start Date]],5),""))))</f>
        <v/>
      </c>
      <c r="P938" s="77" t="str">
        <f>IF(Main[[#This Row],[Tech Start Date]]&lt;1/1/1990,"",IF(Main[[#This Row],[Class]]="C",WORKDAY(Main[[#This Row],[Tech Start Date]],28),IF(Main[[#This Row],[Class]]="B", WORKDAY(Main[[#This Row],[Tech Start Date]],19),IF(Main[[#This Row],[Class]]="A",WORKDAY(Main[[#This Row],[Tech Start Date]],9),""))))</f>
        <v/>
      </c>
      <c r="Q938" s="74"/>
      <c r="R938" s="74"/>
      <c r="S938" s="72" t="s">
        <v>23</v>
      </c>
      <c r="T938" s="80" t="s">
        <v>4</v>
      </c>
      <c r="U938" s="72" t="s">
        <v>14</v>
      </c>
      <c r="V938" s="72" t="s">
        <v>1940</v>
      </c>
      <c r="W938" s="72" t="s">
        <v>1941</v>
      </c>
      <c r="X938" s="72" t="s">
        <v>423</v>
      </c>
      <c r="Y938" s="72" t="s">
        <v>3263</v>
      </c>
      <c r="Z938" s="72" t="s">
        <v>4</v>
      </c>
    </row>
    <row r="939" spans="1:26" ht="18.600000000000001" customHeight="1">
      <c r="A939" s="142" t="str">
        <f>IF(priority(Main[[#This Row],[Comments]])&lt;&gt;0, priority(Main[[#This Row],[Comments]]),"")</f>
        <v/>
      </c>
      <c r="B939" s="90" t="s">
        <v>1764</v>
      </c>
      <c r="C939" s="72" t="s">
        <v>31</v>
      </c>
      <c r="D939" s="73" t="s">
        <v>805</v>
      </c>
      <c r="E939" s="74"/>
      <c r="F939" s="74"/>
      <c r="G939" s="75" t="str">
        <f>IF(stdProdLT(Main[[#This Row],[Comments]])=0.1,"N/A",IF(stdProdLT(Main[[#This Row],[Comments]])=0,"",stdProdLT(Main[[#This Row],[Comments]])))</f>
        <v/>
      </c>
      <c r="H939" s="76" t="str">
        <f>IF(AND(Main[[#This Row],[In Stock Date]]&lt;&gt;"",Main[[#This Row],[Revised Due Date]]&lt;&gt;""),Main[[#This Row],[In Stock Date]]-Main[[#This Row],[Revised Due Date]],"")</f>
        <v/>
      </c>
      <c r="I939" s="72" t="s">
        <v>4</v>
      </c>
      <c r="J939" s="72" t="s">
        <v>4</v>
      </c>
      <c r="K939" s="72" t="s">
        <v>4</v>
      </c>
      <c r="L939" s="74"/>
      <c r="M939" s="77" t="str">
        <f>IF(Main[[#This Row],[Tech Start Date]]&lt;1/1/1990,"",IF(Main[[#This Row],[Class]]="C",WORKDAY(Main[[#This Row],[Tech Start Date]],9),IF(Main[[#This Row],[Class]]="B", WORKDAY(Main[[#This Row],[Tech Start Date]],6),IF(Main[[#This Row],[Class]]="A",WORKDAY(Main[[#This Row],[Tech Start Date]],2),""))))</f>
        <v/>
      </c>
      <c r="N939" s="77" t="str">
        <f>IF(Main[[#This Row],[Tech Start Date]]&lt;1/1/1990,"",IF(Main[[#This Row],[Class]]="C",WORKDAY(Main[[#This Row],[Tech Start Date]],19),IF(Main[[#This Row],[Class]]="B", WORKDAY(Main[[#This Row],[Tech Start Date]],12),IF(Main[[#This Row],[Class]]="A",WORKDAY(Main[[#This Row],[Tech Start Date]],4),""))))</f>
        <v/>
      </c>
      <c r="O939" s="77" t="str">
        <f>IF(Main[[#This Row],[Tech Start Date]]&lt;1/1/1990,"",IF(Main[[#This Row],[Class]]="C",WORKDAY(Main[[#This Row],[Tech Start Date]],23),IF(Main[[#This Row],[Class]]="B", WORKDAY(Main[[#This Row],[Tech Start Date]],15),IF(Main[[#This Row],[Class]]="A",WORKDAY(Main[[#This Row],[Tech Start Date]],5),""))))</f>
        <v/>
      </c>
      <c r="P939" s="77" t="str">
        <f>IF(Main[[#This Row],[Tech Start Date]]&lt;1/1/1990,"",IF(Main[[#This Row],[Class]]="C",WORKDAY(Main[[#This Row],[Tech Start Date]],28),IF(Main[[#This Row],[Class]]="B", WORKDAY(Main[[#This Row],[Tech Start Date]],19),IF(Main[[#This Row],[Class]]="A",WORKDAY(Main[[#This Row],[Tech Start Date]],9),""))))</f>
        <v/>
      </c>
      <c r="Q939" s="74">
        <v>40318</v>
      </c>
      <c r="R939" s="74"/>
      <c r="S939" s="72" t="s">
        <v>11</v>
      </c>
      <c r="T939" s="80" t="s">
        <v>4</v>
      </c>
      <c r="U939" s="72" t="s">
        <v>14</v>
      </c>
      <c r="V939" s="72" t="s">
        <v>1947</v>
      </c>
      <c r="W939" s="72" t="s">
        <v>1939</v>
      </c>
      <c r="X939" s="72" t="s">
        <v>2982</v>
      </c>
      <c r="Y939" s="72" t="s">
        <v>4</v>
      </c>
      <c r="Z939" s="72" t="s">
        <v>4</v>
      </c>
    </row>
    <row r="940" spans="1:26" ht="18.600000000000001" customHeight="1">
      <c r="A940" s="142" t="str">
        <f>IF(priority(Main[[#This Row],[Comments]])&lt;&gt;0, priority(Main[[#This Row],[Comments]]),"")</f>
        <v/>
      </c>
      <c r="B940" s="90" t="s">
        <v>1791</v>
      </c>
      <c r="C940" s="72" t="s">
        <v>4</v>
      </c>
      <c r="D940" s="73" t="s">
        <v>818</v>
      </c>
      <c r="E940" s="74"/>
      <c r="F940" s="74"/>
      <c r="G940" s="75" t="str">
        <f>IF(stdProdLT(Main[[#This Row],[Comments]])=0.1,"N/A",IF(stdProdLT(Main[[#This Row],[Comments]])=0,"",stdProdLT(Main[[#This Row],[Comments]])))</f>
        <v/>
      </c>
      <c r="H940" s="76" t="str">
        <f>IF(AND(Main[[#This Row],[In Stock Date]]&lt;&gt;"",Main[[#This Row],[Revised Due Date]]&lt;&gt;""),Main[[#This Row],[In Stock Date]]-Main[[#This Row],[Revised Due Date]],"")</f>
        <v/>
      </c>
      <c r="I940" s="72" t="s">
        <v>4</v>
      </c>
      <c r="J940" s="72" t="s">
        <v>4</v>
      </c>
      <c r="K940" s="72" t="s">
        <v>4</v>
      </c>
      <c r="L940" s="74"/>
      <c r="M940" s="77" t="str">
        <f>IF(Main[[#This Row],[Tech Start Date]]&lt;1/1/1990,"",IF(Main[[#This Row],[Class]]="C",WORKDAY(Main[[#This Row],[Tech Start Date]],9),IF(Main[[#This Row],[Class]]="B", WORKDAY(Main[[#This Row],[Tech Start Date]],6),IF(Main[[#This Row],[Class]]="A",WORKDAY(Main[[#This Row],[Tech Start Date]],2),""))))</f>
        <v/>
      </c>
      <c r="N940" s="77" t="str">
        <f>IF(Main[[#This Row],[Tech Start Date]]&lt;1/1/1990,"",IF(Main[[#This Row],[Class]]="C",WORKDAY(Main[[#This Row],[Tech Start Date]],19),IF(Main[[#This Row],[Class]]="B", WORKDAY(Main[[#This Row],[Tech Start Date]],12),IF(Main[[#This Row],[Class]]="A",WORKDAY(Main[[#This Row],[Tech Start Date]],4),""))))</f>
        <v/>
      </c>
      <c r="O940" s="77" t="str">
        <f>IF(Main[[#This Row],[Tech Start Date]]&lt;1/1/1990,"",IF(Main[[#This Row],[Class]]="C",WORKDAY(Main[[#This Row],[Tech Start Date]],23),IF(Main[[#This Row],[Class]]="B", WORKDAY(Main[[#This Row],[Tech Start Date]],15),IF(Main[[#This Row],[Class]]="A",WORKDAY(Main[[#This Row],[Tech Start Date]],5),""))))</f>
        <v/>
      </c>
      <c r="P940" s="77" t="str">
        <f>IF(Main[[#This Row],[Tech Start Date]]&lt;1/1/1990,"",IF(Main[[#This Row],[Class]]="C",WORKDAY(Main[[#This Row],[Tech Start Date]],28),IF(Main[[#This Row],[Class]]="B", WORKDAY(Main[[#This Row],[Tech Start Date]],19),IF(Main[[#This Row],[Class]]="A",WORKDAY(Main[[#This Row],[Tech Start Date]],9),""))))</f>
        <v/>
      </c>
      <c r="Q940" s="74"/>
      <c r="R940" s="74"/>
      <c r="S940" s="72" t="s">
        <v>49</v>
      </c>
      <c r="T940" s="80" t="s">
        <v>4</v>
      </c>
      <c r="U940" s="72" t="s">
        <v>14</v>
      </c>
      <c r="V940" s="72" t="s">
        <v>1940</v>
      </c>
      <c r="W940" s="72" t="s">
        <v>1941</v>
      </c>
      <c r="X940" s="72" t="s">
        <v>311</v>
      </c>
      <c r="Y940" s="72" t="s">
        <v>3264</v>
      </c>
      <c r="Z940" s="72" t="s">
        <v>4</v>
      </c>
    </row>
    <row r="941" spans="1:26" ht="18.600000000000001" customHeight="1">
      <c r="A941" s="142" t="str">
        <f>IF(priority(Main[[#This Row],[Comments]])&lt;&gt;0, priority(Main[[#This Row],[Comments]]),"")</f>
        <v/>
      </c>
      <c r="B941" s="90" t="s">
        <v>3381</v>
      </c>
      <c r="C941" s="72" t="s">
        <v>4</v>
      </c>
      <c r="D941" s="73" t="s">
        <v>3487</v>
      </c>
      <c r="E941" s="74">
        <v>40921.504814814813</v>
      </c>
      <c r="F941" s="74"/>
      <c r="G941" s="75" t="str">
        <f>IF(stdProdLT(Main[[#This Row],[Comments]])=0.1,"N/A",IF(stdProdLT(Main[[#This Row],[Comments]])=0,"",stdProdLT(Main[[#This Row],[Comments]])))</f>
        <v/>
      </c>
      <c r="H941" s="76" t="str">
        <f>IF(AND(Main[[#This Row],[In Stock Date]]&lt;&gt;"",Main[[#This Row],[Revised Due Date]]&lt;&gt;""),Main[[#This Row],[In Stock Date]]-Main[[#This Row],[Revised Due Date]],"")</f>
        <v/>
      </c>
      <c r="I941" s="72" t="s">
        <v>2078</v>
      </c>
      <c r="J941" s="72" t="s">
        <v>28</v>
      </c>
      <c r="K941" s="72" t="s">
        <v>1946</v>
      </c>
      <c r="L941" s="74"/>
      <c r="M941" s="77" t="str">
        <f>IF(Main[[#This Row],[Tech Start Date]]&lt;1/1/1990,"",IF(Main[[#This Row],[Class]]="C",WORKDAY(Main[[#This Row],[Tech Start Date]],9),IF(Main[[#This Row],[Class]]="B", WORKDAY(Main[[#This Row],[Tech Start Date]],6),IF(Main[[#This Row],[Class]]="A",WORKDAY(Main[[#This Row],[Tech Start Date]],2),""))))</f>
        <v/>
      </c>
      <c r="N941" s="77" t="str">
        <f>IF(Main[[#This Row],[Tech Start Date]]&lt;1/1/1990,"",IF(Main[[#This Row],[Class]]="C",WORKDAY(Main[[#This Row],[Tech Start Date]],19),IF(Main[[#This Row],[Class]]="B", WORKDAY(Main[[#This Row],[Tech Start Date]],12),IF(Main[[#This Row],[Class]]="A",WORKDAY(Main[[#This Row],[Tech Start Date]],4),""))))</f>
        <v/>
      </c>
      <c r="O941" s="77" t="str">
        <f>IF(Main[[#This Row],[Tech Start Date]]&lt;1/1/1990,"",IF(Main[[#This Row],[Class]]="C",WORKDAY(Main[[#This Row],[Tech Start Date]],23),IF(Main[[#This Row],[Class]]="B", WORKDAY(Main[[#This Row],[Tech Start Date]],15),IF(Main[[#This Row],[Class]]="A",WORKDAY(Main[[#This Row],[Tech Start Date]],5),""))))</f>
        <v/>
      </c>
      <c r="P941" s="77" t="str">
        <f>IF(Main[[#This Row],[Tech Start Date]]&lt;1/1/1990,"",IF(Main[[#This Row],[Class]]="C",WORKDAY(Main[[#This Row],[Tech Start Date]],28),IF(Main[[#This Row],[Class]]="B", WORKDAY(Main[[#This Row],[Tech Start Date]],19),IF(Main[[#This Row],[Class]]="A",WORKDAY(Main[[#This Row],[Tech Start Date]],9),""))))</f>
        <v/>
      </c>
      <c r="Q941" s="74">
        <v>40939</v>
      </c>
      <c r="R941" s="74"/>
      <c r="S941" s="72" t="s">
        <v>6</v>
      </c>
      <c r="T941" s="80" t="s">
        <v>4</v>
      </c>
      <c r="U941" s="72" t="s">
        <v>29</v>
      </c>
      <c r="V941" s="72" t="s">
        <v>1940</v>
      </c>
      <c r="W941" s="72" t="s">
        <v>1941</v>
      </c>
      <c r="X941" s="72" t="s">
        <v>30</v>
      </c>
      <c r="Y941" s="72" t="s">
        <v>3382</v>
      </c>
      <c r="Z941" s="72" t="s">
        <v>30</v>
      </c>
    </row>
    <row r="942" spans="1:26" ht="18.600000000000001" customHeight="1">
      <c r="A942" s="142" t="str">
        <f>IF(priority(Main[[#This Row],[Comments]])&lt;&gt;0, priority(Main[[#This Row],[Comments]]),"")</f>
        <v/>
      </c>
      <c r="B942" s="90" t="s">
        <v>1108</v>
      </c>
      <c r="C942" s="72" t="s">
        <v>4</v>
      </c>
      <c r="D942" s="73" t="s">
        <v>3383</v>
      </c>
      <c r="E942" s="74">
        <v>40086.707800925928</v>
      </c>
      <c r="F942" s="74"/>
      <c r="G942" s="75" t="str">
        <f>IF(stdProdLT(Main[[#This Row],[Comments]])=0.1,"N/A",IF(stdProdLT(Main[[#This Row],[Comments]])=0,"",stdProdLT(Main[[#This Row],[Comments]])))</f>
        <v/>
      </c>
      <c r="H942" s="76" t="str">
        <f>IF(AND(Main[[#This Row],[In Stock Date]]&lt;&gt;"",Main[[#This Row],[Revised Due Date]]&lt;&gt;""),Main[[#This Row],[In Stock Date]]-Main[[#This Row],[Revised Due Date]],"")</f>
        <v/>
      </c>
      <c r="I942" s="72" t="s">
        <v>922</v>
      </c>
      <c r="J942" s="72" t="s">
        <v>4</v>
      </c>
      <c r="K942" s="72" t="s">
        <v>1949</v>
      </c>
      <c r="L942" s="74"/>
      <c r="M942" s="77" t="str">
        <f>IF(Main[[#This Row],[Tech Start Date]]&lt;1/1/1990,"",IF(Main[[#This Row],[Class]]="C",WORKDAY(Main[[#This Row],[Tech Start Date]],9),IF(Main[[#This Row],[Class]]="B", WORKDAY(Main[[#This Row],[Tech Start Date]],6),IF(Main[[#This Row],[Class]]="A",WORKDAY(Main[[#This Row],[Tech Start Date]],2),""))))</f>
        <v/>
      </c>
      <c r="N942" s="77" t="str">
        <f>IF(Main[[#This Row],[Tech Start Date]]&lt;1/1/1990,"",IF(Main[[#This Row],[Class]]="C",WORKDAY(Main[[#This Row],[Tech Start Date]],19),IF(Main[[#This Row],[Class]]="B", WORKDAY(Main[[#This Row],[Tech Start Date]],12),IF(Main[[#This Row],[Class]]="A",WORKDAY(Main[[#This Row],[Tech Start Date]],4),""))))</f>
        <v/>
      </c>
      <c r="O942" s="77" t="str">
        <f>IF(Main[[#This Row],[Tech Start Date]]&lt;1/1/1990,"",IF(Main[[#This Row],[Class]]="C",WORKDAY(Main[[#This Row],[Tech Start Date]],23),IF(Main[[#This Row],[Class]]="B", WORKDAY(Main[[#This Row],[Tech Start Date]],15),IF(Main[[#This Row],[Class]]="A",WORKDAY(Main[[#This Row],[Tech Start Date]],5),""))))</f>
        <v/>
      </c>
      <c r="P942" s="77" t="str">
        <f>IF(Main[[#This Row],[Tech Start Date]]&lt;1/1/1990,"",IF(Main[[#This Row],[Class]]="C",WORKDAY(Main[[#This Row],[Tech Start Date]],28),IF(Main[[#This Row],[Class]]="B", WORKDAY(Main[[#This Row],[Tech Start Date]],19),IF(Main[[#This Row],[Class]]="A",WORKDAY(Main[[#This Row],[Tech Start Date]],9),""))))</f>
        <v/>
      </c>
      <c r="Q942" s="74">
        <v>41005</v>
      </c>
      <c r="R942" s="74">
        <v>41005</v>
      </c>
      <c r="S942" s="72" t="s">
        <v>17</v>
      </c>
      <c r="T942" s="80" t="s">
        <v>4</v>
      </c>
      <c r="U942" s="72" t="s">
        <v>29</v>
      </c>
      <c r="V942" s="72" t="s">
        <v>1937</v>
      </c>
      <c r="W942" s="72" t="s">
        <v>1942</v>
      </c>
      <c r="X942" s="72" t="s">
        <v>129</v>
      </c>
      <c r="Y942" s="72" t="s">
        <v>3091</v>
      </c>
      <c r="Z942" s="72" t="s">
        <v>891</v>
      </c>
    </row>
    <row r="943" spans="1:26" ht="18.600000000000001" customHeight="1">
      <c r="A943" s="142" t="str">
        <f>IF(priority(Main[[#This Row],[Comments]])&lt;&gt;0, priority(Main[[#This Row],[Comments]]),"")</f>
        <v/>
      </c>
      <c r="B943" s="90" t="s">
        <v>1792</v>
      </c>
      <c r="C943" s="72" t="s">
        <v>4</v>
      </c>
      <c r="D943" s="73" t="s">
        <v>819</v>
      </c>
      <c r="E943" s="74"/>
      <c r="F943" s="74"/>
      <c r="G943" s="75" t="str">
        <f>IF(stdProdLT(Main[[#This Row],[Comments]])=0.1,"N/A",IF(stdProdLT(Main[[#This Row],[Comments]])=0,"",stdProdLT(Main[[#This Row],[Comments]])))</f>
        <v/>
      </c>
      <c r="H943" s="76" t="str">
        <f>IF(AND(Main[[#This Row],[In Stock Date]]&lt;&gt;"",Main[[#This Row],[Revised Due Date]]&lt;&gt;""),Main[[#This Row],[In Stock Date]]-Main[[#This Row],[Revised Due Date]],"")</f>
        <v/>
      </c>
      <c r="I943" s="72" t="s">
        <v>4</v>
      </c>
      <c r="J943" s="72" t="s">
        <v>4</v>
      </c>
      <c r="K943" s="72" t="s">
        <v>4</v>
      </c>
      <c r="L943" s="74"/>
      <c r="M943" s="77" t="str">
        <f>IF(Main[[#This Row],[Tech Start Date]]&lt;1/1/1990,"",IF(Main[[#This Row],[Class]]="C",WORKDAY(Main[[#This Row],[Tech Start Date]],9),IF(Main[[#This Row],[Class]]="B", WORKDAY(Main[[#This Row],[Tech Start Date]],6),IF(Main[[#This Row],[Class]]="A",WORKDAY(Main[[#This Row],[Tech Start Date]],2),""))))</f>
        <v/>
      </c>
      <c r="N943" s="77" t="str">
        <f>IF(Main[[#This Row],[Tech Start Date]]&lt;1/1/1990,"",IF(Main[[#This Row],[Class]]="C",WORKDAY(Main[[#This Row],[Tech Start Date]],19),IF(Main[[#This Row],[Class]]="B", WORKDAY(Main[[#This Row],[Tech Start Date]],12),IF(Main[[#This Row],[Class]]="A",WORKDAY(Main[[#This Row],[Tech Start Date]],4),""))))</f>
        <v/>
      </c>
      <c r="O943" s="77" t="str">
        <f>IF(Main[[#This Row],[Tech Start Date]]&lt;1/1/1990,"",IF(Main[[#This Row],[Class]]="C",WORKDAY(Main[[#This Row],[Tech Start Date]],23),IF(Main[[#This Row],[Class]]="B", WORKDAY(Main[[#This Row],[Tech Start Date]],15),IF(Main[[#This Row],[Class]]="A",WORKDAY(Main[[#This Row],[Tech Start Date]],5),""))))</f>
        <v/>
      </c>
      <c r="P943" s="77" t="str">
        <f>IF(Main[[#This Row],[Tech Start Date]]&lt;1/1/1990,"",IF(Main[[#This Row],[Class]]="C",WORKDAY(Main[[#This Row],[Tech Start Date]],28),IF(Main[[#This Row],[Class]]="B", WORKDAY(Main[[#This Row],[Tech Start Date]],19),IF(Main[[#This Row],[Class]]="A",WORKDAY(Main[[#This Row],[Tech Start Date]],9),""))))</f>
        <v/>
      </c>
      <c r="Q943" s="74"/>
      <c r="R943" s="74"/>
      <c r="S943" s="72" t="s">
        <v>6</v>
      </c>
      <c r="T943" s="80" t="s">
        <v>4</v>
      </c>
      <c r="U943" s="72" t="s">
        <v>12</v>
      </c>
      <c r="V943" s="72" t="s">
        <v>1937</v>
      </c>
      <c r="W943" s="72" t="s">
        <v>1941</v>
      </c>
      <c r="X943" s="72" t="s">
        <v>891</v>
      </c>
      <c r="Y943" s="72" t="s">
        <v>3167</v>
      </c>
      <c r="Z943" s="72" t="s">
        <v>4</v>
      </c>
    </row>
    <row r="944" spans="1:26" ht="18.600000000000001" customHeight="1">
      <c r="A944" s="142" t="str">
        <f>IF(priority(Main[[#This Row],[Comments]])&lt;&gt;0, priority(Main[[#This Row],[Comments]]),"")</f>
        <v/>
      </c>
      <c r="B944" s="90" t="s">
        <v>1766</v>
      </c>
      <c r="C944" s="72" t="s">
        <v>289</v>
      </c>
      <c r="D944" s="73" t="s">
        <v>809</v>
      </c>
      <c r="E944" s="74"/>
      <c r="F944" s="74"/>
      <c r="G944" s="75" t="str">
        <f>IF(stdProdLT(Main[[#This Row],[Comments]])=0.1,"N/A",IF(stdProdLT(Main[[#This Row],[Comments]])=0,"",stdProdLT(Main[[#This Row],[Comments]])))</f>
        <v/>
      </c>
      <c r="H944" s="76" t="str">
        <f>IF(AND(Main[[#This Row],[In Stock Date]]&lt;&gt;"",Main[[#This Row],[Revised Due Date]]&lt;&gt;""),Main[[#This Row],[In Stock Date]]-Main[[#This Row],[Revised Due Date]],"")</f>
        <v/>
      </c>
      <c r="I944" s="72" t="s">
        <v>4</v>
      </c>
      <c r="J944" s="72" t="s">
        <v>4</v>
      </c>
      <c r="K944" s="72" t="s">
        <v>4</v>
      </c>
      <c r="L944" s="74"/>
      <c r="M944" s="77" t="str">
        <f>IF(Main[[#This Row],[Tech Start Date]]&lt;1/1/1990,"",IF(Main[[#This Row],[Class]]="C",WORKDAY(Main[[#This Row],[Tech Start Date]],9),IF(Main[[#This Row],[Class]]="B", WORKDAY(Main[[#This Row],[Tech Start Date]],6),IF(Main[[#This Row],[Class]]="A",WORKDAY(Main[[#This Row],[Tech Start Date]],2),""))))</f>
        <v/>
      </c>
      <c r="N944" s="77" t="str">
        <f>IF(Main[[#This Row],[Tech Start Date]]&lt;1/1/1990,"",IF(Main[[#This Row],[Class]]="C",WORKDAY(Main[[#This Row],[Tech Start Date]],19),IF(Main[[#This Row],[Class]]="B", WORKDAY(Main[[#This Row],[Tech Start Date]],12),IF(Main[[#This Row],[Class]]="A",WORKDAY(Main[[#This Row],[Tech Start Date]],4),""))))</f>
        <v/>
      </c>
      <c r="O944" s="77" t="str">
        <f>IF(Main[[#This Row],[Tech Start Date]]&lt;1/1/1990,"",IF(Main[[#This Row],[Class]]="C",WORKDAY(Main[[#This Row],[Tech Start Date]],23),IF(Main[[#This Row],[Class]]="B", WORKDAY(Main[[#This Row],[Tech Start Date]],15),IF(Main[[#This Row],[Class]]="A",WORKDAY(Main[[#This Row],[Tech Start Date]],5),""))))</f>
        <v/>
      </c>
      <c r="P944" s="77" t="str">
        <f>IF(Main[[#This Row],[Tech Start Date]]&lt;1/1/1990,"",IF(Main[[#This Row],[Class]]="C",WORKDAY(Main[[#This Row],[Tech Start Date]],28),IF(Main[[#This Row],[Class]]="B", WORKDAY(Main[[#This Row],[Tech Start Date]],19),IF(Main[[#This Row],[Class]]="A",WORKDAY(Main[[#This Row],[Tech Start Date]],9),""))))</f>
        <v/>
      </c>
      <c r="Q944" s="74">
        <v>40134</v>
      </c>
      <c r="R944" s="74"/>
      <c r="S944" s="72" t="s">
        <v>11</v>
      </c>
      <c r="T944" s="80" t="s">
        <v>4</v>
      </c>
      <c r="U944" s="72" t="s">
        <v>14</v>
      </c>
      <c r="V944" s="72" t="s">
        <v>1947</v>
      </c>
      <c r="W944" s="72" t="s">
        <v>1945</v>
      </c>
      <c r="X944" s="72" t="s">
        <v>2969</v>
      </c>
      <c r="Y944" s="72" t="s">
        <v>4</v>
      </c>
      <c r="Z944" s="72" t="s">
        <v>4</v>
      </c>
    </row>
    <row r="945" spans="1:26" ht="18.600000000000001" customHeight="1">
      <c r="A945" s="142" t="str">
        <f>IF(priority(Main[[#This Row],[Comments]])&lt;&gt;0, priority(Main[[#This Row],[Comments]]),"")</f>
        <v/>
      </c>
      <c r="B945" s="90" t="s">
        <v>1767</v>
      </c>
      <c r="C945" s="72" t="s">
        <v>4</v>
      </c>
      <c r="D945" s="73" t="s">
        <v>810</v>
      </c>
      <c r="E945" s="74"/>
      <c r="F945" s="74">
        <v>40598</v>
      </c>
      <c r="G945" s="75" t="str">
        <f>IF(stdProdLT(Main[[#This Row],[Comments]])=0.1,"N/A",IF(stdProdLT(Main[[#This Row],[Comments]])=0,"",stdProdLT(Main[[#This Row],[Comments]])))</f>
        <v/>
      </c>
      <c r="H945" s="76" t="str">
        <f>IF(AND(Main[[#This Row],[In Stock Date]]&lt;&gt;"",Main[[#This Row],[Revised Due Date]]&lt;&gt;""),Main[[#This Row],[In Stock Date]]-Main[[#This Row],[Revised Due Date]],"")</f>
        <v/>
      </c>
      <c r="I945" s="72" t="s">
        <v>4</v>
      </c>
      <c r="J945" s="72" t="s">
        <v>4</v>
      </c>
      <c r="K945" s="72" t="s">
        <v>4</v>
      </c>
      <c r="L945" s="74"/>
      <c r="M945" s="77" t="str">
        <f>IF(Main[[#This Row],[Tech Start Date]]&lt;1/1/1990,"",IF(Main[[#This Row],[Class]]="C",WORKDAY(Main[[#This Row],[Tech Start Date]],9),IF(Main[[#This Row],[Class]]="B", WORKDAY(Main[[#This Row],[Tech Start Date]],6),IF(Main[[#This Row],[Class]]="A",WORKDAY(Main[[#This Row],[Tech Start Date]],2),""))))</f>
        <v/>
      </c>
      <c r="N945" s="77" t="str">
        <f>IF(Main[[#This Row],[Tech Start Date]]&lt;1/1/1990,"",IF(Main[[#This Row],[Class]]="C",WORKDAY(Main[[#This Row],[Tech Start Date]],19),IF(Main[[#This Row],[Class]]="B", WORKDAY(Main[[#This Row],[Tech Start Date]],12),IF(Main[[#This Row],[Class]]="A",WORKDAY(Main[[#This Row],[Tech Start Date]],4),""))))</f>
        <v/>
      </c>
      <c r="O945" s="77" t="str">
        <f>IF(Main[[#This Row],[Tech Start Date]]&lt;1/1/1990,"",IF(Main[[#This Row],[Class]]="C",WORKDAY(Main[[#This Row],[Tech Start Date]],23),IF(Main[[#This Row],[Class]]="B", WORKDAY(Main[[#This Row],[Tech Start Date]],15),IF(Main[[#This Row],[Class]]="A",WORKDAY(Main[[#This Row],[Tech Start Date]],5),""))))</f>
        <v/>
      </c>
      <c r="P945" s="77" t="str">
        <f>IF(Main[[#This Row],[Tech Start Date]]&lt;1/1/1990,"",IF(Main[[#This Row],[Class]]="C",WORKDAY(Main[[#This Row],[Tech Start Date]],28),IF(Main[[#This Row],[Class]]="B", WORKDAY(Main[[#This Row],[Tech Start Date]],19),IF(Main[[#This Row],[Class]]="A",WORKDAY(Main[[#This Row],[Tech Start Date]],9),""))))</f>
        <v/>
      </c>
      <c r="Q945" s="74">
        <v>40598</v>
      </c>
      <c r="R945" s="74"/>
      <c r="S945" s="72" t="s">
        <v>11</v>
      </c>
      <c r="T945" s="80" t="s">
        <v>4</v>
      </c>
      <c r="U945" s="72" t="s">
        <v>14</v>
      </c>
      <c r="V945" s="72" t="s">
        <v>1947</v>
      </c>
      <c r="W945" s="72" t="s">
        <v>1943</v>
      </c>
      <c r="X945" s="72" t="s">
        <v>3000</v>
      </c>
      <c r="Y945" s="72" t="s">
        <v>3137</v>
      </c>
      <c r="Z945" s="72" t="s">
        <v>4</v>
      </c>
    </row>
    <row r="946" spans="1:26" ht="18.600000000000001" customHeight="1">
      <c r="A946" s="142" t="str">
        <f>IF(priority(Main[[#This Row],[Comments]])&lt;&gt;0, priority(Main[[#This Row],[Comments]]),"")</f>
        <v/>
      </c>
      <c r="B946" s="90" t="s">
        <v>1768</v>
      </c>
      <c r="C946" s="72" t="s">
        <v>442</v>
      </c>
      <c r="D946" s="73" t="s">
        <v>802</v>
      </c>
      <c r="E946" s="74"/>
      <c r="F946" s="74"/>
      <c r="G946" s="75" t="str">
        <f>IF(stdProdLT(Main[[#This Row],[Comments]])=0.1,"N/A",IF(stdProdLT(Main[[#This Row],[Comments]])=0,"",stdProdLT(Main[[#This Row],[Comments]])))</f>
        <v/>
      </c>
      <c r="H946" s="76" t="str">
        <f>IF(AND(Main[[#This Row],[In Stock Date]]&lt;&gt;"",Main[[#This Row],[Revised Due Date]]&lt;&gt;""),Main[[#This Row],[In Stock Date]]-Main[[#This Row],[Revised Due Date]],"")</f>
        <v/>
      </c>
      <c r="I946" s="72" t="s">
        <v>4</v>
      </c>
      <c r="J946" s="72" t="s">
        <v>4</v>
      </c>
      <c r="K946" s="72" t="s">
        <v>4</v>
      </c>
      <c r="L946" s="74"/>
      <c r="M946" s="77" t="str">
        <f>IF(Main[[#This Row],[Tech Start Date]]&lt;1/1/1990,"",IF(Main[[#This Row],[Class]]="C",WORKDAY(Main[[#This Row],[Tech Start Date]],9),IF(Main[[#This Row],[Class]]="B", WORKDAY(Main[[#This Row],[Tech Start Date]],6),IF(Main[[#This Row],[Class]]="A",WORKDAY(Main[[#This Row],[Tech Start Date]],2),""))))</f>
        <v/>
      </c>
      <c r="N946" s="77" t="str">
        <f>IF(Main[[#This Row],[Tech Start Date]]&lt;1/1/1990,"",IF(Main[[#This Row],[Class]]="C",WORKDAY(Main[[#This Row],[Tech Start Date]],19),IF(Main[[#This Row],[Class]]="B", WORKDAY(Main[[#This Row],[Tech Start Date]],12),IF(Main[[#This Row],[Class]]="A",WORKDAY(Main[[#This Row],[Tech Start Date]],4),""))))</f>
        <v/>
      </c>
      <c r="O946" s="77" t="str">
        <f>IF(Main[[#This Row],[Tech Start Date]]&lt;1/1/1990,"",IF(Main[[#This Row],[Class]]="C",WORKDAY(Main[[#This Row],[Tech Start Date]],23),IF(Main[[#This Row],[Class]]="B", WORKDAY(Main[[#This Row],[Tech Start Date]],15),IF(Main[[#This Row],[Class]]="A",WORKDAY(Main[[#This Row],[Tech Start Date]],5),""))))</f>
        <v/>
      </c>
      <c r="P946" s="77" t="str">
        <f>IF(Main[[#This Row],[Tech Start Date]]&lt;1/1/1990,"",IF(Main[[#This Row],[Class]]="C",WORKDAY(Main[[#This Row],[Tech Start Date]],28),IF(Main[[#This Row],[Class]]="B", WORKDAY(Main[[#This Row],[Tech Start Date]],19),IF(Main[[#This Row],[Class]]="A",WORKDAY(Main[[#This Row],[Tech Start Date]],9),""))))</f>
        <v/>
      </c>
      <c r="Q946" s="74"/>
      <c r="R946" s="74"/>
      <c r="S946" s="72" t="s">
        <v>11</v>
      </c>
      <c r="T946" s="80" t="s">
        <v>4</v>
      </c>
      <c r="U946" s="72" t="s">
        <v>14</v>
      </c>
      <c r="V946" s="72" t="s">
        <v>1937</v>
      </c>
      <c r="W946" s="72" t="s">
        <v>1945</v>
      </c>
      <c r="X946" s="72" t="s">
        <v>3005</v>
      </c>
      <c r="Y946" s="72" t="s">
        <v>3149</v>
      </c>
      <c r="Z946" s="72" t="s">
        <v>4</v>
      </c>
    </row>
    <row r="947" spans="1:26" ht="18.600000000000001" customHeight="1">
      <c r="A947" s="142" t="str">
        <f>IF(priority(Main[[#This Row],[Comments]])&lt;&gt;0, priority(Main[[#This Row],[Comments]]),"")</f>
        <v/>
      </c>
      <c r="B947" s="90" t="s">
        <v>1770</v>
      </c>
      <c r="C947" s="72" t="s">
        <v>4</v>
      </c>
      <c r="D947" s="73" t="s">
        <v>811</v>
      </c>
      <c r="E947" s="74"/>
      <c r="F947" s="74"/>
      <c r="G947" s="75" t="str">
        <f>IF(stdProdLT(Main[[#This Row],[Comments]])=0.1,"N/A",IF(stdProdLT(Main[[#This Row],[Comments]])=0,"",stdProdLT(Main[[#This Row],[Comments]])))</f>
        <v/>
      </c>
      <c r="H947" s="76" t="str">
        <f>IF(AND(Main[[#This Row],[In Stock Date]]&lt;&gt;"",Main[[#This Row],[Revised Due Date]]&lt;&gt;""),Main[[#This Row],[In Stock Date]]-Main[[#This Row],[Revised Due Date]],"")</f>
        <v/>
      </c>
      <c r="I947" s="72" t="s">
        <v>4</v>
      </c>
      <c r="J947" s="72" t="s">
        <v>4</v>
      </c>
      <c r="K947" s="72" t="s">
        <v>4</v>
      </c>
      <c r="L947" s="74"/>
      <c r="M947" s="77" t="str">
        <f>IF(Main[[#This Row],[Tech Start Date]]&lt;1/1/1990,"",IF(Main[[#This Row],[Class]]="C",WORKDAY(Main[[#This Row],[Tech Start Date]],9),IF(Main[[#This Row],[Class]]="B", WORKDAY(Main[[#This Row],[Tech Start Date]],6),IF(Main[[#This Row],[Class]]="A",WORKDAY(Main[[#This Row],[Tech Start Date]],2),""))))</f>
        <v/>
      </c>
      <c r="N947" s="77" t="str">
        <f>IF(Main[[#This Row],[Tech Start Date]]&lt;1/1/1990,"",IF(Main[[#This Row],[Class]]="C",WORKDAY(Main[[#This Row],[Tech Start Date]],19),IF(Main[[#This Row],[Class]]="B", WORKDAY(Main[[#This Row],[Tech Start Date]],12),IF(Main[[#This Row],[Class]]="A",WORKDAY(Main[[#This Row],[Tech Start Date]],4),""))))</f>
        <v/>
      </c>
      <c r="O947" s="77" t="str">
        <f>IF(Main[[#This Row],[Tech Start Date]]&lt;1/1/1990,"",IF(Main[[#This Row],[Class]]="C",WORKDAY(Main[[#This Row],[Tech Start Date]],23),IF(Main[[#This Row],[Class]]="B", WORKDAY(Main[[#This Row],[Tech Start Date]],15),IF(Main[[#This Row],[Class]]="A",WORKDAY(Main[[#This Row],[Tech Start Date]],5),""))))</f>
        <v/>
      </c>
      <c r="P947" s="77" t="str">
        <f>IF(Main[[#This Row],[Tech Start Date]]&lt;1/1/1990,"",IF(Main[[#This Row],[Class]]="C",WORKDAY(Main[[#This Row],[Tech Start Date]],28),IF(Main[[#This Row],[Class]]="B", WORKDAY(Main[[#This Row],[Tech Start Date]],19),IF(Main[[#This Row],[Class]]="A",WORKDAY(Main[[#This Row],[Tech Start Date]],9),""))))</f>
        <v/>
      </c>
      <c r="Q947" s="74"/>
      <c r="R947" s="74"/>
      <c r="S947" s="72" t="s">
        <v>23</v>
      </c>
      <c r="T947" s="80" t="s">
        <v>4</v>
      </c>
      <c r="U947" s="72" t="s">
        <v>14</v>
      </c>
      <c r="V947" s="72" t="s">
        <v>1947</v>
      </c>
      <c r="W947" s="72" t="s">
        <v>1941</v>
      </c>
      <c r="X947" s="72" t="s">
        <v>423</v>
      </c>
      <c r="Y947" s="72" t="s">
        <v>3266</v>
      </c>
      <c r="Z947" s="72" t="s">
        <v>4</v>
      </c>
    </row>
    <row r="948" spans="1:26" ht="18.600000000000001" customHeight="1">
      <c r="A948" s="142" t="str">
        <f>IF(priority(Main[[#This Row],[Comments]])&lt;&gt;0, priority(Main[[#This Row],[Comments]]),"")</f>
        <v/>
      </c>
      <c r="B948" s="90" t="s">
        <v>1112</v>
      </c>
      <c r="C948" s="72" t="s">
        <v>4</v>
      </c>
      <c r="D948" s="73" t="s">
        <v>146</v>
      </c>
      <c r="E948" s="74"/>
      <c r="F948" s="74"/>
      <c r="G948" s="75" t="str">
        <f>IF(stdProdLT(Main[[#This Row],[Comments]])=0.1,"N/A",IF(stdProdLT(Main[[#This Row],[Comments]])=0,"",stdProdLT(Main[[#This Row],[Comments]])))</f>
        <v/>
      </c>
      <c r="H948" s="76" t="str">
        <f>IF(AND(Main[[#This Row],[In Stock Date]]&lt;&gt;"",Main[[#This Row],[Revised Due Date]]&lt;&gt;""),Main[[#This Row],[In Stock Date]]-Main[[#This Row],[Revised Due Date]],"")</f>
        <v/>
      </c>
      <c r="I948" s="72" t="s">
        <v>4</v>
      </c>
      <c r="J948" s="72" t="s">
        <v>4</v>
      </c>
      <c r="K948" s="72" t="s">
        <v>4</v>
      </c>
      <c r="L948" s="74"/>
      <c r="M948" s="77" t="str">
        <f>IF(Main[[#This Row],[Tech Start Date]]&lt;1/1/1990,"",IF(Main[[#This Row],[Class]]="C",WORKDAY(Main[[#This Row],[Tech Start Date]],9),IF(Main[[#This Row],[Class]]="B", WORKDAY(Main[[#This Row],[Tech Start Date]],6),IF(Main[[#This Row],[Class]]="A",WORKDAY(Main[[#This Row],[Tech Start Date]],2),""))))</f>
        <v/>
      </c>
      <c r="N948" s="77" t="str">
        <f>IF(Main[[#This Row],[Tech Start Date]]&lt;1/1/1990,"",IF(Main[[#This Row],[Class]]="C",WORKDAY(Main[[#This Row],[Tech Start Date]],19),IF(Main[[#This Row],[Class]]="B", WORKDAY(Main[[#This Row],[Tech Start Date]],12),IF(Main[[#This Row],[Class]]="A",WORKDAY(Main[[#This Row],[Tech Start Date]],4),""))))</f>
        <v/>
      </c>
      <c r="O948" s="77" t="str">
        <f>IF(Main[[#This Row],[Tech Start Date]]&lt;1/1/1990,"",IF(Main[[#This Row],[Class]]="C",WORKDAY(Main[[#This Row],[Tech Start Date]],23),IF(Main[[#This Row],[Class]]="B", WORKDAY(Main[[#This Row],[Tech Start Date]],15),IF(Main[[#This Row],[Class]]="A",WORKDAY(Main[[#This Row],[Tech Start Date]],5),""))))</f>
        <v/>
      </c>
      <c r="P948" s="77" t="str">
        <f>IF(Main[[#This Row],[Tech Start Date]]&lt;1/1/1990,"",IF(Main[[#This Row],[Class]]="C",WORKDAY(Main[[#This Row],[Tech Start Date]],28),IF(Main[[#This Row],[Class]]="B", WORKDAY(Main[[#This Row],[Tech Start Date]],19),IF(Main[[#This Row],[Class]]="A",WORKDAY(Main[[#This Row],[Tech Start Date]],9),""))))</f>
        <v/>
      </c>
      <c r="Q948" s="74"/>
      <c r="R948" s="74"/>
      <c r="S948" s="72" t="s">
        <v>17</v>
      </c>
      <c r="T948" s="80" t="s">
        <v>4</v>
      </c>
      <c r="U948" s="72" t="s">
        <v>14</v>
      </c>
      <c r="V948" s="72" t="s">
        <v>1952</v>
      </c>
      <c r="W948" s="72" t="s">
        <v>1939</v>
      </c>
      <c r="X948" s="72" t="s">
        <v>3059</v>
      </c>
      <c r="Y948" s="72" t="s">
        <v>3265</v>
      </c>
      <c r="Z948" s="72" t="s">
        <v>4</v>
      </c>
    </row>
    <row r="949" spans="1:26" ht="18.600000000000001" customHeight="1">
      <c r="A949" s="142" t="str">
        <f>IF(priority(Main[[#This Row],[Comments]])&lt;&gt;0, priority(Main[[#This Row],[Comments]]),"")</f>
        <v/>
      </c>
      <c r="B949" s="90" t="s">
        <v>1702</v>
      </c>
      <c r="C949" s="72" t="s">
        <v>37</v>
      </c>
      <c r="D949" s="73" t="s">
        <v>2433</v>
      </c>
      <c r="E949" s="74">
        <v>40682.483831018515</v>
      </c>
      <c r="F949" s="74"/>
      <c r="G949" s="75" t="str">
        <f>IF(stdProdLT(Main[[#This Row],[Comments]])=0.1,"N/A",IF(stdProdLT(Main[[#This Row],[Comments]])=0,"",stdProdLT(Main[[#This Row],[Comments]])))</f>
        <v/>
      </c>
      <c r="H949" s="76" t="str">
        <f>IF(AND(Main[[#This Row],[In Stock Date]]&lt;&gt;"",Main[[#This Row],[Revised Due Date]]&lt;&gt;""),Main[[#This Row],[In Stock Date]]-Main[[#This Row],[Revised Due Date]],"")</f>
        <v/>
      </c>
      <c r="I949" s="72" t="s">
        <v>4</v>
      </c>
      <c r="J949" s="72" t="s">
        <v>4</v>
      </c>
      <c r="K949" s="81" t="s">
        <v>4</v>
      </c>
      <c r="L949" s="74"/>
      <c r="M949" s="77" t="str">
        <f>IF(Main[[#This Row],[Tech Start Date]]&lt;1/1/1990,"",IF(Main[[#This Row],[Class]]="C",WORKDAY(Main[[#This Row],[Tech Start Date]],9),IF(Main[[#This Row],[Class]]="B", WORKDAY(Main[[#This Row],[Tech Start Date]],6),IF(Main[[#This Row],[Class]]="A",WORKDAY(Main[[#This Row],[Tech Start Date]],2),""))))</f>
        <v/>
      </c>
      <c r="N949" s="77" t="str">
        <f>IF(Main[[#This Row],[Tech Start Date]]&lt;1/1/1990,"",IF(Main[[#This Row],[Class]]="C",WORKDAY(Main[[#This Row],[Tech Start Date]],19),IF(Main[[#This Row],[Class]]="B", WORKDAY(Main[[#This Row],[Tech Start Date]],12),IF(Main[[#This Row],[Class]]="A",WORKDAY(Main[[#This Row],[Tech Start Date]],4),""))))</f>
        <v/>
      </c>
      <c r="O949" s="77" t="str">
        <f>IF(Main[[#This Row],[Tech Start Date]]&lt;1/1/1990,"",IF(Main[[#This Row],[Class]]="C",WORKDAY(Main[[#This Row],[Tech Start Date]],23),IF(Main[[#This Row],[Class]]="B", WORKDAY(Main[[#This Row],[Tech Start Date]],15),IF(Main[[#This Row],[Class]]="A",WORKDAY(Main[[#This Row],[Tech Start Date]],5),""))))</f>
        <v/>
      </c>
      <c r="P949" s="77" t="str">
        <f>IF(Main[[#This Row],[Tech Start Date]]&lt;1/1/1990,"",IF(Main[[#This Row],[Class]]="C",WORKDAY(Main[[#This Row],[Tech Start Date]],28),IF(Main[[#This Row],[Class]]="B", WORKDAY(Main[[#This Row],[Tech Start Date]],19),IF(Main[[#This Row],[Class]]="A",WORKDAY(Main[[#This Row],[Tech Start Date]],9),""))))</f>
        <v/>
      </c>
      <c r="Q949" s="74">
        <v>40700</v>
      </c>
      <c r="R949" s="74"/>
      <c r="S949" s="72" t="s">
        <v>6</v>
      </c>
      <c r="T949" s="80" t="s">
        <v>4</v>
      </c>
      <c r="U949" s="72" t="s">
        <v>540</v>
      </c>
      <c r="V949" s="72" t="s">
        <v>1937</v>
      </c>
      <c r="W949" s="72" t="s">
        <v>1948</v>
      </c>
      <c r="X949" s="72" t="s">
        <v>986</v>
      </c>
      <c r="Y949" s="72" t="s">
        <v>3256</v>
      </c>
      <c r="Z949" s="72" t="s">
        <v>4</v>
      </c>
    </row>
    <row r="950" spans="1:26" ht="18.600000000000001" customHeight="1">
      <c r="A950" s="142" t="str">
        <f>IF(priority(Main[[#This Row],[Comments]])&lt;&gt;0, priority(Main[[#This Row],[Comments]]),"")</f>
        <v/>
      </c>
      <c r="B950" s="90" t="s">
        <v>1771</v>
      </c>
      <c r="C950" s="72" t="s">
        <v>702</v>
      </c>
      <c r="D950" s="73" t="s">
        <v>703</v>
      </c>
      <c r="E950" s="74"/>
      <c r="F950" s="74"/>
      <c r="G950" s="75" t="str">
        <f>IF(stdProdLT(Main[[#This Row],[Comments]])=0.1,"N/A",IF(stdProdLT(Main[[#This Row],[Comments]])=0,"",stdProdLT(Main[[#This Row],[Comments]])))</f>
        <v/>
      </c>
      <c r="H950" s="76" t="str">
        <f>IF(AND(Main[[#This Row],[In Stock Date]]&lt;&gt;"",Main[[#This Row],[Revised Due Date]]&lt;&gt;""),Main[[#This Row],[In Stock Date]]-Main[[#This Row],[Revised Due Date]],"")</f>
        <v/>
      </c>
      <c r="I950" s="72" t="s">
        <v>4</v>
      </c>
      <c r="J950" s="72" t="s">
        <v>4</v>
      </c>
      <c r="K950" s="72" t="s">
        <v>4</v>
      </c>
      <c r="L950" s="74"/>
      <c r="M950" s="77" t="str">
        <f>IF(Main[[#This Row],[Tech Start Date]]&lt;1/1/1990,"",IF(Main[[#This Row],[Class]]="C",WORKDAY(Main[[#This Row],[Tech Start Date]],9),IF(Main[[#This Row],[Class]]="B", WORKDAY(Main[[#This Row],[Tech Start Date]],6),IF(Main[[#This Row],[Class]]="A",WORKDAY(Main[[#This Row],[Tech Start Date]],2),""))))</f>
        <v/>
      </c>
      <c r="N950" s="77" t="str">
        <f>IF(Main[[#This Row],[Tech Start Date]]&lt;1/1/1990,"",IF(Main[[#This Row],[Class]]="C",WORKDAY(Main[[#This Row],[Tech Start Date]],19),IF(Main[[#This Row],[Class]]="B", WORKDAY(Main[[#This Row],[Tech Start Date]],12),IF(Main[[#This Row],[Class]]="A",WORKDAY(Main[[#This Row],[Tech Start Date]],4),""))))</f>
        <v/>
      </c>
      <c r="O950" s="77" t="str">
        <f>IF(Main[[#This Row],[Tech Start Date]]&lt;1/1/1990,"",IF(Main[[#This Row],[Class]]="C",WORKDAY(Main[[#This Row],[Tech Start Date]],23),IF(Main[[#This Row],[Class]]="B", WORKDAY(Main[[#This Row],[Tech Start Date]],15),IF(Main[[#This Row],[Class]]="A",WORKDAY(Main[[#This Row],[Tech Start Date]],5),""))))</f>
        <v/>
      </c>
      <c r="P950" s="77" t="str">
        <f>IF(Main[[#This Row],[Tech Start Date]]&lt;1/1/1990,"",IF(Main[[#This Row],[Class]]="C",WORKDAY(Main[[#This Row],[Tech Start Date]],28),IF(Main[[#This Row],[Class]]="B", WORKDAY(Main[[#This Row],[Tech Start Date]],19),IF(Main[[#This Row],[Class]]="A",WORKDAY(Main[[#This Row],[Tech Start Date]],9),""))))</f>
        <v/>
      </c>
      <c r="Q950" s="74">
        <v>40672</v>
      </c>
      <c r="R950" s="74"/>
      <c r="S950" s="72" t="s">
        <v>11</v>
      </c>
      <c r="T950" s="80" t="s">
        <v>4</v>
      </c>
      <c r="U950" s="72" t="s">
        <v>12</v>
      </c>
      <c r="V950" s="72" t="s">
        <v>1937</v>
      </c>
      <c r="W950" s="72" t="s">
        <v>1939</v>
      </c>
      <c r="X950" s="72" t="s">
        <v>3060</v>
      </c>
      <c r="Y950" s="72" t="s">
        <v>4</v>
      </c>
      <c r="Z950" s="72" t="s">
        <v>4</v>
      </c>
    </row>
    <row r="951" spans="1:26" ht="18.600000000000001" customHeight="1">
      <c r="A951" s="142" t="str">
        <f>IF(priority(Main[[#This Row],[Comments]])&lt;&gt;0, priority(Main[[#This Row],[Comments]]),"")</f>
        <v/>
      </c>
      <c r="B951" s="90" t="s">
        <v>1772</v>
      </c>
      <c r="C951" s="72" t="s">
        <v>4</v>
      </c>
      <c r="D951" s="73" t="s">
        <v>812</v>
      </c>
      <c r="E951" s="74"/>
      <c r="F951" s="74"/>
      <c r="G951" s="75" t="str">
        <f>IF(stdProdLT(Main[[#This Row],[Comments]])=0.1,"N/A",IF(stdProdLT(Main[[#This Row],[Comments]])=0,"",stdProdLT(Main[[#This Row],[Comments]])))</f>
        <v/>
      </c>
      <c r="H951" s="76" t="str">
        <f>IF(AND(Main[[#This Row],[In Stock Date]]&lt;&gt;"",Main[[#This Row],[Revised Due Date]]&lt;&gt;""),Main[[#This Row],[In Stock Date]]-Main[[#This Row],[Revised Due Date]],"")</f>
        <v/>
      </c>
      <c r="I951" s="72" t="s">
        <v>4</v>
      </c>
      <c r="J951" s="72" t="s">
        <v>28</v>
      </c>
      <c r="K951" s="72" t="s">
        <v>1946</v>
      </c>
      <c r="L951" s="74"/>
      <c r="M951" s="77" t="str">
        <f>IF(Main[[#This Row],[Tech Start Date]]&lt;1/1/1990,"",IF(Main[[#This Row],[Class]]="C",WORKDAY(Main[[#This Row],[Tech Start Date]],9),IF(Main[[#This Row],[Class]]="B", WORKDAY(Main[[#This Row],[Tech Start Date]],6),IF(Main[[#This Row],[Class]]="A",WORKDAY(Main[[#This Row],[Tech Start Date]],2),""))))</f>
        <v/>
      </c>
      <c r="N951" s="77" t="str">
        <f>IF(Main[[#This Row],[Tech Start Date]]&lt;1/1/1990,"",IF(Main[[#This Row],[Class]]="C",WORKDAY(Main[[#This Row],[Tech Start Date]],19),IF(Main[[#This Row],[Class]]="B", WORKDAY(Main[[#This Row],[Tech Start Date]],12),IF(Main[[#This Row],[Class]]="A",WORKDAY(Main[[#This Row],[Tech Start Date]],4),""))))</f>
        <v/>
      </c>
      <c r="O951" s="77" t="str">
        <f>IF(Main[[#This Row],[Tech Start Date]]&lt;1/1/1990,"",IF(Main[[#This Row],[Class]]="C",WORKDAY(Main[[#This Row],[Tech Start Date]],23),IF(Main[[#This Row],[Class]]="B", WORKDAY(Main[[#This Row],[Tech Start Date]],15),IF(Main[[#This Row],[Class]]="A",WORKDAY(Main[[#This Row],[Tech Start Date]],5),""))))</f>
        <v/>
      </c>
      <c r="P951" s="77" t="str">
        <f>IF(Main[[#This Row],[Tech Start Date]]&lt;1/1/1990,"",IF(Main[[#This Row],[Class]]="C",WORKDAY(Main[[#This Row],[Tech Start Date]],28),IF(Main[[#This Row],[Class]]="B", WORKDAY(Main[[#This Row],[Tech Start Date]],19),IF(Main[[#This Row],[Class]]="A",WORKDAY(Main[[#This Row],[Tech Start Date]],9),""))))</f>
        <v/>
      </c>
      <c r="Q951" s="74">
        <v>40672</v>
      </c>
      <c r="R951" s="74"/>
      <c r="S951" s="72" t="s">
        <v>6</v>
      </c>
      <c r="T951" s="80" t="s">
        <v>4</v>
      </c>
      <c r="U951" s="72" t="s">
        <v>14</v>
      </c>
      <c r="V951" s="72" t="s">
        <v>1940</v>
      </c>
      <c r="W951" s="72" t="s">
        <v>1939</v>
      </c>
      <c r="X951" s="72" t="s">
        <v>2974</v>
      </c>
      <c r="Y951" s="72" t="s">
        <v>3096</v>
      </c>
      <c r="Z951" s="72" t="s">
        <v>536</v>
      </c>
    </row>
    <row r="952" spans="1:26" ht="18.600000000000001" customHeight="1">
      <c r="A952" s="142" t="str">
        <f>IF(priority(Main[[#This Row],[Comments]])&lt;&gt;0, priority(Main[[#This Row],[Comments]]),"")</f>
        <v/>
      </c>
      <c r="B952" s="90" t="s">
        <v>1773</v>
      </c>
      <c r="C952" s="72" t="s">
        <v>72</v>
      </c>
      <c r="D952" s="73" t="s">
        <v>813</v>
      </c>
      <c r="E952" s="74"/>
      <c r="F952" s="74"/>
      <c r="G952" s="75" t="str">
        <f>IF(stdProdLT(Main[[#This Row],[Comments]])=0.1,"N/A",IF(stdProdLT(Main[[#This Row],[Comments]])=0,"",stdProdLT(Main[[#This Row],[Comments]])))</f>
        <v/>
      </c>
      <c r="H952" s="76" t="str">
        <f>IF(AND(Main[[#This Row],[In Stock Date]]&lt;&gt;"",Main[[#This Row],[Revised Due Date]]&lt;&gt;""),Main[[#This Row],[In Stock Date]]-Main[[#This Row],[Revised Due Date]],"")</f>
        <v/>
      </c>
      <c r="I952" s="72" t="s">
        <v>4</v>
      </c>
      <c r="J952" s="72" t="s">
        <v>52</v>
      </c>
      <c r="K952" s="72" t="s">
        <v>4</v>
      </c>
      <c r="L952" s="74"/>
      <c r="M952" s="77" t="str">
        <f>IF(Main[[#This Row],[Tech Start Date]]&lt;1/1/1990,"",IF(Main[[#This Row],[Class]]="C",WORKDAY(Main[[#This Row],[Tech Start Date]],9),IF(Main[[#This Row],[Class]]="B", WORKDAY(Main[[#This Row],[Tech Start Date]],6),IF(Main[[#This Row],[Class]]="A",WORKDAY(Main[[#This Row],[Tech Start Date]],2),""))))</f>
        <v/>
      </c>
      <c r="N952" s="77" t="str">
        <f>IF(Main[[#This Row],[Tech Start Date]]&lt;1/1/1990,"",IF(Main[[#This Row],[Class]]="C",WORKDAY(Main[[#This Row],[Tech Start Date]],19),IF(Main[[#This Row],[Class]]="B", WORKDAY(Main[[#This Row],[Tech Start Date]],12),IF(Main[[#This Row],[Class]]="A",WORKDAY(Main[[#This Row],[Tech Start Date]],4),""))))</f>
        <v/>
      </c>
      <c r="O952" s="77" t="str">
        <f>IF(Main[[#This Row],[Tech Start Date]]&lt;1/1/1990,"",IF(Main[[#This Row],[Class]]="C",WORKDAY(Main[[#This Row],[Tech Start Date]],23),IF(Main[[#This Row],[Class]]="B", WORKDAY(Main[[#This Row],[Tech Start Date]],15),IF(Main[[#This Row],[Class]]="A",WORKDAY(Main[[#This Row],[Tech Start Date]],5),""))))</f>
        <v/>
      </c>
      <c r="P952" s="77" t="str">
        <f>IF(Main[[#This Row],[Tech Start Date]]&lt;1/1/1990,"",IF(Main[[#This Row],[Class]]="C",WORKDAY(Main[[#This Row],[Tech Start Date]],28),IF(Main[[#This Row],[Class]]="B", WORKDAY(Main[[#This Row],[Tech Start Date]],19),IF(Main[[#This Row],[Class]]="A",WORKDAY(Main[[#This Row],[Tech Start Date]],9),""))))</f>
        <v/>
      </c>
      <c r="Q952" s="74">
        <v>40482</v>
      </c>
      <c r="R952" s="74"/>
      <c r="S952" s="72" t="s">
        <v>11</v>
      </c>
      <c r="T952" s="80" t="s">
        <v>4</v>
      </c>
      <c r="U952" s="72" t="s">
        <v>14</v>
      </c>
      <c r="V952" s="72" t="s">
        <v>1940</v>
      </c>
      <c r="W952" s="72" t="s">
        <v>1945</v>
      </c>
      <c r="X952" s="72" t="s">
        <v>3053</v>
      </c>
      <c r="Y952" s="72" t="s">
        <v>3136</v>
      </c>
      <c r="Z952" s="72" t="s">
        <v>2078</v>
      </c>
    </row>
    <row r="953" spans="1:26" ht="18.600000000000001" customHeight="1">
      <c r="A953" s="142" t="str">
        <f>IF(priority(Main[[#This Row],[Comments]])&lt;&gt;0, priority(Main[[#This Row],[Comments]]),"")</f>
        <v/>
      </c>
      <c r="B953" s="90" t="s">
        <v>1774</v>
      </c>
      <c r="C953" s="72" t="s">
        <v>4</v>
      </c>
      <c r="D953" s="73" t="s">
        <v>814</v>
      </c>
      <c r="E953" s="74"/>
      <c r="F953" s="74"/>
      <c r="G953" s="75" t="str">
        <f>IF(stdProdLT(Main[[#This Row],[Comments]])=0.1,"N/A",IF(stdProdLT(Main[[#This Row],[Comments]])=0,"",stdProdLT(Main[[#This Row],[Comments]])))</f>
        <v/>
      </c>
      <c r="H953" s="76" t="str">
        <f>IF(AND(Main[[#This Row],[In Stock Date]]&lt;&gt;"",Main[[#This Row],[Revised Due Date]]&lt;&gt;""),Main[[#This Row],[In Stock Date]]-Main[[#This Row],[Revised Due Date]],"")</f>
        <v/>
      </c>
      <c r="I953" s="72" t="s">
        <v>404</v>
      </c>
      <c r="J953" s="72" t="s">
        <v>4</v>
      </c>
      <c r="K953" s="72" t="s">
        <v>4</v>
      </c>
      <c r="L953" s="74"/>
      <c r="M953" s="77" t="str">
        <f>IF(Main[[#This Row],[Tech Start Date]]&lt;1/1/1990,"",IF(Main[[#This Row],[Class]]="C",WORKDAY(Main[[#This Row],[Tech Start Date]],9),IF(Main[[#This Row],[Class]]="B", WORKDAY(Main[[#This Row],[Tech Start Date]],6),IF(Main[[#This Row],[Class]]="A",WORKDAY(Main[[#This Row],[Tech Start Date]],2),""))))</f>
        <v/>
      </c>
      <c r="N953" s="77" t="str">
        <f>IF(Main[[#This Row],[Tech Start Date]]&lt;1/1/1990,"",IF(Main[[#This Row],[Class]]="C",WORKDAY(Main[[#This Row],[Tech Start Date]],19),IF(Main[[#This Row],[Class]]="B", WORKDAY(Main[[#This Row],[Tech Start Date]],12),IF(Main[[#This Row],[Class]]="A",WORKDAY(Main[[#This Row],[Tech Start Date]],4),""))))</f>
        <v/>
      </c>
      <c r="O953" s="77" t="str">
        <f>IF(Main[[#This Row],[Tech Start Date]]&lt;1/1/1990,"",IF(Main[[#This Row],[Class]]="C",WORKDAY(Main[[#This Row],[Tech Start Date]],23),IF(Main[[#This Row],[Class]]="B", WORKDAY(Main[[#This Row],[Tech Start Date]],15),IF(Main[[#This Row],[Class]]="A",WORKDAY(Main[[#This Row],[Tech Start Date]],5),""))))</f>
        <v/>
      </c>
      <c r="P953" s="77" t="str">
        <f>IF(Main[[#This Row],[Tech Start Date]]&lt;1/1/1990,"",IF(Main[[#This Row],[Class]]="C",WORKDAY(Main[[#This Row],[Tech Start Date]],28),IF(Main[[#This Row],[Class]]="B", WORKDAY(Main[[#This Row],[Tech Start Date]],19),IF(Main[[#This Row],[Class]]="A",WORKDAY(Main[[#This Row],[Tech Start Date]],9),""))))</f>
        <v/>
      </c>
      <c r="Q953" s="74">
        <v>40359</v>
      </c>
      <c r="R953" s="74"/>
      <c r="S953" s="72" t="s">
        <v>11</v>
      </c>
      <c r="T953" s="80" t="s">
        <v>4</v>
      </c>
      <c r="U953" s="72" t="s">
        <v>14</v>
      </c>
      <c r="V953" s="72" t="s">
        <v>1940</v>
      </c>
      <c r="W953" s="72" t="s">
        <v>1943</v>
      </c>
      <c r="X953" s="72" t="s">
        <v>3033</v>
      </c>
      <c r="Y953" s="72" t="s">
        <v>3188</v>
      </c>
      <c r="Z953" s="72" t="s">
        <v>311</v>
      </c>
    </row>
    <row r="954" spans="1:26" ht="18.600000000000001" customHeight="1">
      <c r="A954" s="142" t="str">
        <f>IF(priority(Main[[#This Row],[Comments]])&lt;&gt;0, priority(Main[[#This Row],[Comments]]),"")</f>
        <v/>
      </c>
      <c r="B954" s="90" t="s">
        <v>1775</v>
      </c>
      <c r="C954" s="72" t="s">
        <v>42</v>
      </c>
      <c r="D954" s="73" t="s">
        <v>815</v>
      </c>
      <c r="E954" s="74">
        <v>39932.448611111111</v>
      </c>
      <c r="F954" s="74"/>
      <c r="G954" s="75" t="str">
        <f>IF(stdProdLT(Main[[#This Row],[Comments]])=0.1,"N/A",IF(stdProdLT(Main[[#This Row],[Comments]])=0,"",stdProdLT(Main[[#This Row],[Comments]])))</f>
        <v/>
      </c>
      <c r="H954" s="76" t="str">
        <f>IF(AND(Main[[#This Row],[In Stock Date]]&lt;&gt;"",Main[[#This Row],[Revised Due Date]]&lt;&gt;""),Main[[#This Row],[In Stock Date]]-Main[[#This Row],[Revised Due Date]],"")</f>
        <v/>
      </c>
      <c r="I954" s="72" t="s">
        <v>4</v>
      </c>
      <c r="J954" s="72" t="s">
        <v>4</v>
      </c>
      <c r="K954" s="72" t="s">
        <v>4</v>
      </c>
      <c r="L954" s="74"/>
      <c r="M954" s="77" t="str">
        <f>IF(Main[[#This Row],[Tech Start Date]]&lt;1/1/1990,"",IF(Main[[#This Row],[Class]]="C",WORKDAY(Main[[#This Row],[Tech Start Date]],9),IF(Main[[#This Row],[Class]]="B", WORKDAY(Main[[#This Row],[Tech Start Date]],6),IF(Main[[#This Row],[Class]]="A",WORKDAY(Main[[#This Row],[Tech Start Date]],2),""))))</f>
        <v/>
      </c>
      <c r="N954" s="77" t="str">
        <f>IF(Main[[#This Row],[Tech Start Date]]&lt;1/1/1990,"",IF(Main[[#This Row],[Class]]="C",WORKDAY(Main[[#This Row],[Tech Start Date]],19),IF(Main[[#This Row],[Class]]="B", WORKDAY(Main[[#This Row],[Tech Start Date]],12),IF(Main[[#This Row],[Class]]="A",WORKDAY(Main[[#This Row],[Tech Start Date]],4),""))))</f>
        <v/>
      </c>
      <c r="O954" s="77" t="str">
        <f>IF(Main[[#This Row],[Tech Start Date]]&lt;1/1/1990,"",IF(Main[[#This Row],[Class]]="C",WORKDAY(Main[[#This Row],[Tech Start Date]],23),IF(Main[[#This Row],[Class]]="B", WORKDAY(Main[[#This Row],[Tech Start Date]],15),IF(Main[[#This Row],[Class]]="A",WORKDAY(Main[[#This Row],[Tech Start Date]],5),""))))</f>
        <v/>
      </c>
      <c r="P954" s="77" t="str">
        <f>IF(Main[[#This Row],[Tech Start Date]]&lt;1/1/1990,"",IF(Main[[#This Row],[Class]]="C",WORKDAY(Main[[#This Row],[Tech Start Date]],28),IF(Main[[#This Row],[Class]]="B", WORKDAY(Main[[#This Row],[Tech Start Date]],19),IF(Main[[#This Row],[Class]]="A",WORKDAY(Main[[#This Row],[Tech Start Date]],9),""))))</f>
        <v/>
      </c>
      <c r="Q954" s="74"/>
      <c r="R954" s="74"/>
      <c r="S954" s="72" t="s">
        <v>17</v>
      </c>
      <c r="T954" s="80" t="s">
        <v>4</v>
      </c>
      <c r="U954" s="72" t="s">
        <v>7</v>
      </c>
      <c r="V954" s="72" t="s">
        <v>1940</v>
      </c>
      <c r="W954" s="72" t="s">
        <v>4</v>
      </c>
      <c r="X954" s="72" t="s">
        <v>404</v>
      </c>
      <c r="Y954" s="72" t="s">
        <v>4</v>
      </c>
      <c r="Z954" s="72" t="s">
        <v>4</v>
      </c>
    </row>
    <row r="955" spans="1:26" ht="18.600000000000001" customHeight="1">
      <c r="A955" s="142" t="str">
        <f>IF(priority(Main[[#This Row],[Comments]])&lt;&gt;0, priority(Main[[#This Row],[Comments]]),"")</f>
        <v/>
      </c>
      <c r="B955" s="90" t="s">
        <v>1751</v>
      </c>
      <c r="C955" s="72" t="s">
        <v>4</v>
      </c>
      <c r="D955" s="73" t="s">
        <v>797</v>
      </c>
      <c r="E955" s="74">
        <v>40584.401712962965</v>
      </c>
      <c r="F955" s="74">
        <v>40602</v>
      </c>
      <c r="G955" s="75" t="str">
        <f>IF(stdProdLT(Main[[#This Row],[Comments]])=0.1,"N/A",IF(stdProdLT(Main[[#This Row],[Comments]])=0,"",stdProdLT(Main[[#This Row],[Comments]])))</f>
        <v/>
      </c>
      <c r="H955" s="76" t="str">
        <f>IF(AND(Main[[#This Row],[In Stock Date]]&lt;&gt;"",Main[[#This Row],[Revised Due Date]]&lt;&gt;""),Main[[#This Row],[In Stock Date]]-Main[[#This Row],[Revised Due Date]],"")</f>
        <v/>
      </c>
      <c r="I955" s="72" t="s">
        <v>4</v>
      </c>
      <c r="J955" s="72" t="s">
        <v>28</v>
      </c>
      <c r="K955" s="72" t="s">
        <v>1949</v>
      </c>
      <c r="L955" s="74"/>
      <c r="M955" s="77" t="str">
        <f>IF(Main[[#This Row],[Tech Start Date]]&lt;1/1/1990,"",IF(Main[[#This Row],[Class]]="C",WORKDAY(Main[[#This Row],[Tech Start Date]],9),IF(Main[[#This Row],[Class]]="B", WORKDAY(Main[[#This Row],[Tech Start Date]],6),IF(Main[[#This Row],[Class]]="A",WORKDAY(Main[[#This Row],[Tech Start Date]],2),""))))</f>
        <v/>
      </c>
      <c r="N955" s="77" t="str">
        <f>IF(Main[[#This Row],[Tech Start Date]]&lt;1/1/1990,"",IF(Main[[#This Row],[Class]]="C",WORKDAY(Main[[#This Row],[Tech Start Date]],19),IF(Main[[#This Row],[Class]]="B", WORKDAY(Main[[#This Row],[Tech Start Date]],12),IF(Main[[#This Row],[Class]]="A",WORKDAY(Main[[#This Row],[Tech Start Date]],4),""))))</f>
        <v/>
      </c>
      <c r="O955" s="77" t="str">
        <f>IF(Main[[#This Row],[Tech Start Date]]&lt;1/1/1990,"",IF(Main[[#This Row],[Class]]="C",WORKDAY(Main[[#This Row],[Tech Start Date]],23),IF(Main[[#This Row],[Class]]="B", WORKDAY(Main[[#This Row],[Tech Start Date]],15),IF(Main[[#This Row],[Class]]="A",WORKDAY(Main[[#This Row],[Tech Start Date]],5),""))))</f>
        <v/>
      </c>
      <c r="P955" s="77" t="str">
        <f>IF(Main[[#This Row],[Tech Start Date]]&lt;1/1/1990,"",IF(Main[[#This Row],[Class]]="C",WORKDAY(Main[[#This Row],[Tech Start Date]],28),IF(Main[[#This Row],[Class]]="B", WORKDAY(Main[[#This Row],[Tech Start Date]],19),IF(Main[[#This Row],[Class]]="A",WORKDAY(Main[[#This Row],[Tech Start Date]],9),""))))</f>
        <v/>
      </c>
      <c r="Q955" s="74">
        <v>40602</v>
      </c>
      <c r="R955" s="74"/>
      <c r="S955" s="72" t="s">
        <v>17</v>
      </c>
      <c r="T955" s="80" t="s">
        <v>4</v>
      </c>
      <c r="U955" s="72" t="s">
        <v>7</v>
      </c>
      <c r="V955" s="72" t="s">
        <v>1937</v>
      </c>
      <c r="W955" s="72" t="s">
        <v>1945</v>
      </c>
      <c r="X955" s="72" t="s">
        <v>2980</v>
      </c>
      <c r="Y955" s="72" t="s">
        <v>3108</v>
      </c>
      <c r="Z955" s="72" t="s">
        <v>129</v>
      </c>
    </row>
    <row r="956" spans="1:26" ht="18.600000000000001" customHeight="1">
      <c r="A956" s="142" t="str">
        <f>IF(priority(Main[[#This Row],[Comments]])&lt;&gt;0, priority(Main[[#This Row],[Comments]]),"")</f>
        <v/>
      </c>
      <c r="B956" s="90" t="s">
        <v>2113</v>
      </c>
      <c r="C956" s="72" t="s">
        <v>4</v>
      </c>
      <c r="D956" s="73" t="s">
        <v>2438</v>
      </c>
      <c r="E956" s="74">
        <v>40764.689201388886</v>
      </c>
      <c r="F956" s="74"/>
      <c r="G956" s="75" t="str">
        <f>IF(stdProdLT(Main[[#This Row],[Comments]])=0.1,"N/A",IF(stdProdLT(Main[[#This Row],[Comments]])=0,"",stdProdLT(Main[[#This Row],[Comments]])))</f>
        <v/>
      </c>
      <c r="H956" s="76" t="str">
        <f>IF(AND(Main[[#This Row],[In Stock Date]]&lt;&gt;"",Main[[#This Row],[Revised Due Date]]&lt;&gt;""),Main[[#This Row],[In Stock Date]]-Main[[#This Row],[Revised Due Date]],"")</f>
        <v/>
      </c>
      <c r="I956" s="72" t="s">
        <v>4</v>
      </c>
      <c r="J956" s="72" t="s">
        <v>4</v>
      </c>
      <c r="K956" s="72" t="s">
        <v>4</v>
      </c>
      <c r="L956" s="74"/>
      <c r="M956" s="77" t="str">
        <f>IF(Main[[#This Row],[Tech Start Date]]&lt;1/1/1990,"",IF(Main[[#This Row],[Class]]="C",WORKDAY(Main[[#This Row],[Tech Start Date]],9),IF(Main[[#This Row],[Class]]="B", WORKDAY(Main[[#This Row],[Tech Start Date]],6),IF(Main[[#This Row],[Class]]="A",WORKDAY(Main[[#This Row],[Tech Start Date]],2),""))))</f>
        <v/>
      </c>
      <c r="N956" s="77" t="str">
        <f>IF(Main[[#This Row],[Tech Start Date]]&lt;1/1/1990,"",IF(Main[[#This Row],[Class]]="C",WORKDAY(Main[[#This Row],[Tech Start Date]],19),IF(Main[[#This Row],[Class]]="B", WORKDAY(Main[[#This Row],[Tech Start Date]],12),IF(Main[[#This Row],[Class]]="A",WORKDAY(Main[[#This Row],[Tech Start Date]],4),""))))</f>
        <v/>
      </c>
      <c r="O956" s="77" t="str">
        <f>IF(Main[[#This Row],[Tech Start Date]]&lt;1/1/1990,"",IF(Main[[#This Row],[Class]]="C",WORKDAY(Main[[#This Row],[Tech Start Date]],23),IF(Main[[#This Row],[Class]]="B", WORKDAY(Main[[#This Row],[Tech Start Date]],15),IF(Main[[#This Row],[Class]]="A",WORKDAY(Main[[#This Row],[Tech Start Date]],5),""))))</f>
        <v/>
      </c>
      <c r="P956" s="77" t="str">
        <f>IF(Main[[#This Row],[Tech Start Date]]&lt;1/1/1990,"",IF(Main[[#This Row],[Class]]="C",WORKDAY(Main[[#This Row],[Tech Start Date]],28),IF(Main[[#This Row],[Class]]="B", WORKDAY(Main[[#This Row],[Tech Start Date]],19),IF(Main[[#This Row],[Class]]="A",WORKDAY(Main[[#This Row],[Tech Start Date]],9),""))))</f>
        <v/>
      </c>
      <c r="Q956" s="74"/>
      <c r="R956" s="74"/>
      <c r="S956" s="72" t="s">
        <v>6</v>
      </c>
      <c r="T956" s="80" t="s">
        <v>4</v>
      </c>
      <c r="U956" s="72" t="s">
        <v>7</v>
      </c>
      <c r="V956" s="72" t="s">
        <v>1938</v>
      </c>
      <c r="W956" s="72" t="s">
        <v>1939</v>
      </c>
      <c r="X956" s="72" t="s">
        <v>311</v>
      </c>
      <c r="Y956" s="72" t="s">
        <v>4</v>
      </c>
      <c r="Z956" s="72" t="s">
        <v>4</v>
      </c>
    </row>
    <row r="957" spans="1:26" ht="18.600000000000001" customHeight="1">
      <c r="A957" s="142" t="str">
        <f>IF(priority(Main[[#This Row],[Comments]])&lt;&gt;0, priority(Main[[#This Row],[Comments]]),"")</f>
        <v/>
      </c>
      <c r="B957" s="90" t="s">
        <v>1752</v>
      </c>
      <c r="C957" s="72" t="s">
        <v>4</v>
      </c>
      <c r="D957" s="73" t="s">
        <v>798</v>
      </c>
      <c r="E957" s="74">
        <v>40371.351643518516</v>
      </c>
      <c r="F957" s="74"/>
      <c r="G957" s="75" t="str">
        <f>IF(stdProdLT(Main[[#This Row],[Comments]])=0.1,"N/A",IF(stdProdLT(Main[[#This Row],[Comments]])=0,"",stdProdLT(Main[[#This Row],[Comments]])))</f>
        <v/>
      </c>
      <c r="H957" s="76" t="str">
        <f>IF(AND(Main[[#This Row],[In Stock Date]]&lt;&gt;"",Main[[#This Row],[Revised Due Date]]&lt;&gt;""),Main[[#This Row],[In Stock Date]]-Main[[#This Row],[Revised Due Date]],"")</f>
        <v/>
      </c>
      <c r="I957" s="72" t="s">
        <v>4</v>
      </c>
      <c r="J957" s="72" t="s">
        <v>4</v>
      </c>
      <c r="K957" s="72" t="s">
        <v>4</v>
      </c>
      <c r="L957" s="74"/>
      <c r="M957" s="77" t="str">
        <f>IF(Main[[#This Row],[Tech Start Date]]&lt;1/1/1990,"",IF(Main[[#This Row],[Class]]="C",WORKDAY(Main[[#This Row],[Tech Start Date]],9),IF(Main[[#This Row],[Class]]="B", WORKDAY(Main[[#This Row],[Tech Start Date]],6),IF(Main[[#This Row],[Class]]="A",WORKDAY(Main[[#This Row],[Tech Start Date]],2),""))))</f>
        <v/>
      </c>
      <c r="N957" s="77" t="str">
        <f>IF(Main[[#This Row],[Tech Start Date]]&lt;1/1/1990,"",IF(Main[[#This Row],[Class]]="C",WORKDAY(Main[[#This Row],[Tech Start Date]],19),IF(Main[[#This Row],[Class]]="B", WORKDAY(Main[[#This Row],[Tech Start Date]],12),IF(Main[[#This Row],[Class]]="A",WORKDAY(Main[[#This Row],[Tech Start Date]],4),""))))</f>
        <v/>
      </c>
      <c r="O957" s="77" t="str">
        <f>IF(Main[[#This Row],[Tech Start Date]]&lt;1/1/1990,"",IF(Main[[#This Row],[Class]]="C",WORKDAY(Main[[#This Row],[Tech Start Date]],23),IF(Main[[#This Row],[Class]]="B", WORKDAY(Main[[#This Row],[Tech Start Date]],15),IF(Main[[#This Row],[Class]]="A",WORKDAY(Main[[#This Row],[Tech Start Date]],5),""))))</f>
        <v/>
      </c>
      <c r="P957" s="77" t="str">
        <f>IF(Main[[#This Row],[Tech Start Date]]&lt;1/1/1990,"",IF(Main[[#This Row],[Class]]="C",WORKDAY(Main[[#This Row],[Tech Start Date]],28),IF(Main[[#This Row],[Class]]="B", WORKDAY(Main[[#This Row],[Tech Start Date]],19),IF(Main[[#This Row],[Class]]="A",WORKDAY(Main[[#This Row],[Tech Start Date]],9),""))))</f>
        <v/>
      </c>
      <c r="Q957" s="74">
        <v>40385</v>
      </c>
      <c r="R957" s="74"/>
      <c r="S957" s="72" t="s">
        <v>6</v>
      </c>
      <c r="T957" s="80" t="s">
        <v>4</v>
      </c>
      <c r="U957" s="72" t="s">
        <v>7</v>
      </c>
      <c r="V957" s="72" t="s">
        <v>1937</v>
      </c>
      <c r="W957" s="72" t="s">
        <v>1939</v>
      </c>
      <c r="X957" s="72" t="s">
        <v>102</v>
      </c>
      <c r="Y957" s="72" t="s">
        <v>3190</v>
      </c>
      <c r="Z957" s="72" t="s">
        <v>4</v>
      </c>
    </row>
    <row r="958" spans="1:26" ht="18.600000000000001" customHeight="1">
      <c r="A958" s="142" t="str">
        <f>IF(priority(Main[[#This Row],[Comments]])&lt;&gt;0, priority(Main[[#This Row],[Comments]]),"")</f>
        <v/>
      </c>
      <c r="B958" s="90" t="s">
        <v>1780</v>
      </c>
      <c r="C958" s="72" t="s">
        <v>4</v>
      </c>
      <c r="D958" s="73" t="s">
        <v>817</v>
      </c>
      <c r="E958" s="74">
        <v>40626.476493055554</v>
      </c>
      <c r="F958" s="74"/>
      <c r="G958" s="75" t="str">
        <f>IF(stdProdLT(Main[[#This Row],[Comments]])=0.1,"N/A",IF(stdProdLT(Main[[#This Row],[Comments]])=0,"",stdProdLT(Main[[#This Row],[Comments]])))</f>
        <v/>
      </c>
      <c r="H958" s="76" t="str">
        <f>IF(AND(Main[[#This Row],[In Stock Date]]&lt;&gt;"",Main[[#This Row],[Revised Due Date]]&lt;&gt;""),Main[[#This Row],[In Stock Date]]-Main[[#This Row],[Revised Due Date]],"")</f>
        <v/>
      </c>
      <c r="I958" s="72" t="s">
        <v>375</v>
      </c>
      <c r="J958" s="72" t="s">
        <v>28</v>
      </c>
      <c r="K958" s="72" t="s">
        <v>1946</v>
      </c>
      <c r="L958" s="74"/>
      <c r="M958" s="77" t="str">
        <f>IF(Main[[#This Row],[Tech Start Date]]&lt;1/1/1990,"",IF(Main[[#This Row],[Class]]="C",WORKDAY(Main[[#This Row],[Tech Start Date]],9),IF(Main[[#This Row],[Class]]="B", WORKDAY(Main[[#This Row],[Tech Start Date]],6),IF(Main[[#This Row],[Class]]="A",WORKDAY(Main[[#This Row],[Tech Start Date]],2),""))))</f>
        <v/>
      </c>
      <c r="N958" s="77" t="str">
        <f>IF(Main[[#This Row],[Tech Start Date]]&lt;1/1/1990,"",IF(Main[[#This Row],[Class]]="C",WORKDAY(Main[[#This Row],[Tech Start Date]],19),IF(Main[[#This Row],[Class]]="B", WORKDAY(Main[[#This Row],[Tech Start Date]],12),IF(Main[[#This Row],[Class]]="A",WORKDAY(Main[[#This Row],[Tech Start Date]],4),""))))</f>
        <v/>
      </c>
      <c r="O958" s="77" t="str">
        <f>IF(Main[[#This Row],[Tech Start Date]]&lt;1/1/1990,"",IF(Main[[#This Row],[Class]]="C",WORKDAY(Main[[#This Row],[Tech Start Date]],23),IF(Main[[#This Row],[Class]]="B", WORKDAY(Main[[#This Row],[Tech Start Date]],15),IF(Main[[#This Row],[Class]]="A",WORKDAY(Main[[#This Row],[Tech Start Date]],5),""))))</f>
        <v/>
      </c>
      <c r="P958" s="77" t="str">
        <f>IF(Main[[#This Row],[Tech Start Date]]&lt;1/1/1990,"",IF(Main[[#This Row],[Class]]="C",WORKDAY(Main[[#This Row],[Tech Start Date]],28),IF(Main[[#This Row],[Class]]="B", WORKDAY(Main[[#This Row],[Tech Start Date]],19),IF(Main[[#This Row],[Class]]="A",WORKDAY(Main[[#This Row],[Tech Start Date]],9),""))))</f>
        <v/>
      </c>
      <c r="Q958" s="74"/>
      <c r="R958" s="74"/>
      <c r="S958" s="72" t="s">
        <v>6</v>
      </c>
      <c r="T958" s="80" t="s">
        <v>4</v>
      </c>
      <c r="U958" s="72" t="s">
        <v>29</v>
      </c>
      <c r="V958" s="72" t="s">
        <v>1940</v>
      </c>
      <c r="W958" s="72" t="s">
        <v>1941</v>
      </c>
      <c r="X958" s="72" t="s">
        <v>74</v>
      </c>
      <c r="Y958" s="72" t="s">
        <v>3189</v>
      </c>
      <c r="Z958" s="72" t="s">
        <v>421</v>
      </c>
    </row>
    <row r="959" spans="1:26" ht="18.600000000000001" customHeight="1">
      <c r="A959" s="142" t="str">
        <f>IF(priority(Main[[#This Row],[Comments]])&lt;&gt;0, priority(Main[[#This Row],[Comments]]),"")</f>
        <v/>
      </c>
      <c r="B959" s="90" t="s">
        <v>1223</v>
      </c>
      <c r="C959" s="72" t="s">
        <v>116</v>
      </c>
      <c r="D959" s="73" t="s">
        <v>268</v>
      </c>
      <c r="E959" s="74">
        <v>40681.362476851849</v>
      </c>
      <c r="F959" s="74">
        <v>40734</v>
      </c>
      <c r="G959" s="75" t="str">
        <f>IF(stdProdLT(Main[[#This Row],[Comments]])=0.1,"N/A",IF(stdProdLT(Main[[#This Row],[Comments]])=0,"",stdProdLT(Main[[#This Row],[Comments]])))</f>
        <v/>
      </c>
      <c r="H959" s="76" t="str">
        <f>IF(AND(Main[[#This Row],[In Stock Date]]&lt;&gt;"",Main[[#This Row],[Revised Due Date]]&lt;&gt;""),Main[[#This Row],[In Stock Date]]-Main[[#This Row],[Revised Due Date]],"")</f>
        <v/>
      </c>
      <c r="I959" s="72" t="s">
        <v>4</v>
      </c>
      <c r="J959" s="72" t="s">
        <v>4</v>
      </c>
      <c r="K959" s="81" t="s">
        <v>4</v>
      </c>
      <c r="L959" s="74"/>
      <c r="M959" s="77" t="str">
        <f>IF(Main[[#This Row],[Tech Start Date]]&lt;1/1/1990,"",IF(Main[[#This Row],[Class]]="C",WORKDAY(Main[[#This Row],[Tech Start Date]],9),IF(Main[[#This Row],[Class]]="B", WORKDAY(Main[[#This Row],[Tech Start Date]],6),IF(Main[[#This Row],[Class]]="A",WORKDAY(Main[[#This Row],[Tech Start Date]],2),""))))</f>
        <v/>
      </c>
      <c r="N959" s="77" t="str">
        <f>IF(Main[[#This Row],[Tech Start Date]]&lt;1/1/1990,"",IF(Main[[#This Row],[Class]]="C",WORKDAY(Main[[#This Row],[Tech Start Date]],19),IF(Main[[#This Row],[Class]]="B", WORKDAY(Main[[#This Row],[Tech Start Date]],12),IF(Main[[#This Row],[Class]]="A",WORKDAY(Main[[#This Row],[Tech Start Date]],4),""))))</f>
        <v/>
      </c>
      <c r="O959" s="77" t="str">
        <f>IF(Main[[#This Row],[Tech Start Date]]&lt;1/1/1990,"",IF(Main[[#This Row],[Class]]="C",WORKDAY(Main[[#This Row],[Tech Start Date]],23),IF(Main[[#This Row],[Class]]="B", WORKDAY(Main[[#This Row],[Tech Start Date]],15),IF(Main[[#This Row],[Class]]="A",WORKDAY(Main[[#This Row],[Tech Start Date]],5),""))))</f>
        <v/>
      </c>
      <c r="P959" s="77" t="str">
        <f>IF(Main[[#This Row],[Tech Start Date]]&lt;1/1/1990,"",IF(Main[[#This Row],[Class]]="C",WORKDAY(Main[[#This Row],[Tech Start Date]],28),IF(Main[[#This Row],[Class]]="B", WORKDAY(Main[[#This Row],[Tech Start Date]],19),IF(Main[[#This Row],[Class]]="A",WORKDAY(Main[[#This Row],[Tech Start Date]],9),""))))</f>
        <v/>
      </c>
      <c r="Q959" s="74">
        <v>40724</v>
      </c>
      <c r="R959" s="74"/>
      <c r="S959" s="72" t="s">
        <v>17</v>
      </c>
      <c r="T959" s="80" t="s">
        <v>4</v>
      </c>
      <c r="U959" s="72" t="s">
        <v>7</v>
      </c>
      <c r="V959" s="72" t="s">
        <v>1940</v>
      </c>
      <c r="W959" s="72" t="s">
        <v>1941</v>
      </c>
      <c r="X959" s="72" t="s">
        <v>50</v>
      </c>
      <c r="Y959" s="72" t="s">
        <v>3119</v>
      </c>
      <c r="Z959" s="72" t="s">
        <v>4</v>
      </c>
    </row>
    <row r="960" spans="1:26" ht="18.600000000000001" customHeight="1">
      <c r="A960" s="142" t="str">
        <f>IF(priority(Main[[#This Row],[Comments]])&lt;&gt;0, priority(Main[[#This Row],[Comments]]),"")</f>
        <v/>
      </c>
      <c r="B960" s="90" t="s">
        <v>2436</v>
      </c>
      <c r="C960" s="72" t="s">
        <v>4</v>
      </c>
      <c r="D960" s="73" t="s">
        <v>2437</v>
      </c>
      <c r="E960" s="74"/>
      <c r="F960" s="74"/>
      <c r="G960" s="75" t="str">
        <f>IF(stdProdLT(Main[[#This Row],[Comments]])=0.1,"N/A",IF(stdProdLT(Main[[#This Row],[Comments]])=0,"",stdProdLT(Main[[#This Row],[Comments]])))</f>
        <v/>
      </c>
      <c r="H960" s="76" t="str">
        <f>IF(AND(Main[[#This Row],[In Stock Date]]&lt;&gt;"",Main[[#This Row],[Revised Due Date]]&lt;&gt;""),Main[[#This Row],[In Stock Date]]-Main[[#This Row],[Revised Due Date]],"")</f>
        <v/>
      </c>
      <c r="I960" s="72" t="s">
        <v>4</v>
      </c>
      <c r="J960" s="72" t="s">
        <v>4</v>
      </c>
      <c r="K960" s="72" t="s">
        <v>4</v>
      </c>
      <c r="L960" s="74"/>
      <c r="M960" s="77" t="str">
        <f>IF(Main[[#This Row],[Tech Start Date]]&lt;1/1/1990,"",IF(Main[[#This Row],[Class]]="C",WORKDAY(Main[[#This Row],[Tech Start Date]],9),IF(Main[[#This Row],[Class]]="B", WORKDAY(Main[[#This Row],[Tech Start Date]],6),IF(Main[[#This Row],[Class]]="A",WORKDAY(Main[[#This Row],[Tech Start Date]],2),""))))</f>
        <v/>
      </c>
      <c r="N960" s="77" t="str">
        <f>IF(Main[[#This Row],[Tech Start Date]]&lt;1/1/1990,"",IF(Main[[#This Row],[Class]]="C",WORKDAY(Main[[#This Row],[Tech Start Date]],19),IF(Main[[#This Row],[Class]]="B", WORKDAY(Main[[#This Row],[Tech Start Date]],12),IF(Main[[#This Row],[Class]]="A",WORKDAY(Main[[#This Row],[Tech Start Date]],4),""))))</f>
        <v/>
      </c>
      <c r="O960" s="77" t="str">
        <f>IF(Main[[#This Row],[Tech Start Date]]&lt;1/1/1990,"",IF(Main[[#This Row],[Class]]="C",WORKDAY(Main[[#This Row],[Tech Start Date]],23),IF(Main[[#This Row],[Class]]="B", WORKDAY(Main[[#This Row],[Tech Start Date]],15),IF(Main[[#This Row],[Class]]="A",WORKDAY(Main[[#This Row],[Tech Start Date]],5),""))))</f>
        <v/>
      </c>
      <c r="P960" s="77" t="str">
        <f>IF(Main[[#This Row],[Tech Start Date]]&lt;1/1/1990,"",IF(Main[[#This Row],[Class]]="C",WORKDAY(Main[[#This Row],[Tech Start Date]],28),IF(Main[[#This Row],[Class]]="B", WORKDAY(Main[[#This Row],[Tech Start Date]],19),IF(Main[[#This Row],[Class]]="A",WORKDAY(Main[[#This Row],[Tech Start Date]],9),""))))</f>
        <v/>
      </c>
      <c r="Q960" s="74"/>
      <c r="R960" s="74"/>
      <c r="S960" s="72" t="s">
        <v>11</v>
      </c>
      <c r="T960" s="80" t="s">
        <v>4</v>
      </c>
      <c r="U960" s="72" t="s">
        <v>14</v>
      </c>
      <c r="V960" s="72" t="s">
        <v>1938</v>
      </c>
      <c r="W960" s="72" t="s">
        <v>4</v>
      </c>
      <c r="X960" s="72" t="s">
        <v>2283</v>
      </c>
      <c r="Y960" s="72" t="s">
        <v>4</v>
      </c>
      <c r="Z960" s="72" t="s">
        <v>4</v>
      </c>
    </row>
    <row r="961" spans="1:26" ht="18.600000000000001" customHeight="1">
      <c r="A961" s="142" t="str">
        <f>IF(priority(Main[[#This Row],[Comments]])&lt;&gt;0, priority(Main[[#This Row],[Comments]]),"")</f>
        <v/>
      </c>
      <c r="B961" s="90" t="s">
        <v>1849</v>
      </c>
      <c r="C961" s="72" t="s">
        <v>370</v>
      </c>
      <c r="D961" s="73" t="s">
        <v>2148</v>
      </c>
      <c r="E961" s="74">
        <v>40002.664317129631</v>
      </c>
      <c r="F961" s="74">
        <v>40074</v>
      </c>
      <c r="G961" s="75">
        <f>IF(stdProdLT(Main[[#This Row],[Comments]])=0.1,"N/A",IF(stdProdLT(Main[[#This Row],[Comments]])=0,"",stdProdLT(Main[[#This Row],[Comments]])))</f>
        <v>126</v>
      </c>
      <c r="H961" s="76">
        <f>IF(AND(Main[[#This Row],[In Stock Date]]&lt;&gt;"",Main[[#This Row],[Revised Due Date]]&lt;&gt;""),Main[[#This Row],[In Stock Date]]-Main[[#This Row],[Revised Due Date]],"")</f>
        <v>-399</v>
      </c>
      <c r="I961" s="72" t="s">
        <v>2080</v>
      </c>
      <c r="J961" s="72" t="s">
        <v>28</v>
      </c>
      <c r="K961" s="72" t="s">
        <v>1950</v>
      </c>
      <c r="L961" s="74"/>
      <c r="M961" s="77" t="str">
        <f>IF(Main[[#This Row],[Tech Start Date]]&lt;1/1/1990,"",IF(Main[[#This Row],[Class]]="C",WORKDAY(Main[[#This Row],[Tech Start Date]],9),IF(Main[[#This Row],[Class]]="B", WORKDAY(Main[[#This Row],[Tech Start Date]],6),IF(Main[[#This Row],[Class]]="A",WORKDAY(Main[[#This Row],[Tech Start Date]],2),""))))</f>
        <v/>
      </c>
      <c r="N961" s="77" t="str">
        <f>IF(Main[[#This Row],[Tech Start Date]]&lt;1/1/1990,"",IF(Main[[#This Row],[Class]]="C",WORKDAY(Main[[#This Row],[Tech Start Date]],19),IF(Main[[#This Row],[Class]]="B", WORKDAY(Main[[#This Row],[Tech Start Date]],12),IF(Main[[#This Row],[Class]]="A",WORKDAY(Main[[#This Row],[Tech Start Date]],4),""))))</f>
        <v/>
      </c>
      <c r="O961" s="77" t="str">
        <f>IF(Main[[#This Row],[Tech Start Date]]&lt;1/1/1990,"",IF(Main[[#This Row],[Class]]="C",WORKDAY(Main[[#This Row],[Tech Start Date]],23),IF(Main[[#This Row],[Class]]="B", WORKDAY(Main[[#This Row],[Tech Start Date]],15),IF(Main[[#This Row],[Class]]="A",WORKDAY(Main[[#This Row],[Tech Start Date]],5),""))))</f>
        <v/>
      </c>
      <c r="P961" s="77" t="str">
        <f>IF(Main[[#This Row],[Tech Start Date]]&lt;1/1/1990,"",IF(Main[[#This Row],[Class]]="C",WORKDAY(Main[[#This Row],[Tech Start Date]],28),IF(Main[[#This Row],[Class]]="B", WORKDAY(Main[[#This Row],[Tech Start Date]],19),IF(Main[[#This Row],[Class]]="A",WORKDAY(Main[[#This Row],[Tech Start Date]],9),""))))</f>
        <v/>
      </c>
      <c r="Q961" s="74">
        <v>40057</v>
      </c>
      <c r="R961" s="74">
        <v>40473</v>
      </c>
      <c r="S961" s="72" t="s">
        <v>6</v>
      </c>
      <c r="T961" s="80" t="s">
        <v>2149</v>
      </c>
      <c r="U961" s="72" t="s">
        <v>29</v>
      </c>
      <c r="V961" s="72" t="s">
        <v>1938</v>
      </c>
      <c r="W961" s="72" t="s">
        <v>1941</v>
      </c>
      <c r="X961" s="72" t="s">
        <v>3020</v>
      </c>
      <c r="Y961" s="72" t="s">
        <v>3267</v>
      </c>
      <c r="Z961" s="72" t="s">
        <v>2080</v>
      </c>
    </row>
    <row r="962" spans="1:26" ht="18.600000000000001" customHeight="1">
      <c r="A962" s="142" t="str">
        <f>IF(priority(Main[[#This Row],[Comments]])&lt;&gt;0, priority(Main[[#This Row],[Comments]]),"")</f>
        <v/>
      </c>
      <c r="B962" s="90" t="s">
        <v>3547</v>
      </c>
      <c r="C962" s="72" t="s">
        <v>4</v>
      </c>
      <c r="D962" s="73" t="s">
        <v>3548</v>
      </c>
      <c r="E962" s="74">
        <v>40927.617210648146</v>
      </c>
      <c r="F962" s="74"/>
      <c r="G962" s="75" t="str">
        <f>IF(stdProdLT(Main[[#This Row],[Comments]])=0.1,"N/A",IF(stdProdLT(Main[[#This Row],[Comments]])=0,"",stdProdLT(Main[[#This Row],[Comments]])))</f>
        <v/>
      </c>
      <c r="H962" s="76" t="str">
        <f>IF(AND(Main[[#This Row],[In Stock Date]]&lt;&gt;"",Main[[#This Row],[Revised Due Date]]&lt;&gt;""),Main[[#This Row],[In Stock Date]]-Main[[#This Row],[Revised Due Date]],"")</f>
        <v/>
      </c>
      <c r="I962" s="72" t="s">
        <v>4</v>
      </c>
      <c r="J962" s="72" t="s">
        <v>4</v>
      </c>
      <c r="K962" s="72" t="s">
        <v>4</v>
      </c>
      <c r="L962" s="74"/>
      <c r="M962" s="77" t="str">
        <f>IF(Main[[#This Row],[Tech Start Date]]&lt;1/1/1990,"",IF(Main[[#This Row],[Class]]="C",WORKDAY(Main[[#This Row],[Tech Start Date]],9),IF(Main[[#This Row],[Class]]="B", WORKDAY(Main[[#This Row],[Tech Start Date]],6),IF(Main[[#This Row],[Class]]="A",WORKDAY(Main[[#This Row],[Tech Start Date]],2),""))))</f>
        <v/>
      </c>
      <c r="N962" s="77" t="str">
        <f>IF(Main[[#This Row],[Tech Start Date]]&lt;1/1/1990,"",IF(Main[[#This Row],[Class]]="C",WORKDAY(Main[[#This Row],[Tech Start Date]],19),IF(Main[[#This Row],[Class]]="B", WORKDAY(Main[[#This Row],[Tech Start Date]],12),IF(Main[[#This Row],[Class]]="A",WORKDAY(Main[[#This Row],[Tech Start Date]],4),""))))</f>
        <v/>
      </c>
      <c r="O962" s="77" t="str">
        <f>IF(Main[[#This Row],[Tech Start Date]]&lt;1/1/1990,"",IF(Main[[#This Row],[Class]]="C",WORKDAY(Main[[#This Row],[Tech Start Date]],23),IF(Main[[#This Row],[Class]]="B", WORKDAY(Main[[#This Row],[Tech Start Date]],15),IF(Main[[#This Row],[Class]]="A",WORKDAY(Main[[#This Row],[Tech Start Date]],5),""))))</f>
        <v/>
      </c>
      <c r="P962" s="77" t="str">
        <f>IF(Main[[#This Row],[Tech Start Date]]&lt;1/1/1990,"",IF(Main[[#This Row],[Class]]="C",WORKDAY(Main[[#This Row],[Tech Start Date]],28),IF(Main[[#This Row],[Class]]="B", WORKDAY(Main[[#This Row],[Tech Start Date]],19),IF(Main[[#This Row],[Class]]="A",WORKDAY(Main[[#This Row],[Tech Start Date]],9),""))))</f>
        <v/>
      </c>
      <c r="Q962" s="74"/>
      <c r="R962" s="74"/>
      <c r="S962" s="72" t="s">
        <v>6</v>
      </c>
      <c r="T962" s="80" t="s">
        <v>4</v>
      </c>
      <c r="U962" s="72" t="s">
        <v>29</v>
      </c>
      <c r="V962" s="72" t="s">
        <v>1938</v>
      </c>
      <c r="W962" s="72" t="s">
        <v>1941</v>
      </c>
      <c r="X962" s="72" t="s">
        <v>102</v>
      </c>
      <c r="Y962" s="72" t="s">
        <v>3549</v>
      </c>
      <c r="Z962" s="72" t="s">
        <v>4</v>
      </c>
    </row>
    <row r="963" spans="1:26" ht="18.600000000000001" customHeight="1">
      <c r="A963" s="142" t="str">
        <f>IF(priority(Main[[#This Row],[Comments]])&lt;&gt;0, priority(Main[[#This Row],[Comments]]),"")</f>
        <v/>
      </c>
      <c r="B963" s="90" t="s">
        <v>3357</v>
      </c>
      <c r="C963" s="72" t="s">
        <v>4</v>
      </c>
      <c r="D963" s="73" t="s">
        <v>3486</v>
      </c>
      <c r="E963" s="74">
        <v>40919.388969907406</v>
      </c>
      <c r="F963" s="74"/>
      <c r="G963" s="75" t="str">
        <f>IF(stdProdLT(Main[[#This Row],[Comments]])=0.1,"N/A",IF(stdProdLT(Main[[#This Row],[Comments]])=0,"",stdProdLT(Main[[#This Row],[Comments]])))</f>
        <v/>
      </c>
      <c r="H963" s="76" t="str">
        <f>IF(AND(Main[[#This Row],[In Stock Date]]&lt;&gt;"",Main[[#This Row],[Revised Due Date]]&lt;&gt;""),Main[[#This Row],[In Stock Date]]-Main[[#This Row],[Revised Due Date]],"")</f>
        <v/>
      </c>
      <c r="I963" s="72" t="s">
        <v>2078</v>
      </c>
      <c r="J963" s="72" t="s">
        <v>28</v>
      </c>
      <c r="K963" s="72" t="s">
        <v>1946</v>
      </c>
      <c r="L963" s="74"/>
      <c r="M963" s="77" t="str">
        <f>IF(Main[[#This Row],[Tech Start Date]]&lt;1/1/1990,"",IF(Main[[#This Row],[Class]]="C",WORKDAY(Main[[#This Row],[Tech Start Date]],9),IF(Main[[#This Row],[Class]]="B", WORKDAY(Main[[#This Row],[Tech Start Date]],6),IF(Main[[#This Row],[Class]]="A",WORKDAY(Main[[#This Row],[Tech Start Date]],2),""))))</f>
        <v/>
      </c>
      <c r="N963" s="77" t="str">
        <f>IF(Main[[#This Row],[Tech Start Date]]&lt;1/1/1990,"",IF(Main[[#This Row],[Class]]="C",WORKDAY(Main[[#This Row],[Tech Start Date]],19),IF(Main[[#This Row],[Class]]="B", WORKDAY(Main[[#This Row],[Tech Start Date]],12),IF(Main[[#This Row],[Class]]="A",WORKDAY(Main[[#This Row],[Tech Start Date]],4),""))))</f>
        <v/>
      </c>
      <c r="O963" s="77" t="str">
        <f>IF(Main[[#This Row],[Tech Start Date]]&lt;1/1/1990,"",IF(Main[[#This Row],[Class]]="C",WORKDAY(Main[[#This Row],[Tech Start Date]],23),IF(Main[[#This Row],[Class]]="B", WORKDAY(Main[[#This Row],[Tech Start Date]],15),IF(Main[[#This Row],[Class]]="A",WORKDAY(Main[[#This Row],[Tech Start Date]],5),""))))</f>
        <v/>
      </c>
      <c r="P963" s="77" t="str">
        <f>IF(Main[[#This Row],[Tech Start Date]]&lt;1/1/1990,"",IF(Main[[#This Row],[Class]]="C",WORKDAY(Main[[#This Row],[Tech Start Date]],28),IF(Main[[#This Row],[Class]]="B", WORKDAY(Main[[#This Row],[Tech Start Date]],19),IF(Main[[#This Row],[Class]]="A",WORKDAY(Main[[#This Row],[Tech Start Date]],9),""))))</f>
        <v/>
      </c>
      <c r="Q963" s="74">
        <v>40928</v>
      </c>
      <c r="R963" s="74"/>
      <c r="S963" s="72" t="s">
        <v>6</v>
      </c>
      <c r="T963" s="80" t="s">
        <v>4</v>
      </c>
      <c r="U963" s="72" t="s">
        <v>29</v>
      </c>
      <c r="V963" s="72" t="s">
        <v>1940</v>
      </c>
      <c r="W963" s="72" t="s">
        <v>1941</v>
      </c>
      <c r="X963" s="72" t="s">
        <v>3055</v>
      </c>
      <c r="Y963" s="72" t="s">
        <v>3241</v>
      </c>
      <c r="Z963" s="72" t="s">
        <v>30</v>
      </c>
    </row>
    <row r="964" spans="1:26" ht="18.600000000000001" customHeight="1">
      <c r="A964" s="142" t="str">
        <f>IF(priority(Main[[#This Row],[Comments]])&lt;&gt;0, priority(Main[[#This Row],[Comments]]),"")</f>
        <v/>
      </c>
      <c r="B964" s="90" t="s">
        <v>1781</v>
      </c>
      <c r="C964" s="72" t="s">
        <v>72</v>
      </c>
      <c r="D964" s="73" t="s">
        <v>820</v>
      </c>
      <c r="E964" s="74"/>
      <c r="F964" s="74">
        <v>40756</v>
      </c>
      <c r="G964" s="75" t="str">
        <f>IF(stdProdLT(Main[[#This Row],[Comments]])=0.1,"N/A",IF(stdProdLT(Main[[#This Row],[Comments]])=0,"",stdProdLT(Main[[#This Row],[Comments]])))</f>
        <v/>
      </c>
      <c r="H964" s="76" t="str">
        <f>IF(AND(Main[[#This Row],[In Stock Date]]&lt;&gt;"",Main[[#This Row],[Revised Due Date]]&lt;&gt;""),Main[[#This Row],[In Stock Date]]-Main[[#This Row],[Revised Due Date]],"")</f>
        <v/>
      </c>
      <c r="I964" s="72" t="s">
        <v>4</v>
      </c>
      <c r="J964" s="72" t="s">
        <v>28</v>
      </c>
      <c r="K964" s="72" t="s">
        <v>4</v>
      </c>
      <c r="L964" s="74"/>
      <c r="M964" s="77" t="str">
        <f>IF(Main[[#This Row],[Tech Start Date]]&lt;1/1/1990,"",IF(Main[[#This Row],[Class]]="C",WORKDAY(Main[[#This Row],[Tech Start Date]],9),IF(Main[[#This Row],[Class]]="B", WORKDAY(Main[[#This Row],[Tech Start Date]],6),IF(Main[[#This Row],[Class]]="A",WORKDAY(Main[[#This Row],[Tech Start Date]],2),""))))</f>
        <v/>
      </c>
      <c r="N964" s="77" t="str">
        <f>IF(Main[[#This Row],[Tech Start Date]]&lt;1/1/1990,"",IF(Main[[#This Row],[Class]]="C",WORKDAY(Main[[#This Row],[Tech Start Date]],19),IF(Main[[#This Row],[Class]]="B", WORKDAY(Main[[#This Row],[Tech Start Date]],12),IF(Main[[#This Row],[Class]]="A",WORKDAY(Main[[#This Row],[Tech Start Date]],4),""))))</f>
        <v/>
      </c>
      <c r="O964" s="77" t="str">
        <f>IF(Main[[#This Row],[Tech Start Date]]&lt;1/1/1990,"",IF(Main[[#This Row],[Class]]="C",WORKDAY(Main[[#This Row],[Tech Start Date]],23),IF(Main[[#This Row],[Class]]="B", WORKDAY(Main[[#This Row],[Tech Start Date]],15),IF(Main[[#This Row],[Class]]="A",WORKDAY(Main[[#This Row],[Tech Start Date]],5),""))))</f>
        <v/>
      </c>
      <c r="P964" s="77" t="str">
        <f>IF(Main[[#This Row],[Tech Start Date]]&lt;1/1/1990,"",IF(Main[[#This Row],[Class]]="C",WORKDAY(Main[[#This Row],[Tech Start Date]],28),IF(Main[[#This Row],[Class]]="B", WORKDAY(Main[[#This Row],[Tech Start Date]],19),IF(Main[[#This Row],[Class]]="A",WORKDAY(Main[[#This Row],[Tech Start Date]],9),""))))</f>
        <v/>
      </c>
      <c r="Q964" s="74"/>
      <c r="R964" s="74"/>
      <c r="S964" s="72" t="s">
        <v>11</v>
      </c>
      <c r="T964" s="80" t="s">
        <v>4</v>
      </c>
      <c r="U964" s="72" t="s">
        <v>14</v>
      </c>
      <c r="V964" s="72" t="s">
        <v>1940</v>
      </c>
      <c r="W964" s="72" t="s">
        <v>1942</v>
      </c>
      <c r="X964" s="72" t="s">
        <v>50</v>
      </c>
      <c r="Y964" s="72" t="s">
        <v>3136</v>
      </c>
      <c r="Z964" s="72" t="s">
        <v>30</v>
      </c>
    </row>
    <row r="965" spans="1:26" ht="18.600000000000001" customHeight="1">
      <c r="A965" s="142" t="str">
        <f>IF(priority(Main[[#This Row],[Comments]])&lt;&gt;0, priority(Main[[#This Row],[Comments]]),"")</f>
        <v/>
      </c>
      <c r="B965" s="90" t="s">
        <v>1782</v>
      </c>
      <c r="C965" s="72" t="s">
        <v>47</v>
      </c>
      <c r="D965" s="73" t="s">
        <v>821</v>
      </c>
      <c r="E965" s="74"/>
      <c r="F965" s="74"/>
      <c r="G965" s="75" t="str">
        <f>IF(stdProdLT(Main[[#This Row],[Comments]])=0.1,"N/A",IF(stdProdLT(Main[[#This Row],[Comments]])=0,"",stdProdLT(Main[[#This Row],[Comments]])))</f>
        <v/>
      </c>
      <c r="H965" s="76" t="str">
        <f>IF(AND(Main[[#This Row],[In Stock Date]]&lt;&gt;"",Main[[#This Row],[Revised Due Date]]&lt;&gt;""),Main[[#This Row],[In Stock Date]]-Main[[#This Row],[Revised Due Date]],"")</f>
        <v/>
      </c>
      <c r="I965" s="72" t="s">
        <v>4</v>
      </c>
      <c r="J965" s="72" t="s">
        <v>4</v>
      </c>
      <c r="K965" s="72" t="s">
        <v>4</v>
      </c>
      <c r="L965" s="74"/>
      <c r="M965" s="77" t="str">
        <f>IF(Main[[#This Row],[Tech Start Date]]&lt;1/1/1990,"",IF(Main[[#This Row],[Class]]="C",WORKDAY(Main[[#This Row],[Tech Start Date]],9),IF(Main[[#This Row],[Class]]="B", WORKDAY(Main[[#This Row],[Tech Start Date]],6),IF(Main[[#This Row],[Class]]="A",WORKDAY(Main[[#This Row],[Tech Start Date]],2),""))))</f>
        <v/>
      </c>
      <c r="N965" s="77" t="str">
        <f>IF(Main[[#This Row],[Tech Start Date]]&lt;1/1/1990,"",IF(Main[[#This Row],[Class]]="C",WORKDAY(Main[[#This Row],[Tech Start Date]],19),IF(Main[[#This Row],[Class]]="B", WORKDAY(Main[[#This Row],[Tech Start Date]],12),IF(Main[[#This Row],[Class]]="A",WORKDAY(Main[[#This Row],[Tech Start Date]],4),""))))</f>
        <v/>
      </c>
      <c r="O965" s="77" t="str">
        <f>IF(Main[[#This Row],[Tech Start Date]]&lt;1/1/1990,"",IF(Main[[#This Row],[Class]]="C",WORKDAY(Main[[#This Row],[Tech Start Date]],23),IF(Main[[#This Row],[Class]]="B", WORKDAY(Main[[#This Row],[Tech Start Date]],15),IF(Main[[#This Row],[Class]]="A",WORKDAY(Main[[#This Row],[Tech Start Date]],5),""))))</f>
        <v/>
      </c>
      <c r="P965" s="77" t="str">
        <f>IF(Main[[#This Row],[Tech Start Date]]&lt;1/1/1990,"",IF(Main[[#This Row],[Class]]="C",WORKDAY(Main[[#This Row],[Tech Start Date]],28),IF(Main[[#This Row],[Class]]="B", WORKDAY(Main[[#This Row],[Tech Start Date]],19),IF(Main[[#This Row],[Class]]="A",WORKDAY(Main[[#This Row],[Tech Start Date]],9),""))))</f>
        <v/>
      </c>
      <c r="Q965" s="74"/>
      <c r="R965" s="74"/>
      <c r="S965" s="72" t="s">
        <v>17</v>
      </c>
      <c r="T965" s="80" t="s">
        <v>4</v>
      </c>
      <c r="U965" s="72" t="s">
        <v>14</v>
      </c>
      <c r="V965" s="72" t="s">
        <v>1938</v>
      </c>
      <c r="W965" s="72" t="s">
        <v>1945</v>
      </c>
      <c r="X965" s="72" t="s">
        <v>311</v>
      </c>
      <c r="Y965" s="72" t="s">
        <v>3099</v>
      </c>
      <c r="Z965" s="72" t="s">
        <v>4</v>
      </c>
    </row>
    <row r="966" spans="1:26" ht="18.600000000000001" customHeight="1">
      <c r="A966" s="142" t="str">
        <f>IF(priority(Main[[#This Row],[Comments]])&lt;&gt;0, priority(Main[[#This Row],[Comments]]),"")</f>
        <v/>
      </c>
      <c r="B966" s="90" t="s">
        <v>1783</v>
      </c>
      <c r="C966" s="72" t="s">
        <v>4</v>
      </c>
      <c r="D966" s="73" t="s">
        <v>822</v>
      </c>
      <c r="E966" s="74">
        <v>40634.342361111114</v>
      </c>
      <c r="F966" s="74"/>
      <c r="G966" s="75" t="str">
        <f>IF(stdProdLT(Main[[#This Row],[Comments]])=0.1,"N/A",IF(stdProdLT(Main[[#This Row],[Comments]])=0,"",stdProdLT(Main[[#This Row],[Comments]])))</f>
        <v/>
      </c>
      <c r="H966" s="76" t="str">
        <f>IF(AND(Main[[#This Row],[In Stock Date]]&lt;&gt;"",Main[[#This Row],[Revised Due Date]]&lt;&gt;""),Main[[#This Row],[In Stock Date]]-Main[[#This Row],[Revised Due Date]],"")</f>
        <v/>
      </c>
      <c r="I966" s="72" t="s">
        <v>4</v>
      </c>
      <c r="J966" s="72" t="s">
        <v>4</v>
      </c>
      <c r="K966" s="72" t="s">
        <v>4</v>
      </c>
      <c r="L966" s="74"/>
      <c r="M966" s="77" t="str">
        <f>IF(Main[[#This Row],[Tech Start Date]]&lt;1/1/1990,"",IF(Main[[#This Row],[Class]]="C",WORKDAY(Main[[#This Row],[Tech Start Date]],9),IF(Main[[#This Row],[Class]]="B", WORKDAY(Main[[#This Row],[Tech Start Date]],6),IF(Main[[#This Row],[Class]]="A",WORKDAY(Main[[#This Row],[Tech Start Date]],2),""))))</f>
        <v/>
      </c>
      <c r="N966" s="77" t="str">
        <f>IF(Main[[#This Row],[Tech Start Date]]&lt;1/1/1990,"",IF(Main[[#This Row],[Class]]="C",WORKDAY(Main[[#This Row],[Tech Start Date]],19),IF(Main[[#This Row],[Class]]="B", WORKDAY(Main[[#This Row],[Tech Start Date]],12),IF(Main[[#This Row],[Class]]="A",WORKDAY(Main[[#This Row],[Tech Start Date]],4),""))))</f>
        <v/>
      </c>
      <c r="O966" s="77" t="str">
        <f>IF(Main[[#This Row],[Tech Start Date]]&lt;1/1/1990,"",IF(Main[[#This Row],[Class]]="C",WORKDAY(Main[[#This Row],[Tech Start Date]],23),IF(Main[[#This Row],[Class]]="B", WORKDAY(Main[[#This Row],[Tech Start Date]],15),IF(Main[[#This Row],[Class]]="A",WORKDAY(Main[[#This Row],[Tech Start Date]],5),""))))</f>
        <v/>
      </c>
      <c r="P966" s="77" t="str">
        <f>IF(Main[[#This Row],[Tech Start Date]]&lt;1/1/1990,"",IF(Main[[#This Row],[Class]]="C",WORKDAY(Main[[#This Row],[Tech Start Date]],28),IF(Main[[#This Row],[Class]]="B", WORKDAY(Main[[#This Row],[Tech Start Date]],19),IF(Main[[#This Row],[Class]]="A",WORKDAY(Main[[#This Row],[Tech Start Date]],9),""))))</f>
        <v/>
      </c>
      <c r="Q966" s="74">
        <v>40676</v>
      </c>
      <c r="R966" s="74"/>
      <c r="S966" s="72" t="s">
        <v>6</v>
      </c>
      <c r="T966" s="80" t="s">
        <v>4</v>
      </c>
      <c r="U966" s="72" t="s">
        <v>7</v>
      </c>
      <c r="V966" s="72" t="s">
        <v>1938</v>
      </c>
      <c r="W966" s="72" t="s">
        <v>4</v>
      </c>
      <c r="X966" s="72" t="s">
        <v>2970</v>
      </c>
      <c r="Y966" s="72" t="s">
        <v>3087</v>
      </c>
      <c r="Z966" s="72" t="s">
        <v>4</v>
      </c>
    </row>
    <row r="967" spans="1:26" ht="18.600000000000001" customHeight="1">
      <c r="A967" s="142" t="str">
        <f>IF(priority(Main[[#This Row],[Comments]])&lt;&gt;0, priority(Main[[#This Row],[Comments]]),"")</f>
        <v/>
      </c>
      <c r="B967" s="90" t="s">
        <v>1784</v>
      </c>
      <c r="C967" s="72" t="s">
        <v>31</v>
      </c>
      <c r="D967" s="73" t="s">
        <v>823</v>
      </c>
      <c r="E967" s="74"/>
      <c r="F967" s="74"/>
      <c r="G967" s="75" t="str">
        <f>IF(stdProdLT(Main[[#This Row],[Comments]])=0.1,"N/A",IF(stdProdLT(Main[[#This Row],[Comments]])=0,"",stdProdLT(Main[[#This Row],[Comments]])))</f>
        <v/>
      </c>
      <c r="H967" s="76" t="str">
        <f>IF(AND(Main[[#This Row],[In Stock Date]]&lt;&gt;"",Main[[#This Row],[Revised Due Date]]&lt;&gt;""),Main[[#This Row],[In Stock Date]]-Main[[#This Row],[Revised Due Date]],"")</f>
        <v/>
      </c>
      <c r="I967" s="72" t="s">
        <v>4</v>
      </c>
      <c r="J967" s="72" t="s">
        <v>4</v>
      </c>
      <c r="K967" s="72" t="s">
        <v>4</v>
      </c>
      <c r="L967" s="74"/>
      <c r="M967" s="77" t="str">
        <f>IF(Main[[#This Row],[Tech Start Date]]&lt;1/1/1990,"",IF(Main[[#This Row],[Class]]="C",WORKDAY(Main[[#This Row],[Tech Start Date]],9),IF(Main[[#This Row],[Class]]="B", WORKDAY(Main[[#This Row],[Tech Start Date]],6),IF(Main[[#This Row],[Class]]="A",WORKDAY(Main[[#This Row],[Tech Start Date]],2),""))))</f>
        <v/>
      </c>
      <c r="N967" s="77" t="str">
        <f>IF(Main[[#This Row],[Tech Start Date]]&lt;1/1/1990,"",IF(Main[[#This Row],[Class]]="C",WORKDAY(Main[[#This Row],[Tech Start Date]],19),IF(Main[[#This Row],[Class]]="B", WORKDAY(Main[[#This Row],[Tech Start Date]],12),IF(Main[[#This Row],[Class]]="A",WORKDAY(Main[[#This Row],[Tech Start Date]],4),""))))</f>
        <v/>
      </c>
      <c r="O967" s="77" t="str">
        <f>IF(Main[[#This Row],[Tech Start Date]]&lt;1/1/1990,"",IF(Main[[#This Row],[Class]]="C",WORKDAY(Main[[#This Row],[Tech Start Date]],23),IF(Main[[#This Row],[Class]]="B", WORKDAY(Main[[#This Row],[Tech Start Date]],15),IF(Main[[#This Row],[Class]]="A",WORKDAY(Main[[#This Row],[Tech Start Date]],5),""))))</f>
        <v/>
      </c>
      <c r="P967" s="77" t="str">
        <f>IF(Main[[#This Row],[Tech Start Date]]&lt;1/1/1990,"",IF(Main[[#This Row],[Class]]="C",WORKDAY(Main[[#This Row],[Tech Start Date]],28),IF(Main[[#This Row],[Class]]="B", WORKDAY(Main[[#This Row],[Tech Start Date]],19),IF(Main[[#This Row],[Class]]="A",WORKDAY(Main[[#This Row],[Tech Start Date]],9),""))))</f>
        <v/>
      </c>
      <c r="Q967" s="74">
        <v>40318</v>
      </c>
      <c r="R967" s="74"/>
      <c r="S967" s="72" t="s">
        <v>11</v>
      </c>
      <c r="T967" s="80" t="s">
        <v>4</v>
      </c>
      <c r="U967" s="72" t="s">
        <v>14</v>
      </c>
      <c r="V967" s="72" t="s">
        <v>1940</v>
      </c>
      <c r="W967" s="72" t="s">
        <v>1939</v>
      </c>
      <c r="X967" s="72" t="s">
        <v>2982</v>
      </c>
      <c r="Y967" s="72" t="s">
        <v>4</v>
      </c>
      <c r="Z967" s="72" t="s">
        <v>4</v>
      </c>
    </row>
    <row r="968" spans="1:26" ht="18.600000000000001" customHeight="1">
      <c r="A968" s="142" t="str">
        <f>IF(priority(Main[[#This Row],[Comments]])&lt;&gt;0, priority(Main[[#This Row],[Comments]]),"")</f>
        <v/>
      </c>
      <c r="B968" s="90" t="s">
        <v>1785</v>
      </c>
      <c r="C968" s="72" t="s">
        <v>4</v>
      </c>
      <c r="D968" s="73" t="s">
        <v>120</v>
      </c>
      <c r="E968" s="74"/>
      <c r="F968" s="74"/>
      <c r="G968" s="75" t="str">
        <f>IF(stdProdLT(Main[[#This Row],[Comments]])=0.1,"N/A",IF(stdProdLT(Main[[#This Row],[Comments]])=0,"",stdProdLT(Main[[#This Row],[Comments]])))</f>
        <v/>
      </c>
      <c r="H968" s="76" t="str">
        <f>IF(AND(Main[[#This Row],[In Stock Date]]&lt;&gt;"",Main[[#This Row],[Revised Due Date]]&lt;&gt;""),Main[[#This Row],[In Stock Date]]-Main[[#This Row],[Revised Due Date]],"")</f>
        <v/>
      </c>
      <c r="I968" s="72" t="s">
        <v>4</v>
      </c>
      <c r="J968" s="72" t="s">
        <v>4</v>
      </c>
      <c r="K968" s="81" t="s">
        <v>4</v>
      </c>
      <c r="L968" s="74"/>
      <c r="M968" s="77" t="str">
        <f>IF(Main[[#This Row],[Tech Start Date]]&lt;1/1/1990,"",IF(Main[[#This Row],[Class]]="C",WORKDAY(Main[[#This Row],[Tech Start Date]],9),IF(Main[[#This Row],[Class]]="B", WORKDAY(Main[[#This Row],[Tech Start Date]],6),IF(Main[[#This Row],[Class]]="A",WORKDAY(Main[[#This Row],[Tech Start Date]],2),""))))</f>
        <v/>
      </c>
      <c r="N968" s="77" t="str">
        <f>IF(Main[[#This Row],[Tech Start Date]]&lt;1/1/1990,"",IF(Main[[#This Row],[Class]]="C",WORKDAY(Main[[#This Row],[Tech Start Date]],19),IF(Main[[#This Row],[Class]]="B", WORKDAY(Main[[#This Row],[Tech Start Date]],12),IF(Main[[#This Row],[Class]]="A",WORKDAY(Main[[#This Row],[Tech Start Date]],4),""))))</f>
        <v/>
      </c>
      <c r="O968" s="77" t="str">
        <f>IF(Main[[#This Row],[Tech Start Date]]&lt;1/1/1990,"",IF(Main[[#This Row],[Class]]="C",WORKDAY(Main[[#This Row],[Tech Start Date]],23),IF(Main[[#This Row],[Class]]="B", WORKDAY(Main[[#This Row],[Tech Start Date]],15),IF(Main[[#This Row],[Class]]="A",WORKDAY(Main[[#This Row],[Tech Start Date]],5),""))))</f>
        <v/>
      </c>
      <c r="P968" s="77" t="str">
        <f>IF(Main[[#This Row],[Tech Start Date]]&lt;1/1/1990,"",IF(Main[[#This Row],[Class]]="C",WORKDAY(Main[[#This Row],[Tech Start Date]],28),IF(Main[[#This Row],[Class]]="B", WORKDAY(Main[[#This Row],[Tech Start Date]],19),IF(Main[[#This Row],[Class]]="A",WORKDAY(Main[[#This Row],[Tech Start Date]],9),""))))</f>
        <v/>
      </c>
      <c r="Q968" s="74"/>
      <c r="R968" s="74"/>
      <c r="S968" s="72" t="s">
        <v>11</v>
      </c>
      <c r="T968" s="80" t="s">
        <v>4</v>
      </c>
      <c r="U968" s="72" t="s">
        <v>14</v>
      </c>
      <c r="V968" s="72" t="s">
        <v>1940</v>
      </c>
      <c r="W968" s="72" t="s">
        <v>1951</v>
      </c>
      <c r="X968" s="72" t="s">
        <v>2994</v>
      </c>
      <c r="Y968" s="72" t="s">
        <v>3132</v>
      </c>
      <c r="Z968" s="72" t="s">
        <v>4</v>
      </c>
    </row>
    <row r="969" spans="1:26" ht="18.600000000000001" customHeight="1">
      <c r="A969" s="142" t="str">
        <f>IF(priority(Main[[#This Row],[Comments]])&lt;&gt;0, priority(Main[[#This Row],[Comments]]),"")</f>
        <v/>
      </c>
      <c r="B969" s="90" t="s">
        <v>1786</v>
      </c>
      <c r="C969" s="72" t="s">
        <v>4</v>
      </c>
      <c r="D969" s="73" t="s">
        <v>824</v>
      </c>
      <c r="E969" s="74">
        <v>40687.166759259257</v>
      </c>
      <c r="F969" s="74"/>
      <c r="G969" s="75" t="str">
        <f>IF(stdProdLT(Main[[#This Row],[Comments]])=0.1,"N/A",IF(stdProdLT(Main[[#This Row],[Comments]])=0,"",stdProdLT(Main[[#This Row],[Comments]])))</f>
        <v/>
      </c>
      <c r="H969" s="76" t="str">
        <f>IF(AND(Main[[#This Row],[In Stock Date]]&lt;&gt;"",Main[[#This Row],[Revised Due Date]]&lt;&gt;""),Main[[#This Row],[In Stock Date]]-Main[[#This Row],[Revised Due Date]],"")</f>
        <v/>
      </c>
      <c r="I969" s="72" t="s">
        <v>4</v>
      </c>
      <c r="J969" s="72" t="s">
        <v>4</v>
      </c>
      <c r="K969" s="72" t="s">
        <v>4</v>
      </c>
      <c r="L969" s="74"/>
      <c r="M969" s="77" t="str">
        <f>IF(Main[[#This Row],[Tech Start Date]]&lt;1/1/1990,"",IF(Main[[#This Row],[Class]]="C",WORKDAY(Main[[#This Row],[Tech Start Date]],9),IF(Main[[#This Row],[Class]]="B", WORKDAY(Main[[#This Row],[Tech Start Date]],6),IF(Main[[#This Row],[Class]]="A",WORKDAY(Main[[#This Row],[Tech Start Date]],2),""))))</f>
        <v/>
      </c>
      <c r="N969" s="77" t="str">
        <f>IF(Main[[#This Row],[Tech Start Date]]&lt;1/1/1990,"",IF(Main[[#This Row],[Class]]="C",WORKDAY(Main[[#This Row],[Tech Start Date]],19),IF(Main[[#This Row],[Class]]="B", WORKDAY(Main[[#This Row],[Tech Start Date]],12),IF(Main[[#This Row],[Class]]="A",WORKDAY(Main[[#This Row],[Tech Start Date]],4),""))))</f>
        <v/>
      </c>
      <c r="O969" s="77" t="str">
        <f>IF(Main[[#This Row],[Tech Start Date]]&lt;1/1/1990,"",IF(Main[[#This Row],[Class]]="C",WORKDAY(Main[[#This Row],[Tech Start Date]],23),IF(Main[[#This Row],[Class]]="B", WORKDAY(Main[[#This Row],[Tech Start Date]],15),IF(Main[[#This Row],[Class]]="A",WORKDAY(Main[[#This Row],[Tech Start Date]],5),""))))</f>
        <v/>
      </c>
      <c r="P969" s="77" t="str">
        <f>IF(Main[[#This Row],[Tech Start Date]]&lt;1/1/1990,"",IF(Main[[#This Row],[Class]]="C",WORKDAY(Main[[#This Row],[Tech Start Date]],28),IF(Main[[#This Row],[Class]]="B", WORKDAY(Main[[#This Row],[Tech Start Date]],19),IF(Main[[#This Row],[Class]]="A",WORKDAY(Main[[#This Row],[Tech Start Date]],9),""))))</f>
        <v/>
      </c>
      <c r="Q969" s="74">
        <v>40724</v>
      </c>
      <c r="R969" s="74"/>
      <c r="S969" s="72" t="s">
        <v>6</v>
      </c>
      <c r="T969" s="80" t="s">
        <v>4</v>
      </c>
      <c r="U969" s="72" t="s">
        <v>7</v>
      </c>
      <c r="V969" s="72" t="s">
        <v>1937</v>
      </c>
      <c r="W969" s="72" t="s">
        <v>4</v>
      </c>
      <c r="X969" s="72" t="s">
        <v>2974</v>
      </c>
      <c r="Y969" s="72" t="s">
        <v>3096</v>
      </c>
      <c r="Z969" s="72" t="s">
        <v>4</v>
      </c>
    </row>
    <row r="970" spans="1:26" ht="18.600000000000001" customHeight="1">
      <c r="A970" s="142" t="str">
        <f>IF(priority(Main[[#This Row],[Comments]])&lt;&gt;0, priority(Main[[#This Row],[Comments]]),"")</f>
        <v/>
      </c>
      <c r="B970" s="90" t="s">
        <v>2608</v>
      </c>
      <c r="C970" s="72" t="s">
        <v>4</v>
      </c>
      <c r="D970" s="73" t="s">
        <v>2609</v>
      </c>
      <c r="E970" s="74">
        <v>40876.548576388886</v>
      </c>
      <c r="F970" s="74"/>
      <c r="G970" s="75" t="str">
        <f>IF(stdProdLT(Main[[#This Row],[Comments]])=0.1,"N/A",IF(stdProdLT(Main[[#This Row],[Comments]])=0,"",stdProdLT(Main[[#This Row],[Comments]])))</f>
        <v/>
      </c>
      <c r="H970" s="76" t="str">
        <f>IF(AND(Main[[#This Row],[In Stock Date]]&lt;&gt;"",Main[[#This Row],[Revised Due Date]]&lt;&gt;""),Main[[#This Row],[In Stock Date]]-Main[[#This Row],[Revised Due Date]],"")</f>
        <v/>
      </c>
      <c r="I970" s="72" t="s">
        <v>4</v>
      </c>
      <c r="J970" s="72" t="s">
        <v>4</v>
      </c>
      <c r="K970" s="72" t="s">
        <v>4</v>
      </c>
      <c r="L970" s="74"/>
      <c r="M970" s="77" t="str">
        <f>IF(Main[[#This Row],[Tech Start Date]]&lt;1/1/1990,"",IF(Main[[#This Row],[Class]]="C",WORKDAY(Main[[#This Row],[Tech Start Date]],9),IF(Main[[#This Row],[Class]]="B", WORKDAY(Main[[#This Row],[Tech Start Date]],6),IF(Main[[#This Row],[Class]]="A",WORKDAY(Main[[#This Row],[Tech Start Date]],2),""))))</f>
        <v/>
      </c>
      <c r="N970" s="77" t="str">
        <f>IF(Main[[#This Row],[Tech Start Date]]&lt;1/1/1990,"",IF(Main[[#This Row],[Class]]="C",WORKDAY(Main[[#This Row],[Tech Start Date]],19),IF(Main[[#This Row],[Class]]="B", WORKDAY(Main[[#This Row],[Tech Start Date]],12),IF(Main[[#This Row],[Class]]="A",WORKDAY(Main[[#This Row],[Tech Start Date]],4),""))))</f>
        <v/>
      </c>
      <c r="O970" s="77" t="str">
        <f>IF(Main[[#This Row],[Tech Start Date]]&lt;1/1/1990,"",IF(Main[[#This Row],[Class]]="C",WORKDAY(Main[[#This Row],[Tech Start Date]],23),IF(Main[[#This Row],[Class]]="B", WORKDAY(Main[[#This Row],[Tech Start Date]],15),IF(Main[[#This Row],[Class]]="A",WORKDAY(Main[[#This Row],[Tech Start Date]],5),""))))</f>
        <v/>
      </c>
      <c r="P970" s="77" t="str">
        <f>IF(Main[[#This Row],[Tech Start Date]]&lt;1/1/1990,"",IF(Main[[#This Row],[Class]]="C",WORKDAY(Main[[#This Row],[Tech Start Date]],28),IF(Main[[#This Row],[Class]]="B", WORKDAY(Main[[#This Row],[Tech Start Date]],19),IF(Main[[#This Row],[Class]]="A",WORKDAY(Main[[#This Row],[Tech Start Date]],9),""))))</f>
        <v/>
      </c>
      <c r="Q970" s="74"/>
      <c r="R970" s="74"/>
      <c r="S970" s="72" t="s">
        <v>6</v>
      </c>
      <c r="T970" s="80" t="s">
        <v>4</v>
      </c>
      <c r="U970" s="72" t="s">
        <v>29</v>
      </c>
      <c r="V970" s="72" t="s">
        <v>1940</v>
      </c>
      <c r="W970" s="72" t="s">
        <v>1941</v>
      </c>
      <c r="X970" s="72" t="s">
        <v>102</v>
      </c>
      <c r="Y970" s="72" t="s">
        <v>3268</v>
      </c>
      <c r="Z970" s="72" t="s">
        <v>4</v>
      </c>
    </row>
    <row r="971" spans="1:26" ht="18.600000000000001" customHeight="1">
      <c r="A971" s="142" t="str">
        <f>IF(priority(Main[[#This Row],[Comments]])&lt;&gt;0, priority(Main[[#This Row],[Comments]]),"")</f>
        <v/>
      </c>
      <c r="B971" s="90" t="s">
        <v>1788</v>
      </c>
      <c r="C971" s="72" t="s">
        <v>4</v>
      </c>
      <c r="D971" s="73" t="s">
        <v>825</v>
      </c>
      <c r="E971" s="74"/>
      <c r="F971" s="74">
        <v>40598</v>
      </c>
      <c r="G971" s="75" t="str">
        <f>IF(stdProdLT(Main[[#This Row],[Comments]])=0.1,"N/A",IF(stdProdLT(Main[[#This Row],[Comments]])=0,"",stdProdLT(Main[[#This Row],[Comments]])))</f>
        <v/>
      </c>
      <c r="H971" s="76" t="str">
        <f>IF(AND(Main[[#This Row],[In Stock Date]]&lt;&gt;"",Main[[#This Row],[Revised Due Date]]&lt;&gt;""),Main[[#This Row],[In Stock Date]]-Main[[#This Row],[Revised Due Date]],"")</f>
        <v/>
      </c>
      <c r="I971" s="72" t="s">
        <v>4</v>
      </c>
      <c r="J971" s="72" t="s">
        <v>4</v>
      </c>
      <c r="K971" s="72" t="s">
        <v>4</v>
      </c>
      <c r="L971" s="74"/>
      <c r="M971" s="77" t="str">
        <f>IF(Main[[#This Row],[Tech Start Date]]&lt;1/1/1990,"",IF(Main[[#This Row],[Class]]="C",WORKDAY(Main[[#This Row],[Tech Start Date]],9),IF(Main[[#This Row],[Class]]="B", WORKDAY(Main[[#This Row],[Tech Start Date]],6),IF(Main[[#This Row],[Class]]="A",WORKDAY(Main[[#This Row],[Tech Start Date]],2),""))))</f>
        <v/>
      </c>
      <c r="N971" s="77" t="str">
        <f>IF(Main[[#This Row],[Tech Start Date]]&lt;1/1/1990,"",IF(Main[[#This Row],[Class]]="C",WORKDAY(Main[[#This Row],[Tech Start Date]],19),IF(Main[[#This Row],[Class]]="B", WORKDAY(Main[[#This Row],[Tech Start Date]],12),IF(Main[[#This Row],[Class]]="A",WORKDAY(Main[[#This Row],[Tech Start Date]],4),""))))</f>
        <v/>
      </c>
      <c r="O971" s="77" t="str">
        <f>IF(Main[[#This Row],[Tech Start Date]]&lt;1/1/1990,"",IF(Main[[#This Row],[Class]]="C",WORKDAY(Main[[#This Row],[Tech Start Date]],23),IF(Main[[#This Row],[Class]]="B", WORKDAY(Main[[#This Row],[Tech Start Date]],15),IF(Main[[#This Row],[Class]]="A",WORKDAY(Main[[#This Row],[Tech Start Date]],5),""))))</f>
        <v/>
      </c>
      <c r="P971" s="77" t="str">
        <f>IF(Main[[#This Row],[Tech Start Date]]&lt;1/1/1990,"",IF(Main[[#This Row],[Class]]="C",WORKDAY(Main[[#This Row],[Tech Start Date]],28),IF(Main[[#This Row],[Class]]="B", WORKDAY(Main[[#This Row],[Tech Start Date]],19),IF(Main[[#This Row],[Class]]="A",WORKDAY(Main[[#This Row],[Tech Start Date]],9),""))))</f>
        <v/>
      </c>
      <c r="Q971" s="74">
        <v>40598</v>
      </c>
      <c r="R971" s="74"/>
      <c r="S971" s="72" t="s">
        <v>11</v>
      </c>
      <c r="T971" s="80" t="s">
        <v>4</v>
      </c>
      <c r="U971" s="72" t="s">
        <v>14</v>
      </c>
      <c r="V971" s="72" t="s">
        <v>1947</v>
      </c>
      <c r="W971" s="72" t="s">
        <v>1943</v>
      </c>
      <c r="X971" s="72" t="s">
        <v>3000</v>
      </c>
      <c r="Y971" s="72" t="s">
        <v>3137</v>
      </c>
      <c r="Z971" s="72" t="s">
        <v>4</v>
      </c>
    </row>
    <row r="972" spans="1:26" ht="18.600000000000001" customHeight="1">
      <c r="A972" s="142" t="str">
        <f>IF(priority(Main[[#This Row],[Comments]])&lt;&gt;0, priority(Main[[#This Row],[Comments]]),"")</f>
        <v/>
      </c>
      <c r="B972" s="90" t="s">
        <v>1930</v>
      </c>
      <c r="C972" s="72" t="s">
        <v>4</v>
      </c>
      <c r="D972" s="73" t="s">
        <v>973</v>
      </c>
      <c r="E972" s="74">
        <v>40140.581273148149</v>
      </c>
      <c r="F972" s="74"/>
      <c r="G972" s="75" t="str">
        <f>IF(stdProdLT(Main[[#This Row],[Comments]])=0.1,"N/A",IF(stdProdLT(Main[[#This Row],[Comments]])=0,"",stdProdLT(Main[[#This Row],[Comments]])))</f>
        <v/>
      </c>
      <c r="H972" s="76" t="str">
        <f>IF(AND(Main[[#This Row],[In Stock Date]]&lt;&gt;"",Main[[#This Row],[Revised Due Date]]&lt;&gt;""),Main[[#This Row],[In Stock Date]]-Main[[#This Row],[Revised Due Date]],"")</f>
        <v/>
      </c>
      <c r="I972" s="72" t="s">
        <v>437</v>
      </c>
      <c r="J972" s="72" t="s">
        <v>28</v>
      </c>
      <c r="K972" s="72" t="s">
        <v>1949</v>
      </c>
      <c r="L972" s="74"/>
      <c r="M972" s="77" t="str">
        <f>IF(Main[[#This Row],[Tech Start Date]]&lt;1/1/1990,"",IF(Main[[#This Row],[Class]]="C",WORKDAY(Main[[#This Row],[Tech Start Date]],9),IF(Main[[#This Row],[Class]]="B", WORKDAY(Main[[#This Row],[Tech Start Date]],6),IF(Main[[#This Row],[Class]]="A",WORKDAY(Main[[#This Row],[Tech Start Date]],2),""))))</f>
        <v/>
      </c>
      <c r="N972" s="77" t="str">
        <f>IF(Main[[#This Row],[Tech Start Date]]&lt;1/1/1990,"",IF(Main[[#This Row],[Class]]="C",WORKDAY(Main[[#This Row],[Tech Start Date]],19),IF(Main[[#This Row],[Class]]="B", WORKDAY(Main[[#This Row],[Tech Start Date]],12),IF(Main[[#This Row],[Class]]="A",WORKDAY(Main[[#This Row],[Tech Start Date]],4),""))))</f>
        <v/>
      </c>
      <c r="O972" s="77" t="str">
        <f>IF(Main[[#This Row],[Tech Start Date]]&lt;1/1/1990,"",IF(Main[[#This Row],[Class]]="C",WORKDAY(Main[[#This Row],[Tech Start Date]],23),IF(Main[[#This Row],[Class]]="B", WORKDAY(Main[[#This Row],[Tech Start Date]],15),IF(Main[[#This Row],[Class]]="A",WORKDAY(Main[[#This Row],[Tech Start Date]],5),""))))</f>
        <v/>
      </c>
      <c r="P972" s="77" t="str">
        <f>IF(Main[[#This Row],[Tech Start Date]]&lt;1/1/1990,"",IF(Main[[#This Row],[Class]]="C",WORKDAY(Main[[#This Row],[Tech Start Date]],28),IF(Main[[#This Row],[Class]]="B", WORKDAY(Main[[#This Row],[Tech Start Date]],19),IF(Main[[#This Row],[Class]]="A",WORKDAY(Main[[#This Row],[Tech Start Date]],9),""))))</f>
        <v/>
      </c>
      <c r="Q972" s="74">
        <v>40326</v>
      </c>
      <c r="R972" s="74">
        <v>40966</v>
      </c>
      <c r="S972" s="72" t="s">
        <v>17</v>
      </c>
      <c r="T972" s="80" t="s">
        <v>4</v>
      </c>
      <c r="U972" s="72" t="s">
        <v>29</v>
      </c>
      <c r="V972" s="72" t="s">
        <v>1940</v>
      </c>
      <c r="W972" s="72" t="s">
        <v>1942</v>
      </c>
      <c r="X972" s="72" t="s">
        <v>421</v>
      </c>
      <c r="Y972" s="72" t="s">
        <v>3133</v>
      </c>
      <c r="Z972" s="72" t="s">
        <v>421</v>
      </c>
    </row>
    <row r="973" spans="1:26" ht="18.600000000000001" customHeight="1">
      <c r="A973" s="142" t="str">
        <f>IF(priority(Main[[#This Row],[Comments]])&lt;&gt;0, priority(Main[[#This Row],[Comments]]),"")</f>
        <v/>
      </c>
      <c r="B973" s="90" t="s">
        <v>1794</v>
      </c>
      <c r="C973" s="72" t="s">
        <v>4</v>
      </c>
      <c r="D973" s="73" t="s">
        <v>2150</v>
      </c>
      <c r="E973" s="74"/>
      <c r="F973" s="74"/>
      <c r="G973" s="75" t="str">
        <f>IF(stdProdLT(Main[[#This Row],[Comments]])=0.1,"N/A",IF(stdProdLT(Main[[#This Row],[Comments]])=0,"",stdProdLT(Main[[#This Row],[Comments]])))</f>
        <v/>
      </c>
      <c r="H973" s="76" t="str">
        <f>IF(AND(Main[[#This Row],[In Stock Date]]&lt;&gt;"",Main[[#This Row],[Revised Due Date]]&lt;&gt;""),Main[[#This Row],[In Stock Date]]-Main[[#This Row],[Revised Due Date]],"")</f>
        <v/>
      </c>
      <c r="I973" s="72" t="s">
        <v>435</v>
      </c>
      <c r="J973" s="72" t="s">
        <v>70</v>
      </c>
      <c r="K973" s="81" t="s">
        <v>1946</v>
      </c>
      <c r="L973" s="74"/>
      <c r="M973" s="77" t="str">
        <f>IF(Main[[#This Row],[Tech Start Date]]&lt;1/1/1990,"",IF(Main[[#This Row],[Class]]="C",WORKDAY(Main[[#This Row],[Tech Start Date]],9),IF(Main[[#This Row],[Class]]="B", WORKDAY(Main[[#This Row],[Tech Start Date]],6),IF(Main[[#This Row],[Class]]="A",WORKDAY(Main[[#This Row],[Tech Start Date]],2),""))))</f>
        <v/>
      </c>
      <c r="N973" s="77" t="str">
        <f>IF(Main[[#This Row],[Tech Start Date]]&lt;1/1/1990,"",IF(Main[[#This Row],[Class]]="C",WORKDAY(Main[[#This Row],[Tech Start Date]],19),IF(Main[[#This Row],[Class]]="B", WORKDAY(Main[[#This Row],[Tech Start Date]],12),IF(Main[[#This Row],[Class]]="A",WORKDAY(Main[[#This Row],[Tech Start Date]],4),""))))</f>
        <v/>
      </c>
      <c r="O973" s="77" t="str">
        <f>IF(Main[[#This Row],[Tech Start Date]]&lt;1/1/1990,"",IF(Main[[#This Row],[Class]]="C",WORKDAY(Main[[#This Row],[Tech Start Date]],23),IF(Main[[#This Row],[Class]]="B", WORKDAY(Main[[#This Row],[Tech Start Date]],15),IF(Main[[#This Row],[Class]]="A",WORKDAY(Main[[#This Row],[Tech Start Date]],5),""))))</f>
        <v/>
      </c>
      <c r="P973" s="77" t="str">
        <f>IF(Main[[#This Row],[Tech Start Date]]&lt;1/1/1990,"",IF(Main[[#This Row],[Class]]="C",WORKDAY(Main[[#This Row],[Tech Start Date]],28),IF(Main[[#This Row],[Class]]="B", WORKDAY(Main[[#This Row],[Tech Start Date]],19),IF(Main[[#This Row],[Class]]="A",WORKDAY(Main[[#This Row],[Tech Start Date]],9),""))))</f>
        <v/>
      </c>
      <c r="Q973" s="74">
        <v>40714</v>
      </c>
      <c r="R973" s="74"/>
      <c r="S973" s="72" t="s">
        <v>6</v>
      </c>
      <c r="T973" s="80" t="s">
        <v>4</v>
      </c>
      <c r="U973" s="72" t="s">
        <v>14</v>
      </c>
      <c r="V973" s="72" t="s">
        <v>1940</v>
      </c>
      <c r="W973" s="72" t="s">
        <v>1941</v>
      </c>
      <c r="X973" s="72" t="s">
        <v>3055</v>
      </c>
      <c r="Y973" s="72" t="s">
        <v>3241</v>
      </c>
      <c r="Z973" s="72" t="s">
        <v>30</v>
      </c>
    </row>
    <row r="974" spans="1:26" ht="18.600000000000001" customHeight="1">
      <c r="A974" s="142" t="str">
        <f>IF(priority(Main[[#This Row],[Comments]])&lt;&gt;0, priority(Main[[#This Row],[Comments]]),"")</f>
        <v/>
      </c>
      <c r="B974" s="90" t="s">
        <v>1795</v>
      </c>
      <c r="C974" s="72" t="s">
        <v>4</v>
      </c>
      <c r="D974" s="73" t="s">
        <v>831</v>
      </c>
      <c r="E974" s="74"/>
      <c r="F974" s="74"/>
      <c r="G974" s="75" t="str">
        <f>IF(stdProdLT(Main[[#This Row],[Comments]])=0.1,"N/A",IF(stdProdLT(Main[[#This Row],[Comments]])=0,"",stdProdLT(Main[[#This Row],[Comments]])))</f>
        <v/>
      </c>
      <c r="H974" s="76" t="str">
        <f>IF(AND(Main[[#This Row],[In Stock Date]]&lt;&gt;"",Main[[#This Row],[Revised Due Date]]&lt;&gt;""),Main[[#This Row],[In Stock Date]]-Main[[#This Row],[Revised Due Date]],"")</f>
        <v/>
      </c>
      <c r="I974" s="72" t="s">
        <v>4</v>
      </c>
      <c r="J974" s="72" t="s">
        <v>4</v>
      </c>
      <c r="K974" s="72" t="s">
        <v>4</v>
      </c>
      <c r="L974" s="74"/>
      <c r="M974" s="77" t="str">
        <f>IF(Main[[#This Row],[Tech Start Date]]&lt;1/1/1990,"",IF(Main[[#This Row],[Class]]="C",WORKDAY(Main[[#This Row],[Tech Start Date]],9),IF(Main[[#This Row],[Class]]="B", WORKDAY(Main[[#This Row],[Tech Start Date]],6),IF(Main[[#This Row],[Class]]="A",WORKDAY(Main[[#This Row],[Tech Start Date]],2),""))))</f>
        <v/>
      </c>
      <c r="N974" s="77" t="str">
        <f>IF(Main[[#This Row],[Tech Start Date]]&lt;1/1/1990,"",IF(Main[[#This Row],[Class]]="C",WORKDAY(Main[[#This Row],[Tech Start Date]],19),IF(Main[[#This Row],[Class]]="B", WORKDAY(Main[[#This Row],[Tech Start Date]],12),IF(Main[[#This Row],[Class]]="A",WORKDAY(Main[[#This Row],[Tech Start Date]],4),""))))</f>
        <v/>
      </c>
      <c r="O974" s="77" t="str">
        <f>IF(Main[[#This Row],[Tech Start Date]]&lt;1/1/1990,"",IF(Main[[#This Row],[Class]]="C",WORKDAY(Main[[#This Row],[Tech Start Date]],23),IF(Main[[#This Row],[Class]]="B", WORKDAY(Main[[#This Row],[Tech Start Date]],15),IF(Main[[#This Row],[Class]]="A",WORKDAY(Main[[#This Row],[Tech Start Date]],5),""))))</f>
        <v/>
      </c>
      <c r="P974" s="77" t="str">
        <f>IF(Main[[#This Row],[Tech Start Date]]&lt;1/1/1990,"",IF(Main[[#This Row],[Class]]="C",WORKDAY(Main[[#This Row],[Tech Start Date]],28),IF(Main[[#This Row],[Class]]="B", WORKDAY(Main[[#This Row],[Tech Start Date]],19),IF(Main[[#This Row],[Class]]="A",WORKDAY(Main[[#This Row],[Tech Start Date]],9),""))))</f>
        <v/>
      </c>
      <c r="Q974" s="74"/>
      <c r="R974" s="74"/>
      <c r="S974" s="72" t="s">
        <v>6</v>
      </c>
      <c r="T974" s="80" t="s">
        <v>4</v>
      </c>
      <c r="U974" s="72" t="s">
        <v>14</v>
      </c>
      <c r="V974" s="72" t="s">
        <v>1937</v>
      </c>
      <c r="W974" s="72" t="s">
        <v>1941</v>
      </c>
      <c r="X974" s="72" t="s">
        <v>927</v>
      </c>
      <c r="Y974" s="72" t="s">
        <v>3215</v>
      </c>
      <c r="Z974" s="72" t="s">
        <v>4</v>
      </c>
    </row>
    <row r="975" spans="1:26" ht="18.600000000000001" customHeight="1">
      <c r="A975" s="142" t="str">
        <f>IF(priority(Main[[#This Row],[Comments]])&lt;&gt;0, priority(Main[[#This Row],[Comments]]),"")</f>
        <v/>
      </c>
      <c r="B975" s="90" t="s">
        <v>1796</v>
      </c>
      <c r="C975" s="72" t="s">
        <v>832</v>
      </c>
      <c r="D975" s="73" t="s">
        <v>833</v>
      </c>
      <c r="E975" s="74"/>
      <c r="F975" s="74">
        <v>40421</v>
      </c>
      <c r="G975" s="75" t="str">
        <f>IF(stdProdLT(Main[[#This Row],[Comments]])=0.1,"N/A",IF(stdProdLT(Main[[#This Row],[Comments]])=0,"",stdProdLT(Main[[#This Row],[Comments]])))</f>
        <v/>
      </c>
      <c r="H975" s="76" t="str">
        <f>IF(AND(Main[[#This Row],[In Stock Date]]&lt;&gt;"",Main[[#This Row],[Revised Due Date]]&lt;&gt;""),Main[[#This Row],[In Stock Date]]-Main[[#This Row],[Revised Due Date]],"")</f>
        <v/>
      </c>
      <c r="I975" s="72" t="s">
        <v>4</v>
      </c>
      <c r="J975" s="72" t="s">
        <v>4</v>
      </c>
      <c r="K975" s="72" t="s">
        <v>4</v>
      </c>
      <c r="L975" s="74"/>
      <c r="M975" s="77" t="str">
        <f>IF(Main[[#This Row],[Tech Start Date]]&lt;1/1/1990,"",IF(Main[[#This Row],[Class]]="C",WORKDAY(Main[[#This Row],[Tech Start Date]],9),IF(Main[[#This Row],[Class]]="B", WORKDAY(Main[[#This Row],[Tech Start Date]],6),IF(Main[[#This Row],[Class]]="A",WORKDAY(Main[[#This Row],[Tech Start Date]],2),""))))</f>
        <v/>
      </c>
      <c r="N975" s="77" t="str">
        <f>IF(Main[[#This Row],[Tech Start Date]]&lt;1/1/1990,"",IF(Main[[#This Row],[Class]]="C",WORKDAY(Main[[#This Row],[Tech Start Date]],19),IF(Main[[#This Row],[Class]]="B", WORKDAY(Main[[#This Row],[Tech Start Date]],12),IF(Main[[#This Row],[Class]]="A",WORKDAY(Main[[#This Row],[Tech Start Date]],4),""))))</f>
        <v/>
      </c>
      <c r="O975" s="77" t="str">
        <f>IF(Main[[#This Row],[Tech Start Date]]&lt;1/1/1990,"",IF(Main[[#This Row],[Class]]="C",WORKDAY(Main[[#This Row],[Tech Start Date]],23),IF(Main[[#This Row],[Class]]="B", WORKDAY(Main[[#This Row],[Tech Start Date]],15),IF(Main[[#This Row],[Class]]="A",WORKDAY(Main[[#This Row],[Tech Start Date]],5),""))))</f>
        <v/>
      </c>
      <c r="P975" s="77" t="str">
        <f>IF(Main[[#This Row],[Tech Start Date]]&lt;1/1/1990,"",IF(Main[[#This Row],[Class]]="C",WORKDAY(Main[[#This Row],[Tech Start Date]],28),IF(Main[[#This Row],[Class]]="B", WORKDAY(Main[[#This Row],[Tech Start Date]],19),IF(Main[[#This Row],[Class]]="A",WORKDAY(Main[[#This Row],[Tech Start Date]],9),""))))</f>
        <v/>
      </c>
      <c r="Q975" s="74"/>
      <c r="R975" s="74"/>
      <c r="S975" s="72" t="s">
        <v>11</v>
      </c>
      <c r="T975" s="80" t="s">
        <v>4</v>
      </c>
      <c r="U975" s="72" t="s">
        <v>12</v>
      </c>
      <c r="V975" s="72" t="s">
        <v>1947</v>
      </c>
      <c r="W975" s="72" t="s">
        <v>1943</v>
      </c>
      <c r="X975" s="72" t="s">
        <v>3024</v>
      </c>
      <c r="Y975" s="72" t="s">
        <v>3154</v>
      </c>
      <c r="Z975" s="72" t="s">
        <v>4</v>
      </c>
    </row>
    <row r="976" spans="1:26" ht="18.600000000000001" customHeight="1">
      <c r="A976" s="142" t="str">
        <f>IF(priority(Main[[#This Row],[Comments]])&lt;&gt;0, priority(Main[[#This Row],[Comments]]),"")</f>
        <v/>
      </c>
      <c r="B976" s="90" t="s">
        <v>1797</v>
      </c>
      <c r="C976" s="72" t="s">
        <v>4</v>
      </c>
      <c r="D976" s="73" t="s">
        <v>834</v>
      </c>
      <c r="E976" s="74"/>
      <c r="F976" s="74"/>
      <c r="G976" s="75" t="str">
        <f>IF(stdProdLT(Main[[#This Row],[Comments]])=0.1,"N/A",IF(stdProdLT(Main[[#This Row],[Comments]])=0,"",stdProdLT(Main[[#This Row],[Comments]])))</f>
        <v/>
      </c>
      <c r="H976" s="76" t="str">
        <f>IF(AND(Main[[#This Row],[In Stock Date]]&lt;&gt;"",Main[[#This Row],[Revised Due Date]]&lt;&gt;""),Main[[#This Row],[In Stock Date]]-Main[[#This Row],[Revised Due Date]],"")</f>
        <v/>
      </c>
      <c r="I976" s="72" t="s">
        <v>423</v>
      </c>
      <c r="J976" s="72" t="s">
        <v>75</v>
      </c>
      <c r="K976" s="72" t="s">
        <v>1944</v>
      </c>
      <c r="L976" s="74"/>
      <c r="M976" s="77" t="str">
        <f>IF(Main[[#This Row],[Tech Start Date]]&lt;1/1/1990,"",IF(Main[[#This Row],[Class]]="C",WORKDAY(Main[[#This Row],[Tech Start Date]],9),IF(Main[[#This Row],[Class]]="B", WORKDAY(Main[[#This Row],[Tech Start Date]],6),IF(Main[[#This Row],[Class]]="A",WORKDAY(Main[[#This Row],[Tech Start Date]],2),""))))</f>
        <v/>
      </c>
      <c r="N976" s="77" t="str">
        <f>IF(Main[[#This Row],[Tech Start Date]]&lt;1/1/1990,"",IF(Main[[#This Row],[Class]]="C",WORKDAY(Main[[#This Row],[Tech Start Date]],19),IF(Main[[#This Row],[Class]]="B", WORKDAY(Main[[#This Row],[Tech Start Date]],12),IF(Main[[#This Row],[Class]]="A",WORKDAY(Main[[#This Row],[Tech Start Date]],4),""))))</f>
        <v/>
      </c>
      <c r="O976" s="77" t="str">
        <f>IF(Main[[#This Row],[Tech Start Date]]&lt;1/1/1990,"",IF(Main[[#This Row],[Class]]="C",WORKDAY(Main[[#This Row],[Tech Start Date]],23),IF(Main[[#This Row],[Class]]="B", WORKDAY(Main[[#This Row],[Tech Start Date]],15),IF(Main[[#This Row],[Class]]="A",WORKDAY(Main[[#This Row],[Tech Start Date]],5),""))))</f>
        <v/>
      </c>
      <c r="P976" s="77" t="str">
        <f>IF(Main[[#This Row],[Tech Start Date]]&lt;1/1/1990,"",IF(Main[[#This Row],[Class]]="C",WORKDAY(Main[[#This Row],[Tech Start Date]],28),IF(Main[[#This Row],[Class]]="B", WORKDAY(Main[[#This Row],[Tech Start Date]],19),IF(Main[[#This Row],[Class]]="A",WORKDAY(Main[[#This Row],[Tech Start Date]],9),""))))</f>
        <v/>
      </c>
      <c r="Q976" s="74">
        <v>40529</v>
      </c>
      <c r="R976" s="74"/>
      <c r="S976" s="72" t="s">
        <v>6</v>
      </c>
      <c r="T976" s="80" t="s">
        <v>4</v>
      </c>
      <c r="U976" s="72" t="s">
        <v>14</v>
      </c>
      <c r="V976" s="72" t="s">
        <v>1940</v>
      </c>
      <c r="W976" s="72" t="s">
        <v>1948</v>
      </c>
      <c r="X976" s="72" t="s">
        <v>897</v>
      </c>
      <c r="Y976" s="72" t="s">
        <v>3121</v>
      </c>
      <c r="Z976" s="72" t="s">
        <v>311</v>
      </c>
    </row>
    <row r="977" spans="1:26" ht="18.600000000000001" customHeight="1">
      <c r="A977" s="142" t="str">
        <f>IF(priority(Main[[#This Row],[Comments]])&lt;&gt;0, priority(Main[[#This Row],[Comments]]),"")</f>
        <v/>
      </c>
      <c r="B977" s="90" t="s">
        <v>1798</v>
      </c>
      <c r="C977" s="72" t="s">
        <v>4</v>
      </c>
      <c r="D977" s="73" t="s">
        <v>835</v>
      </c>
      <c r="E977" s="74"/>
      <c r="F977" s="74">
        <v>40602</v>
      </c>
      <c r="G977" s="75" t="str">
        <f>IF(stdProdLT(Main[[#This Row],[Comments]])=0.1,"N/A",IF(stdProdLT(Main[[#This Row],[Comments]])=0,"",stdProdLT(Main[[#This Row],[Comments]])))</f>
        <v/>
      </c>
      <c r="H977" s="76" t="str">
        <f>IF(AND(Main[[#This Row],[In Stock Date]]&lt;&gt;"",Main[[#This Row],[Revised Due Date]]&lt;&gt;""),Main[[#This Row],[In Stock Date]]-Main[[#This Row],[Revised Due Date]],"")</f>
        <v/>
      </c>
      <c r="I977" s="72" t="s">
        <v>4</v>
      </c>
      <c r="J977" s="72" t="s">
        <v>28</v>
      </c>
      <c r="K977" s="72" t="s">
        <v>4</v>
      </c>
      <c r="L977" s="74"/>
      <c r="M977" s="77" t="str">
        <f>IF(Main[[#This Row],[Tech Start Date]]&lt;1/1/1990,"",IF(Main[[#This Row],[Class]]="C",WORKDAY(Main[[#This Row],[Tech Start Date]],9),IF(Main[[#This Row],[Class]]="B", WORKDAY(Main[[#This Row],[Tech Start Date]],6),IF(Main[[#This Row],[Class]]="A",WORKDAY(Main[[#This Row],[Tech Start Date]],2),""))))</f>
        <v/>
      </c>
      <c r="N977" s="77" t="str">
        <f>IF(Main[[#This Row],[Tech Start Date]]&lt;1/1/1990,"",IF(Main[[#This Row],[Class]]="C",WORKDAY(Main[[#This Row],[Tech Start Date]],19),IF(Main[[#This Row],[Class]]="B", WORKDAY(Main[[#This Row],[Tech Start Date]],12),IF(Main[[#This Row],[Class]]="A",WORKDAY(Main[[#This Row],[Tech Start Date]],4),""))))</f>
        <v/>
      </c>
      <c r="O977" s="77" t="str">
        <f>IF(Main[[#This Row],[Tech Start Date]]&lt;1/1/1990,"",IF(Main[[#This Row],[Class]]="C",WORKDAY(Main[[#This Row],[Tech Start Date]],23),IF(Main[[#This Row],[Class]]="B", WORKDAY(Main[[#This Row],[Tech Start Date]],15),IF(Main[[#This Row],[Class]]="A",WORKDAY(Main[[#This Row],[Tech Start Date]],5),""))))</f>
        <v/>
      </c>
      <c r="P977" s="77" t="str">
        <f>IF(Main[[#This Row],[Tech Start Date]]&lt;1/1/1990,"",IF(Main[[#This Row],[Class]]="C",WORKDAY(Main[[#This Row],[Tech Start Date]],28),IF(Main[[#This Row],[Class]]="B", WORKDAY(Main[[#This Row],[Tech Start Date]],19),IF(Main[[#This Row],[Class]]="A",WORKDAY(Main[[#This Row],[Tech Start Date]],9),""))))</f>
        <v/>
      </c>
      <c r="Q977" s="74">
        <v>40612</v>
      </c>
      <c r="R977" s="74"/>
      <c r="S977" s="72" t="s">
        <v>6</v>
      </c>
      <c r="T977" s="80" t="s">
        <v>4</v>
      </c>
      <c r="U977" s="72" t="s">
        <v>14</v>
      </c>
      <c r="V977" s="72" t="s">
        <v>1947</v>
      </c>
      <c r="W977" s="72" t="s">
        <v>1941</v>
      </c>
      <c r="X977" s="72" t="s">
        <v>50</v>
      </c>
      <c r="Y977" s="72" t="s">
        <v>3269</v>
      </c>
      <c r="Z977" s="72" t="s">
        <v>30</v>
      </c>
    </row>
    <row r="978" spans="1:26" ht="18.600000000000001" customHeight="1">
      <c r="A978" s="142" t="str">
        <f>IF(priority(Main[[#This Row],[Comments]])&lt;&gt;0, priority(Main[[#This Row],[Comments]]),"")</f>
        <v/>
      </c>
      <c r="B978" s="90" t="s">
        <v>1823</v>
      </c>
      <c r="C978" s="72" t="s">
        <v>356</v>
      </c>
      <c r="D978" s="73" t="s">
        <v>836</v>
      </c>
      <c r="E978" s="74"/>
      <c r="F978" s="74">
        <v>40360</v>
      </c>
      <c r="G978" s="75" t="str">
        <f>IF(stdProdLT(Main[[#This Row],[Comments]])=0.1,"N/A",IF(stdProdLT(Main[[#This Row],[Comments]])=0,"",stdProdLT(Main[[#This Row],[Comments]])))</f>
        <v/>
      </c>
      <c r="H978" s="76" t="str">
        <f>IF(AND(Main[[#This Row],[In Stock Date]]&lt;&gt;"",Main[[#This Row],[Revised Due Date]]&lt;&gt;""),Main[[#This Row],[In Stock Date]]-Main[[#This Row],[Revised Due Date]],"")</f>
        <v/>
      </c>
      <c r="I978" s="72" t="s">
        <v>4</v>
      </c>
      <c r="J978" s="72" t="s">
        <v>4</v>
      </c>
      <c r="K978" s="72" t="s">
        <v>4</v>
      </c>
      <c r="L978" s="74"/>
      <c r="M978" s="77" t="str">
        <f>IF(Main[[#This Row],[Tech Start Date]]&lt;1/1/1990,"",IF(Main[[#This Row],[Class]]="C",WORKDAY(Main[[#This Row],[Tech Start Date]],9),IF(Main[[#This Row],[Class]]="B", WORKDAY(Main[[#This Row],[Tech Start Date]],6),IF(Main[[#This Row],[Class]]="A",WORKDAY(Main[[#This Row],[Tech Start Date]],2),""))))</f>
        <v/>
      </c>
      <c r="N978" s="77" t="str">
        <f>IF(Main[[#This Row],[Tech Start Date]]&lt;1/1/1990,"",IF(Main[[#This Row],[Class]]="C",WORKDAY(Main[[#This Row],[Tech Start Date]],19),IF(Main[[#This Row],[Class]]="B", WORKDAY(Main[[#This Row],[Tech Start Date]],12),IF(Main[[#This Row],[Class]]="A",WORKDAY(Main[[#This Row],[Tech Start Date]],4),""))))</f>
        <v/>
      </c>
      <c r="O978" s="77" t="str">
        <f>IF(Main[[#This Row],[Tech Start Date]]&lt;1/1/1990,"",IF(Main[[#This Row],[Class]]="C",WORKDAY(Main[[#This Row],[Tech Start Date]],23),IF(Main[[#This Row],[Class]]="B", WORKDAY(Main[[#This Row],[Tech Start Date]],15),IF(Main[[#This Row],[Class]]="A",WORKDAY(Main[[#This Row],[Tech Start Date]],5),""))))</f>
        <v/>
      </c>
      <c r="P978" s="77" t="str">
        <f>IF(Main[[#This Row],[Tech Start Date]]&lt;1/1/1990,"",IF(Main[[#This Row],[Class]]="C",WORKDAY(Main[[#This Row],[Tech Start Date]],28),IF(Main[[#This Row],[Class]]="B", WORKDAY(Main[[#This Row],[Tech Start Date]],19),IF(Main[[#This Row],[Class]]="A",WORKDAY(Main[[#This Row],[Tech Start Date]],9),""))))</f>
        <v/>
      </c>
      <c r="Q978" s="74">
        <v>40329</v>
      </c>
      <c r="R978" s="74"/>
      <c r="S978" s="72" t="s">
        <v>11</v>
      </c>
      <c r="T978" s="80" t="s">
        <v>4</v>
      </c>
      <c r="U978" s="72" t="s">
        <v>12</v>
      </c>
      <c r="V978" s="72" t="s">
        <v>1947</v>
      </c>
      <c r="W978" s="72" t="s">
        <v>1943</v>
      </c>
      <c r="X978" s="72" t="s">
        <v>3024</v>
      </c>
      <c r="Y978" s="72" t="s">
        <v>3154</v>
      </c>
      <c r="Z978" s="72" t="s">
        <v>4</v>
      </c>
    </row>
    <row r="979" spans="1:26" ht="18.600000000000001" customHeight="1">
      <c r="A979" s="142" t="str">
        <f>IF(priority(Main[[#This Row],[Comments]])&lt;&gt;0, priority(Main[[#This Row],[Comments]]),"")</f>
        <v/>
      </c>
      <c r="B979" s="90" t="s">
        <v>1800</v>
      </c>
      <c r="C979" s="72" t="s">
        <v>4</v>
      </c>
      <c r="D979" s="73" t="s">
        <v>860</v>
      </c>
      <c r="E979" s="74"/>
      <c r="F979" s="74"/>
      <c r="G979" s="75" t="str">
        <f>IF(stdProdLT(Main[[#This Row],[Comments]])=0.1,"N/A",IF(stdProdLT(Main[[#This Row],[Comments]])=0,"",stdProdLT(Main[[#This Row],[Comments]])))</f>
        <v/>
      </c>
      <c r="H979" s="76" t="str">
        <f>IF(AND(Main[[#This Row],[In Stock Date]]&lt;&gt;"",Main[[#This Row],[Revised Due Date]]&lt;&gt;""),Main[[#This Row],[In Stock Date]]-Main[[#This Row],[Revised Due Date]],"")</f>
        <v/>
      </c>
      <c r="I979" s="72" t="s">
        <v>4</v>
      </c>
      <c r="J979" s="72" t="s">
        <v>4</v>
      </c>
      <c r="K979" s="72" t="s">
        <v>4</v>
      </c>
      <c r="L979" s="74"/>
      <c r="M979" s="77" t="str">
        <f>IF(Main[[#This Row],[Tech Start Date]]&lt;1/1/1990,"",IF(Main[[#This Row],[Class]]="C",WORKDAY(Main[[#This Row],[Tech Start Date]],9),IF(Main[[#This Row],[Class]]="B", WORKDAY(Main[[#This Row],[Tech Start Date]],6),IF(Main[[#This Row],[Class]]="A",WORKDAY(Main[[#This Row],[Tech Start Date]],2),""))))</f>
        <v/>
      </c>
      <c r="N979" s="77" t="str">
        <f>IF(Main[[#This Row],[Tech Start Date]]&lt;1/1/1990,"",IF(Main[[#This Row],[Class]]="C",WORKDAY(Main[[#This Row],[Tech Start Date]],19),IF(Main[[#This Row],[Class]]="B", WORKDAY(Main[[#This Row],[Tech Start Date]],12),IF(Main[[#This Row],[Class]]="A",WORKDAY(Main[[#This Row],[Tech Start Date]],4),""))))</f>
        <v/>
      </c>
      <c r="O979" s="77" t="str">
        <f>IF(Main[[#This Row],[Tech Start Date]]&lt;1/1/1990,"",IF(Main[[#This Row],[Class]]="C",WORKDAY(Main[[#This Row],[Tech Start Date]],23),IF(Main[[#This Row],[Class]]="B", WORKDAY(Main[[#This Row],[Tech Start Date]],15),IF(Main[[#This Row],[Class]]="A",WORKDAY(Main[[#This Row],[Tech Start Date]],5),""))))</f>
        <v/>
      </c>
      <c r="P979" s="77" t="str">
        <f>IF(Main[[#This Row],[Tech Start Date]]&lt;1/1/1990,"",IF(Main[[#This Row],[Class]]="C",WORKDAY(Main[[#This Row],[Tech Start Date]],28),IF(Main[[#This Row],[Class]]="B", WORKDAY(Main[[#This Row],[Tech Start Date]],19),IF(Main[[#This Row],[Class]]="A",WORKDAY(Main[[#This Row],[Tech Start Date]],9),""))))</f>
        <v/>
      </c>
      <c r="Q979" s="74"/>
      <c r="R979" s="74"/>
      <c r="S979" s="72" t="s">
        <v>49</v>
      </c>
      <c r="T979" s="80" t="s">
        <v>4</v>
      </c>
      <c r="U979" s="72" t="s">
        <v>14</v>
      </c>
      <c r="V979" s="72" t="s">
        <v>1940</v>
      </c>
      <c r="W979" s="72" t="s">
        <v>1941</v>
      </c>
      <c r="X979" s="72" t="s">
        <v>311</v>
      </c>
      <c r="Y979" s="72" t="s">
        <v>4</v>
      </c>
      <c r="Z979" s="72" t="s">
        <v>4</v>
      </c>
    </row>
    <row r="980" spans="1:26" ht="18.600000000000001" customHeight="1">
      <c r="A980" s="142" t="str">
        <f>IF(priority(Main[[#This Row],[Comments]])&lt;&gt;0, priority(Main[[#This Row],[Comments]]),"")</f>
        <v/>
      </c>
      <c r="B980" s="90" t="s">
        <v>1801</v>
      </c>
      <c r="C980" s="72" t="s">
        <v>4</v>
      </c>
      <c r="D980" s="73" t="s">
        <v>861</v>
      </c>
      <c r="E980" s="74"/>
      <c r="F980" s="74"/>
      <c r="G980" s="75" t="str">
        <f>IF(stdProdLT(Main[[#This Row],[Comments]])=0.1,"N/A",IF(stdProdLT(Main[[#This Row],[Comments]])=0,"",stdProdLT(Main[[#This Row],[Comments]])))</f>
        <v/>
      </c>
      <c r="H980" s="76" t="str">
        <f>IF(AND(Main[[#This Row],[In Stock Date]]&lt;&gt;"",Main[[#This Row],[Revised Due Date]]&lt;&gt;""),Main[[#This Row],[In Stock Date]]-Main[[#This Row],[Revised Due Date]],"")</f>
        <v/>
      </c>
      <c r="I980" s="72" t="s">
        <v>4</v>
      </c>
      <c r="J980" s="72" t="s">
        <v>4</v>
      </c>
      <c r="K980" s="81" t="s">
        <v>4</v>
      </c>
      <c r="L980" s="74"/>
      <c r="M980" s="77" t="str">
        <f>IF(Main[[#This Row],[Tech Start Date]]&lt;1/1/1990,"",IF(Main[[#This Row],[Class]]="C",WORKDAY(Main[[#This Row],[Tech Start Date]],9),IF(Main[[#This Row],[Class]]="B", WORKDAY(Main[[#This Row],[Tech Start Date]],6),IF(Main[[#This Row],[Class]]="A",WORKDAY(Main[[#This Row],[Tech Start Date]],2),""))))</f>
        <v/>
      </c>
      <c r="N980" s="77" t="str">
        <f>IF(Main[[#This Row],[Tech Start Date]]&lt;1/1/1990,"",IF(Main[[#This Row],[Class]]="C",WORKDAY(Main[[#This Row],[Tech Start Date]],19),IF(Main[[#This Row],[Class]]="B", WORKDAY(Main[[#This Row],[Tech Start Date]],12),IF(Main[[#This Row],[Class]]="A",WORKDAY(Main[[#This Row],[Tech Start Date]],4),""))))</f>
        <v/>
      </c>
      <c r="O980" s="77" t="str">
        <f>IF(Main[[#This Row],[Tech Start Date]]&lt;1/1/1990,"",IF(Main[[#This Row],[Class]]="C",WORKDAY(Main[[#This Row],[Tech Start Date]],23),IF(Main[[#This Row],[Class]]="B", WORKDAY(Main[[#This Row],[Tech Start Date]],15),IF(Main[[#This Row],[Class]]="A",WORKDAY(Main[[#This Row],[Tech Start Date]],5),""))))</f>
        <v/>
      </c>
      <c r="P980" s="77" t="str">
        <f>IF(Main[[#This Row],[Tech Start Date]]&lt;1/1/1990,"",IF(Main[[#This Row],[Class]]="C",WORKDAY(Main[[#This Row],[Tech Start Date]],28),IF(Main[[#This Row],[Class]]="B", WORKDAY(Main[[#This Row],[Tech Start Date]],19),IF(Main[[#This Row],[Class]]="A",WORKDAY(Main[[#This Row],[Tech Start Date]],9),""))))</f>
        <v/>
      </c>
      <c r="Q980" s="74"/>
      <c r="R980" s="74"/>
      <c r="S980" s="72" t="s">
        <v>23</v>
      </c>
      <c r="T980" s="80" t="s">
        <v>4</v>
      </c>
      <c r="U980" s="72" t="s">
        <v>14</v>
      </c>
      <c r="V980" s="72" t="s">
        <v>1940</v>
      </c>
      <c r="W980" s="72" t="s">
        <v>1941</v>
      </c>
      <c r="X980" s="72" t="s">
        <v>404</v>
      </c>
      <c r="Y980" s="72" t="s">
        <v>4</v>
      </c>
      <c r="Z980" s="72" t="s">
        <v>777</v>
      </c>
    </row>
    <row r="981" spans="1:26" ht="18.600000000000001" customHeight="1">
      <c r="A981" s="142" t="str">
        <f>IF(priority(Main[[#This Row],[Comments]])&lt;&gt;0, priority(Main[[#This Row],[Comments]]),"")</f>
        <v/>
      </c>
      <c r="B981" s="90" t="s">
        <v>1808</v>
      </c>
      <c r="C981" s="72" t="s">
        <v>844</v>
      </c>
      <c r="D981" s="73" t="s">
        <v>845</v>
      </c>
      <c r="E981" s="74"/>
      <c r="F981" s="74"/>
      <c r="G981" s="75" t="str">
        <f>IF(stdProdLT(Main[[#This Row],[Comments]])=0.1,"N/A",IF(stdProdLT(Main[[#This Row],[Comments]])=0,"",stdProdLT(Main[[#This Row],[Comments]])))</f>
        <v/>
      </c>
      <c r="H981" s="76" t="str">
        <f>IF(AND(Main[[#This Row],[In Stock Date]]&lt;&gt;"",Main[[#This Row],[Revised Due Date]]&lt;&gt;""),Main[[#This Row],[In Stock Date]]-Main[[#This Row],[Revised Due Date]],"")</f>
        <v/>
      </c>
      <c r="I981" s="72" t="s">
        <v>4</v>
      </c>
      <c r="J981" s="72" t="s">
        <v>4</v>
      </c>
      <c r="K981" s="72" t="s">
        <v>4</v>
      </c>
      <c r="L981" s="74"/>
      <c r="M981" s="77" t="str">
        <f>IF(Main[[#This Row],[Tech Start Date]]&lt;1/1/1990,"",IF(Main[[#This Row],[Class]]="C",WORKDAY(Main[[#This Row],[Tech Start Date]],9),IF(Main[[#This Row],[Class]]="B", WORKDAY(Main[[#This Row],[Tech Start Date]],6),IF(Main[[#This Row],[Class]]="A",WORKDAY(Main[[#This Row],[Tech Start Date]],2),""))))</f>
        <v/>
      </c>
      <c r="N981" s="77" t="str">
        <f>IF(Main[[#This Row],[Tech Start Date]]&lt;1/1/1990,"",IF(Main[[#This Row],[Class]]="C",WORKDAY(Main[[#This Row],[Tech Start Date]],19),IF(Main[[#This Row],[Class]]="B", WORKDAY(Main[[#This Row],[Tech Start Date]],12),IF(Main[[#This Row],[Class]]="A",WORKDAY(Main[[#This Row],[Tech Start Date]],4),""))))</f>
        <v/>
      </c>
      <c r="O981" s="77" t="str">
        <f>IF(Main[[#This Row],[Tech Start Date]]&lt;1/1/1990,"",IF(Main[[#This Row],[Class]]="C",WORKDAY(Main[[#This Row],[Tech Start Date]],23),IF(Main[[#This Row],[Class]]="B", WORKDAY(Main[[#This Row],[Tech Start Date]],15),IF(Main[[#This Row],[Class]]="A",WORKDAY(Main[[#This Row],[Tech Start Date]],5),""))))</f>
        <v/>
      </c>
      <c r="P981" s="77" t="str">
        <f>IF(Main[[#This Row],[Tech Start Date]]&lt;1/1/1990,"",IF(Main[[#This Row],[Class]]="C",WORKDAY(Main[[#This Row],[Tech Start Date]],28),IF(Main[[#This Row],[Class]]="B", WORKDAY(Main[[#This Row],[Tech Start Date]],19),IF(Main[[#This Row],[Class]]="A",WORKDAY(Main[[#This Row],[Tech Start Date]],9),""))))</f>
        <v/>
      </c>
      <c r="Q981" s="74"/>
      <c r="R981" s="74"/>
      <c r="S981" s="72" t="s">
        <v>11</v>
      </c>
      <c r="T981" s="80" t="s">
        <v>4</v>
      </c>
      <c r="U981" s="72" t="s">
        <v>14</v>
      </c>
      <c r="V981" s="72" t="s">
        <v>1938</v>
      </c>
      <c r="W981" s="72" t="s">
        <v>1945</v>
      </c>
      <c r="X981" s="72" t="s">
        <v>2999</v>
      </c>
      <c r="Y981" s="72" t="s">
        <v>3136</v>
      </c>
      <c r="Z981" s="72" t="s">
        <v>4</v>
      </c>
    </row>
    <row r="982" spans="1:26" ht="18.600000000000001" customHeight="1">
      <c r="A982" s="142" t="str">
        <f>IF(priority(Main[[#This Row],[Comments]])&lt;&gt;0, priority(Main[[#This Row],[Comments]]),"")</f>
        <v/>
      </c>
      <c r="B982" s="90" t="s">
        <v>1809</v>
      </c>
      <c r="C982" s="72" t="s">
        <v>93</v>
      </c>
      <c r="D982" s="73" t="s">
        <v>846</v>
      </c>
      <c r="E982" s="74"/>
      <c r="F982" s="74">
        <v>40299</v>
      </c>
      <c r="G982" s="75" t="str">
        <f>IF(stdProdLT(Main[[#This Row],[Comments]])=0.1,"N/A",IF(stdProdLT(Main[[#This Row],[Comments]])=0,"",stdProdLT(Main[[#This Row],[Comments]])))</f>
        <v/>
      </c>
      <c r="H982" s="76" t="str">
        <f>IF(AND(Main[[#This Row],[In Stock Date]]&lt;&gt;"",Main[[#This Row],[Revised Due Date]]&lt;&gt;""),Main[[#This Row],[In Stock Date]]-Main[[#This Row],[Revised Due Date]],"")</f>
        <v/>
      </c>
      <c r="I982" s="72" t="s">
        <v>4</v>
      </c>
      <c r="J982" s="72" t="s">
        <v>4</v>
      </c>
      <c r="K982" s="72" t="s">
        <v>4</v>
      </c>
      <c r="L982" s="74"/>
      <c r="M982" s="77" t="str">
        <f>IF(Main[[#This Row],[Tech Start Date]]&lt;1/1/1990,"",IF(Main[[#This Row],[Class]]="C",WORKDAY(Main[[#This Row],[Tech Start Date]],9),IF(Main[[#This Row],[Class]]="B", WORKDAY(Main[[#This Row],[Tech Start Date]],6),IF(Main[[#This Row],[Class]]="A",WORKDAY(Main[[#This Row],[Tech Start Date]],2),""))))</f>
        <v/>
      </c>
      <c r="N982" s="77" t="str">
        <f>IF(Main[[#This Row],[Tech Start Date]]&lt;1/1/1990,"",IF(Main[[#This Row],[Class]]="C",WORKDAY(Main[[#This Row],[Tech Start Date]],19),IF(Main[[#This Row],[Class]]="B", WORKDAY(Main[[#This Row],[Tech Start Date]],12),IF(Main[[#This Row],[Class]]="A",WORKDAY(Main[[#This Row],[Tech Start Date]],4),""))))</f>
        <v/>
      </c>
      <c r="O982" s="77" t="str">
        <f>IF(Main[[#This Row],[Tech Start Date]]&lt;1/1/1990,"",IF(Main[[#This Row],[Class]]="C",WORKDAY(Main[[#This Row],[Tech Start Date]],23),IF(Main[[#This Row],[Class]]="B", WORKDAY(Main[[#This Row],[Tech Start Date]],15),IF(Main[[#This Row],[Class]]="A",WORKDAY(Main[[#This Row],[Tech Start Date]],5),""))))</f>
        <v/>
      </c>
      <c r="P982" s="77" t="str">
        <f>IF(Main[[#This Row],[Tech Start Date]]&lt;1/1/1990,"",IF(Main[[#This Row],[Class]]="C",WORKDAY(Main[[#This Row],[Tech Start Date]],28),IF(Main[[#This Row],[Class]]="B", WORKDAY(Main[[#This Row],[Tech Start Date]],19),IF(Main[[#This Row],[Class]]="A",WORKDAY(Main[[#This Row],[Tech Start Date]],9),""))))</f>
        <v/>
      </c>
      <c r="Q982" s="74">
        <v>40171</v>
      </c>
      <c r="R982" s="74"/>
      <c r="S982" s="72" t="s">
        <v>11</v>
      </c>
      <c r="T982" s="80" t="s">
        <v>4</v>
      </c>
      <c r="U982" s="72" t="s">
        <v>14</v>
      </c>
      <c r="V982" s="72" t="s">
        <v>1940</v>
      </c>
      <c r="W982" s="72" t="s">
        <v>1943</v>
      </c>
      <c r="X982" s="72" t="s">
        <v>536</v>
      </c>
      <c r="Y982" s="72" t="s">
        <v>3211</v>
      </c>
      <c r="Z982" s="72" t="s">
        <v>4</v>
      </c>
    </row>
    <row r="983" spans="1:26" ht="18.600000000000001" customHeight="1">
      <c r="A983" s="142" t="str">
        <f>IF(priority(Main[[#This Row],[Comments]])&lt;&gt;0, priority(Main[[#This Row],[Comments]]),"")</f>
        <v/>
      </c>
      <c r="B983" s="90" t="s">
        <v>1810</v>
      </c>
      <c r="C983" s="72" t="s">
        <v>4</v>
      </c>
      <c r="D983" s="73" t="s">
        <v>847</v>
      </c>
      <c r="E983" s="74">
        <v>40682.311319444445</v>
      </c>
      <c r="F983" s="74"/>
      <c r="G983" s="75" t="str">
        <f>IF(stdProdLT(Main[[#This Row],[Comments]])=0.1,"N/A",IF(stdProdLT(Main[[#This Row],[Comments]])=0,"",stdProdLT(Main[[#This Row],[Comments]])))</f>
        <v/>
      </c>
      <c r="H983" s="76" t="str">
        <f>IF(AND(Main[[#This Row],[In Stock Date]]&lt;&gt;"",Main[[#This Row],[Revised Due Date]]&lt;&gt;""),Main[[#This Row],[In Stock Date]]-Main[[#This Row],[Revised Due Date]],"")</f>
        <v/>
      </c>
      <c r="I983" s="72" t="s">
        <v>4</v>
      </c>
      <c r="J983" s="72" t="s">
        <v>4</v>
      </c>
      <c r="K983" s="72" t="s">
        <v>4</v>
      </c>
      <c r="L983" s="74"/>
      <c r="M983" s="77" t="str">
        <f>IF(Main[[#This Row],[Tech Start Date]]&lt;1/1/1990,"",IF(Main[[#This Row],[Class]]="C",WORKDAY(Main[[#This Row],[Tech Start Date]],9),IF(Main[[#This Row],[Class]]="B", WORKDAY(Main[[#This Row],[Tech Start Date]],6),IF(Main[[#This Row],[Class]]="A",WORKDAY(Main[[#This Row],[Tech Start Date]],2),""))))</f>
        <v/>
      </c>
      <c r="N983" s="77" t="str">
        <f>IF(Main[[#This Row],[Tech Start Date]]&lt;1/1/1990,"",IF(Main[[#This Row],[Class]]="C",WORKDAY(Main[[#This Row],[Tech Start Date]],19),IF(Main[[#This Row],[Class]]="B", WORKDAY(Main[[#This Row],[Tech Start Date]],12),IF(Main[[#This Row],[Class]]="A",WORKDAY(Main[[#This Row],[Tech Start Date]],4),""))))</f>
        <v/>
      </c>
      <c r="O983" s="77" t="str">
        <f>IF(Main[[#This Row],[Tech Start Date]]&lt;1/1/1990,"",IF(Main[[#This Row],[Class]]="C",WORKDAY(Main[[#This Row],[Tech Start Date]],23),IF(Main[[#This Row],[Class]]="B", WORKDAY(Main[[#This Row],[Tech Start Date]],15),IF(Main[[#This Row],[Class]]="A",WORKDAY(Main[[#This Row],[Tech Start Date]],5),""))))</f>
        <v/>
      </c>
      <c r="P983" s="77" t="str">
        <f>IF(Main[[#This Row],[Tech Start Date]]&lt;1/1/1990,"",IF(Main[[#This Row],[Class]]="C",WORKDAY(Main[[#This Row],[Tech Start Date]],28),IF(Main[[#This Row],[Class]]="B", WORKDAY(Main[[#This Row],[Tech Start Date]],19),IF(Main[[#This Row],[Class]]="A",WORKDAY(Main[[#This Row],[Tech Start Date]],9),""))))</f>
        <v/>
      </c>
      <c r="Q983" s="74">
        <v>40724</v>
      </c>
      <c r="R983" s="74"/>
      <c r="S983" s="72" t="s">
        <v>6</v>
      </c>
      <c r="T983" s="80" t="s">
        <v>4</v>
      </c>
      <c r="U983" s="72" t="s">
        <v>7</v>
      </c>
      <c r="V983" s="72" t="s">
        <v>1937</v>
      </c>
      <c r="W983" s="72" t="s">
        <v>4</v>
      </c>
      <c r="X983" s="72" t="s">
        <v>2974</v>
      </c>
      <c r="Y983" s="72" t="s">
        <v>3096</v>
      </c>
      <c r="Z983" s="72" t="s">
        <v>4</v>
      </c>
    </row>
    <row r="984" spans="1:26" ht="18.600000000000001" customHeight="1">
      <c r="A984" s="142" t="str">
        <f>IF(priority(Main[[#This Row],[Comments]])&lt;&gt;0, priority(Main[[#This Row],[Comments]]),"")</f>
        <v/>
      </c>
      <c r="B984" s="90" t="s">
        <v>1811</v>
      </c>
      <c r="C984" s="72" t="s">
        <v>4</v>
      </c>
      <c r="D984" s="73" t="s">
        <v>848</v>
      </c>
      <c r="E984" s="74"/>
      <c r="F984" s="74"/>
      <c r="G984" s="75" t="str">
        <f>IF(stdProdLT(Main[[#This Row],[Comments]])=0.1,"N/A",IF(stdProdLT(Main[[#This Row],[Comments]])=0,"",stdProdLT(Main[[#This Row],[Comments]])))</f>
        <v/>
      </c>
      <c r="H984" s="76" t="str">
        <f>IF(AND(Main[[#This Row],[In Stock Date]]&lt;&gt;"",Main[[#This Row],[Revised Due Date]]&lt;&gt;""),Main[[#This Row],[In Stock Date]]-Main[[#This Row],[Revised Due Date]],"")</f>
        <v/>
      </c>
      <c r="I984" s="72" t="s">
        <v>4</v>
      </c>
      <c r="J984" s="72" t="s">
        <v>4</v>
      </c>
      <c r="K984" s="72" t="s">
        <v>4</v>
      </c>
      <c r="L984" s="74"/>
      <c r="M984" s="77" t="str">
        <f>IF(Main[[#This Row],[Tech Start Date]]&lt;1/1/1990,"",IF(Main[[#This Row],[Class]]="C",WORKDAY(Main[[#This Row],[Tech Start Date]],9),IF(Main[[#This Row],[Class]]="B", WORKDAY(Main[[#This Row],[Tech Start Date]],6),IF(Main[[#This Row],[Class]]="A",WORKDAY(Main[[#This Row],[Tech Start Date]],2),""))))</f>
        <v/>
      </c>
      <c r="N984" s="77" t="str">
        <f>IF(Main[[#This Row],[Tech Start Date]]&lt;1/1/1990,"",IF(Main[[#This Row],[Class]]="C",WORKDAY(Main[[#This Row],[Tech Start Date]],19),IF(Main[[#This Row],[Class]]="B", WORKDAY(Main[[#This Row],[Tech Start Date]],12),IF(Main[[#This Row],[Class]]="A",WORKDAY(Main[[#This Row],[Tech Start Date]],4),""))))</f>
        <v/>
      </c>
      <c r="O984" s="77" t="str">
        <f>IF(Main[[#This Row],[Tech Start Date]]&lt;1/1/1990,"",IF(Main[[#This Row],[Class]]="C",WORKDAY(Main[[#This Row],[Tech Start Date]],23),IF(Main[[#This Row],[Class]]="B", WORKDAY(Main[[#This Row],[Tech Start Date]],15),IF(Main[[#This Row],[Class]]="A",WORKDAY(Main[[#This Row],[Tech Start Date]],5),""))))</f>
        <v/>
      </c>
      <c r="P984" s="77" t="str">
        <f>IF(Main[[#This Row],[Tech Start Date]]&lt;1/1/1990,"",IF(Main[[#This Row],[Class]]="C",WORKDAY(Main[[#This Row],[Tech Start Date]],28),IF(Main[[#This Row],[Class]]="B", WORKDAY(Main[[#This Row],[Tech Start Date]],19),IF(Main[[#This Row],[Class]]="A",WORKDAY(Main[[#This Row],[Tech Start Date]],9),""))))</f>
        <v/>
      </c>
      <c r="Q984" s="74"/>
      <c r="R984" s="74"/>
      <c r="S984" s="72" t="s">
        <v>6</v>
      </c>
      <c r="T984" s="80" t="s">
        <v>4</v>
      </c>
      <c r="U984" s="72" t="s">
        <v>14</v>
      </c>
      <c r="V984" s="72" t="s">
        <v>1940</v>
      </c>
      <c r="W984" s="72" t="s">
        <v>1941</v>
      </c>
      <c r="X984" s="72" t="s">
        <v>50</v>
      </c>
      <c r="Y984" s="72" t="s">
        <v>4</v>
      </c>
      <c r="Z984" s="72" t="s">
        <v>4</v>
      </c>
    </row>
    <row r="985" spans="1:26" ht="18.600000000000001" customHeight="1">
      <c r="A985" s="142" t="str">
        <f>IF(priority(Main[[#This Row],[Comments]])&lt;&gt;0, priority(Main[[#This Row],[Comments]]),"")</f>
        <v/>
      </c>
      <c r="B985" s="90" t="s">
        <v>1812</v>
      </c>
      <c r="C985" s="72" t="s">
        <v>4</v>
      </c>
      <c r="D985" s="73" t="s">
        <v>849</v>
      </c>
      <c r="E985" s="74">
        <v>40686.396180555559</v>
      </c>
      <c r="F985" s="74"/>
      <c r="G985" s="75" t="str">
        <f>IF(stdProdLT(Main[[#This Row],[Comments]])=0.1,"N/A",IF(stdProdLT(Main[[#This Row],[Comments]])=0,"",stdProdLT(Main[[#This Row],[Comments]])))</f>
        <v/>
      </c>
      <c r="H985" s="76" t="str">
        <f>IF(AND(Main[[#This Row],[In Stock Date]]&lt;&gt;"",Main[[#This Row],[Revised Due Date]]&lt;&gt;""),Main[[#This Row],[In Stock Date]]-Main[[#This Row],[Revised Due Date]],"")</f>
        <v/>
      </c>
      <c r="I985" s="72" t="s">
        <v>4</v>
      </c>
      <c r="J985" s="72" t="s">
        <v>4</v>
      </c>
      <c r="K985" s="72" t="s">
        <v>4</v>
      </c>
      <c r="L985" s="74"/>
      <c r="M985" s="77" t="str">
        <f>IF(Main[[#This Row],[Tech Start Date]]&lt;1/1/1990,"",IF(Main[[#This Row],[Class]]="C",WORKDAY(Main[[#This Row],[Tech Start Date]],9),IF(Main[[#This Row],[Class]]="B", WORKDAY(Main[[#This Row],[Tech Start Date]],6),IF(Main[[#This Row],[Class]]="A",WORKDAY(Main[[#This Row],[Tech Start Date]],2),""))))</f>
        <v/>
      </c>
      <c r="N985" s="77" t="str">
        <f>IF(Main[[#This Row],[Tech Start Date]]&lt;1/1/1990,"",IF(Main[[#This Row],[Class]]="C",WORKDAY(Main[[#This Row],[Tech Start Date]],19),IF(Main[[#This Row],[Class]]="B", WORKDAY(Main[[#This Row],[Tech Start Date]],12),IF(Main[[#This Row],[Class]]="A",WORKDAY(Main[[#This Row],[Tech Start Date]],4),""))))</f>
        <v/>
      </c>
      <c r="O985" s="77" t="str">
        <f>IF(Main[[#This Row],[Tech Start Date]]&lt;1/1/1990,"",IF(Main[[#This Row],[Class]]="C",WORKDAY(Main[[#This Row],[Tech Start Date]],23),IF(Main[[#This Row],[Class]]="B", WORKDAY(Main[[#This Row],[Tech Start Date]],15),IF(Main[[#This Row],[Class]]="A",WORKDAY(Main[[#This Row],[Tech Start Date]],5),""))))</f>
        <v/>
      </c>
      <c r="P985" s="77" t="str">
        <f>IF(Main[[#This Row],[Tech Start Date]]&lt;1/1/1990,"",IF(Main[[#This Row],[Class]]="C",WORKDAY(Main[[#This Row],[Tech Start Date]],28),IF(Main[[#This Row],[Class]]="B", WORKDAY(Main[[#This Row],[Tech Start Date]],19),IF(Main[[#This Row],[Class]]="A",WORKDAY(Main[[#This Row],[Tech Start Date]],9),""))))</f>
        <v/>
      </c>
      <c r="Q985" s="74">
        <v>40704</v>
      </c>
      <c r="R985" s="74"/>
      <c r="S985" s="72" t="s">
        <v>6</v>
      </c>
      <c r="T985" s="80" t="s">
        <v>4</v>
      </c>
      <c r="U985" s="72" t="s">
        <v>7</v>
      </c>
      <c r="V985" s="72" t="s">
        <v>1937</v>
      </c>
      <c r="W985" s="72" t="s">
        <v>1941</v>
      </c>
      <c r="X985" s="72" t="s">
        <v>3018</v>
      </c>
      <c r="Y985" s="72" t="s">
        <v>3158</v>
      </c>
      <c r="Z985" s="72" t="s">
        <v>4</v>
      </c>
    </row>
    <row r="986" spans="1:26" ht="18.600000000000001" customHeight="1">
      <c r="A986" s="142" t="str">
        <f>IF(priority(Main[[#This Row],[Comments]])&lt;&gt;0, priority(Main[[#This Row],[Comments]]),"")</f>
        <v/>
      </c>
      <c r="B986" s="90" t="s">
        <v>1170</v>
      </c>
      <c r="C986" s="72" t="s">
        <v>4</v>
      </c>
      <c r="D986" s="73" t="s">
        <v>97</v>
      </c>
      <c r="E986" s="74">
        <v>40667.587465277778</v>
      </c>
      <c r="F986" s="74"/>
      <c r="G986" s="75" t="str">
        <f>IF(stdProdLT(Main[[#This Row],[Comments]])=0.1,"N/A",IF(stdProdLT(Main[[#This Row],[Comments]])=0,"",stdProdLT(Main[[#This Row],[Comments]])))</f>
        <v/>
      </c>
      <c r="H986" s="76" t="str">
        <f>IF(AND(Main[[#This Row],[In Stock Date]]&lt;&gt;"",Main[[#This Row],[Revised Due Date]]&lt;&gt;""),Main[[#This Row],[In Stock Date]]-Main[[#This Row],[Revised Due Date]],"")</f>
        <v/>
      </c>
      <c r="I986" s="72" t="s">
        <v>4</v>
      </c>
      <c r="J986" s="72" t="s">
        <v>4</v>
      </c>
      <c r="K986" s="72" t="s">
        <v>4</v>
      </c>
      <c r="L986" s="74"/>
      <c r="M986" s="77" t="str">
        <f>IF(Main[[#This Row],[Tech Start Date]]&lt;1/1/1990,"",IF(Main[[#This Row],[Class]]="C",WORKDAY(Main[[#This Row],[Tech Start Date]],9),IF(Main[[#This Row],[Class]]="B", WORKDAY(Main[[#This Row],[Tech Start Date]],6),IF(Main[[#This Row],[Class]]="A",WORKDAY(Main[[#This Row],[Tech Start Date]],2),""))))</f>
        <v/>
      </c>
      <c r="N986" s="77" t="str">
        <f>IF(Main[[#This Row],[Tech Start Date]]&lt;1/1/1990,"",IF(Main[[#This Row],[Class]]="C",WORKDAY(Main[[#This Row],[Tech Start Date]],19),IF(Main[[#This Row],[Class]]="B", WORKDAY(Main[[#This Row],[Tech Start Date]],12),IF(Main[[#This Row],[Class]]="A",WORKDAY(Main[[#This Row],[Tech Start Date]],4),""))))</f>
        <v/>
      </c>
      <c r="O986" s="77" t="str">
        <f>IF(Main[[#This Row],[Tech Start Date]]&lt;1/1/1990,"",IF(Main[[#This Row],[Class]]="C",WORKDAY(Main[[#This Row],[Tech Start Date]],23),IF(Main[[#This Row],[Class]]="B", WORKDAY(Main[[#This Row],[Tech Start Date]],15),IF(Main[[#This Row],[Class]]="A",WORKDAY(Main[[#This Row],[Tech Start Date]],5),""))))</f>
        <v/>
      </c>
      <c r="P986" s="77" t="str">
        <f>IF(Main[[#This Row],[Tech Start Date]]&lt;1/1/1990,"",IF(Main[[#This Row],[Class]]="C",WORKDAY(Main[[#This Row],[Tech Start Date]],28),IF(Main[[#This Row],[Class]]="B", WORKDAY(Main[[#This Row],[Tech Start Date]],19),IF(Main[[#This Row],[Class]]="A",WORKDAY(Main[[#This Row],[Tech Start Date]],9),""))))</f>
        <v/>
      </c>
      <c r="Q986" s="74">
        <v>40858</v>
      </c>
      <c r="R986" s="74"/>
      <c r="S986" s="72" t="s">
        <v>17</v>
      </c>
      <c r="T986" s="80" t="s">
        <v>4</v>
      </c>
      <c r="U986" s="72" t="s">
        <v>7</v>
      </c>
      <c r="V986" s="72" t="s">
        <v>1937</v>
      </c>
      <c r="W986" s="72" t="s">
        <v>1942</v>
      </c>
      <c r="X986" s="72" t="s">
        <v>50</v>
      </c>
      <c r="Y986" s="72" t="s">
        <v>3117</v>
      </c>
      <c r="Z986" s="72" t="s">
        <v>4</v>
      </c>
    </row>
    <row r="987" spans="1:26" ht="18.600000000000001" customHeight="1">
      <c r="A987" s="142" t="str">
        <f>IF(priority(Main[[#This Row],[Comments]])&lt;&gt;0, priority(Main[[#This Row],[Comments]]),"")</f>
        <v/>
      </c>
      <c r="B987" s="90" t="s">
        <v>1813</v>
      </c>
      <c r="C987" s="72" t="s">
        <v>4</v>
      </c>
      <c r="D987" s="73" t="s">
        <v>97</v>
      </c>
      <c r="E987" s="74"/>
      <c r="F987" s="74"/>
      <c r="G987" s="75" t="str">
        <f>IF(stdProdLT(Main[[#This Row],[Comments]])=0.1,"N/A",IF(stdProdLT(Main[[#This Row],[Comments]])=0,"",stdProdLT(Main[[#This Row],[Comments]])))</f>
        <v/>
      </c>
      <c r="H987" s="76" t="str">
        <f>IF(AND(Main[[#This Row],[In Stock Date]]&lt;&gt;"",Main[[#This Row],[Revised Due Date]]&lt;&gt;""),Main[[#This Row],[In Stock Date]]-Main[[#This Row],[Revised Due Date]],"")</f>
        <v/>
      </c>
      <c r="I987" s="72" t="s">
        <v>4</v>
      </c>
      <c r="J987" s="72" t="s">
        <v>4</v>
      </c>
      <c r="K987" s="72" t="s">
        <v>4</v>
      </c>
      <c r="L987" s="74"/>
      <c r="M987" s="77" t="str">
        <f>IF(Main[[#This Row],[Tech Start Date]]&lt;1/1/1990,"",IF(Main[[#This Row],[Class]]="C",WORKDAY(Main[[#This Row],[Tech Start Date]],9),IF(Main[[#This Row],[Class]]="B", WORKDAY(Main[[#This Row],[Tech Start Date]],6),IF(Main[[#This Row],[Class]]="A",WORKDAY(Main[[#This Row],[Tech Start Date]],2),""))))</f>
        <v/>
      </c>
      <c r="N987" s="77" t="str">
        <f>IF(Main[[#This Row],[Tech Start Date]]&lt;1/1/1990,"",IF(Main[[#This Row],[Class]]="C",WORKDAY(Main[[#This Row],[Tech Start Date]],19),IF(Main[[#This Row],[Class]]="B", WORKDAY(Main[[#This Row],[Tech Start Date]],12),IF(Main[[#This Row],[Class]]="A",WORKDAY(Main[[#This Row],[Tech Start Date]],4),""))))</f>
        <v/>
      </c>
      <c r="O987" s="77" t="str">
        <f>IF(Main[[#This Row],[Tech Start Date]]&lt;1/1/1990,"",IF(Main[[#This Row],[Class]]="C",WORKDAY(Main[[#This Row],[Tech Start Date]],23),IF(Main[[#This Row],[Class]]="B", WORKDAY(Main[[#This Row],[Tech Start Date]],15),IF(Main[[#This Row],[Class]]="A",WORKDAY(Main[[#This Row],[Tech Start Date]],5),""))))</f>
        <v/>
      </c>
      <c r="P987" s="77" t="str">
        <f>IF(Main[[#This Row],[Tech Start Date]]&lt;1/1/1990,"",IF(Main[[#This Row],[Class]]="C",WORKDAY(Main[[#This Row],[Tech Start Date]],28),IF(Main[[#This Row],[Class]]="B", WORKDAY(Main[[#This Row],[Tech Start Date]],19),IF(Main[[#This Row],[Class]]="A",WORKDAY(Main[[#This Row],[Tech Start Date]],9),""))))</f>
        <v/>
      </c>
      <c r="Q987" s="74">
        <v>40858</v>
      </c>
      <c r="R987" s="74"/>
      <c r="S987" s="72" t="s">
        <v>17</v>
      </c>
      <c r="T987" s="80" t="s">
        <v>4</v>
      </c>
      <c r="U987" s="72" t="s">
        <v>14</v>
      </c>
      <c r="V987" s="72" t="s">
        <v>1937</v>
      </c>
      <c r="W987" s="72" t="s">
        <v>1942</v>
      </c>
      <c r="X987" s="72" t="s">
        <v>50</v>
      </c>
      <c r="Y987" s="72" t="s">
        <v>3117</v>
      </c>
      <c r="Z987" s="72" t="s">
        <v>4</v>
      </c>
    </row>
    <row r="988" spans="1:26" ht="18.600000000000001" customHeight="1">
      <c r="A988" s="142" t="str">
        <f>IF(priority(Main[[#This Row],[Comments]])&lt;&gt;0, priority(Main[[#This Row],[Comments]]),"")</f>
        <v/>
      </c>
      <c r="B988" s="90" t="s">
        <v>3079</v>
      </c>
      <c r="C988" s="72" t="s">
        <v>4</v>
      </c>
      <c r="D988" s="73" t="s">
        <v>3341</v>
      </c>
      <c r="E988" s="74">
        <v>40918.708495370367</v>
      </c>
      <c r="F988" s="74"/>
      <c r="G988" s="75" t="str">
        <f>IF(stdProdLT(Main[[#This Row],[Comments]])=0.1,"N/A",IF(stdProdLT(Main[[#This Row],[Comments]])=0,"",stdProdLT(Main[[#This Row],[Comments]])))</f>
        <v/>
      </c>
      <c r="H988" s="76" t="str">
        <f>IF(AND(Main[[#This Row],[In Stock Date]]&lt;&gt;"",Main[[#This Row],[Revised Due Date]]&lt;&gt;""),Main[[#This Row],[In Stock Date]]-Main[[#This Row],[Revised Due Date]],"")</f>
        <v/>
      </c>
      <c r="I988" s="72" t="s">
        <v>129</v>
      </c>
      <c r="J988" s="72" t="s">
        <v>21</v>
      </c>
      <c r="K988" s="72" t="s">
        <v>4</v>
      </c>
      <c r="L988" s="74"/>
      <c r="M988" s="77" t="str">
        <f>IF(Main[[#This Row],[Tech Start Date]]&lt;1/1/1990,"",IF(Main[[#This Row],[Class]]="C",WORKDAY(Main[[#This Row],[Tech Start Date]],9),IF(Main[[#This Row],[Class]]="B", WORKDAY(Main[[#This Row],[Tech Start Date]],6),IF(Main[[#This Row],[Class]]="A",WORKDAY(Main[[#This Row],[Tech Start Date]],2),""))))</f>
        <v/>
      </c>
      <c r="N988" s="77" t="str">
        <f>IF(Main[[#This Row],[Tech Start Date]]&lt;1/1/1990,"",IF(Main[[#This Row],[Class]]="C",WORKDAY(Main[[#This Row],[Tech Start Date]],19),IF(Main[[#This Row],[Class]]="B", WORKDAY(Main[[#This Row],[Tech Start Date]],12),IF(Main[[#This Row],[Class]]="A",WORKDAY(Main[[#This Row],[Tech Start Date]],4),""))))</f>
        <v/>
      </c>
      <c r="O988" s="77" t="str">
        <f>IF(Main[[#This Row],[Tech Start Date]]&lt;1/1/1990,"",IF(Main[[#This Row],[Class]]="C",WORKDAY(Main[[#This Row],[Tech Start Date]],23),IF(Main[[#This Row],[Class]]="B", WORKDAY(Main[[#This Row],[Tech Start Date]],15),IF(Main[[#This Row],[Class]]="A",WORKDAY(Main[[#This Row],[Tech Start Date]],5),""))))</f>
        <v/>
      </c>
      <c r="P988" s="77" t="str">
        <f>IF(Main[[#This Row],[Tech Start Date]]&lt;1/1/1990,"",IF(Main[[#This Row],[Class]]="C",WORKDAY(Main[[#This Row],[Tech Start Date]],28),IF(Main[[#This Row],[Class]]="B", WORKDAY(Main[[#This Row],[Tech Start Date]],19),IF(Main[[#This Row],[Class]]="A",WORKDAY(Main[[#This Row],[Tech Start Date]],9),""))))</f>
        <v/>
      </c>
      <c r="Q988" s="74"/>
      <c r="R988" s="74"/>
      <c r="S988" s="72" t="s">
        <v>6</v>
      </c>
      <c r="T988" s="80" t="s">
        <v>4</v>
      </c>
      <c r="U988" s="72" t="s">
        <v>29</v>
      </c>
      <c r="V988" s="72" t="s">
        <v>1937</v>
      </c>
      <c r="W988" s="72" t="s">
        <v>1939</v>
      </c>
      <c r="X988" s="72" t="s">
        <v>129</v>
      </c>
      <c r="Y988" s="72" t="s">
        <v>3091</v>
      </c>
      <c r="Z988" s="72" t="s">
        <v>129</v>
      </c>
    </row>
    <row r="989" spans="1:26" ht="18.600000000000001" customHeight="1">
      <c r="A989" s="142" t="str">
        <f>IF(priority(Main[[#This Row],[Comments]])&lt;&gt;0, priority(Main[[#This Row],[Comments]]),"")</f>
        <v/>
      </c>
      <c r="B989" s="90" t="s">
        <v>1814</v>
      </c>
      <c r="C989" s="72" t="s">
        <v>4</v>
      </c>
      <c r="D989" s="73" t="s">
        <v>850</v>
      </c>
      <c r="E989" s="74"/>
      <c r="F989" s="74">
        <v>40574</v>
      </c>
      <c r="G989" s="75" t="str">
        <f>IF(stdProdLT(Main[[#This Row],[Comments]])=0.1,"N/A",IF(stdProdLT(Main[[#This Row],[Comments]])=0,"",stdProdLT(Main[[#This Row],[Comments]])))</f>
        <v/>
      </c>
      <c r="H989" s="76" t="str">
        <f>IF(AND(Main[[#This Row],[In Stock Date]]&lt;&gt;"",Main[[#This Row],[Revised Due Date]]&lt;&gt;""),Main[[#This Row],[In Stock Date]]-Main[[#This Row],[Revised Due Date]],"")</f>
        <v/>
      </c>
      <c r="I989" s="72" t="s">
        <v>4</v>
      </c>
      <c r="J989" s="72" t="s">
        <v>4</v>
      </c>
      <c r="K989" s="72" t="s">
        <v>4</v>
      </c>
      <c r="L989" s="74"/>
      <c r="M989" s="77" t="str">
        <f>IF(Main[[#This Row],[Tech Start Date]]&lt;1/1/1990,"",IF(Main[[#This Row],[Class]]="C",WORKDAY(Main[[#This Row],[Tech Start Date]],9),IF(Main[[#This Row],[Class]]="B", WORKDAY(Main[[#This Row],[Tech Start Date]],6),IF(Main[[#This Row],[Class]]="A",WORKDAY(Main[[#This Row],[Tech Start Date]],2),""))))</f>
        <v/>
      </c>
      <c r="N989" s="77" t="str">
        <f>IF(Main[[#This Row],[Tech Start Date]]&lt;1/1/1990,"",IF(Main[[#This Row],[Class]]="C",WORKDAY(Main[[#This Row],[Tech Start Date]],19),IF(Main[[#This Row],[Class]]="B", WORKDAY(Main[[#This Row],[Tech Start Date]],12),IF(Main[[#This Row],[Class]]="A",WORKDAY(Main[[#This Row],[Tech Start Date]],4),""))))</f>
        <v/>
      </c>
      <c r="O989" s="77" t="str">
        <f>IF(Main[[#This Row],[Tech Start Date]]&lt;1/1/1990,"",IF(Main[[#This Row],[Class]]="C",WORKDAY(Main[[#This Row],[Tech Start Date]],23),IF(Main[[#This Row],[Class]]="B", WORKDAY(Main[[#This Row],[Tech Start Date]],15),IF(Main[[#This Row],[Class]]="A",WORKDAY(Main[[#This Row],[Tech Start Date]],5),""))))</f>
        <v/>
      </c>
      <c r="P989" s="77" t="str">
        <f>IF(Main[[#This Row],[Tech Start Date]]&lt;1/1/1990,"",IF(Main[[#This Row],[Class]]="C",WORKDAY(Main[[#This Row],[Tech Start Date]],28),IF(Main[[#This Row],[Class]]="B", WORKDAY(Main[[#This Row],[Tech Start Date]],19),IF(Main[[#This Row],[Class]]="A",WORKDAY(Main[[#This Row],[Tech Start Date]],9),""))))</f>
        <v/>
      </c>
      <c r="Q989" s="74"/>
      <c r="R989" s="74"/>
      <c r="S989" s="72" t="s">
        <v>17</v>
      </c>
      <c r="T989" s="80" t="s">
        <v>4</v>
      </c>
      <c r="U989" s="72" t="s">
        <v>14</v>
      </c>
      <c r="V989" s="72" t="s">
        <v>1940</v>
      </c>
      <c r="W989" s="72" t="s">
        <v>1942</v>
      </c>
      <c r="X989" s="72" t="s">
        <v>50</v>
      </c>
      <c r="Y989" s="72" t="s">
        <v>3143</v>
      </c>
      <c r="Z989" s="72" t="s">
        <v>4</v>
      </c>
    </row>
    <row r="990" spans="1:26" ht="18.600000000000001" customHeight="1">
      <c r="A990" s="142" t="str">
        <f>IF(priority(Main[[#This Row],[Comments]])&lt;&gt;0, priority(Main[[#This Row],[Comments]]),"")</f>
        <v/>
      </c>
      <c r="B990" s="90" t="s">
        <v>1815</v>
      </c>
      <c r="C990" s="72" t="s">
        <v>93</v>
      </c>
      <c r="D990" s="73" t="s">
        <v>851</v>
      </c>
      <c r="E990" s="74"/>
      <c r="F990" s="74">
        <v>40132</v>
      </c>
      <c r="G990" s="75" t="str">
        <f>IF(stdProdLT(Main[[#This Row],[Comments]])=0.1,"N/A",IF(stdProdLT(Main[[#This Row],[Comments]])=0,"",stdProdLT(Main[[#This Row],[Comments]])))</f>
        <v/>
      </c>
      <c r="H990" s="76" t="str">
        <f>IF(AND(Main[[#This Row],[In Stock Date]]&lt;&gt;"",Main[[#This Row],[Revised Due Date]]&lt;&gt;""),Main[[#This Row],[In Stock Date]]-Main[[#This Row],[Revised Due Date]],"")</f>
        <v/>
      </c>
      <c r="I990" s="72" t="s">
        <v>4</v>
      </c>
      <c r="J990" s="72" t="s">
        <v>4</v>
      </c>
      <c r="K990" s="72" t="s">
        <v>4</v>
      </c>
      <c r="L990" s="74"/>
      <c r="M990" s="77" t="str">
        <f>IF(Main[[#This Row],[Tech Start Date]]&lt;1/1/1990,"",IF(Main[[#This Row],[Class]]="C",WORKDAY(Main[[#This Row],[Tech Start Date]],9),IF(Main[[#This Row],[Class]]="B", WORKDAY(Main[[#This Row],[Tech Start Date]],6),IF(Main[[#This Row],[Class]]="A",WORKDAY(Main[[#This Row],[Tech Start Date]],2),""))))</f>
        <v/>
      </c>
      <c r="N990" s="77" t="str">
        <f>IF(Main[[#This Row],[Tech Start Date]]&lt;1/1/1990,"",IF(Main[[#This Row],[Class]]="C",WORKDAY(Main[[#This Row],[Tech Start Date]],19),IF(Main[[#This Row],[Class]]="B", WORKDAY(Main[[#This Row],[Tech Start Date]],12),IF(Main[[#This Row],[Class]]="A",WORKDAY(Main[[#This Row],[Tech Start Date]],4),""))))</f>
        <v/>
      </c>
      <c r="O990" s="77" t="str">
        <f>IF(Main[[#This Row],[Tech Start Date]]&lt;1/1/1990,"",IF(Main[[#This Row],[Class]]="C",WORKDAY(Main[[#This Row],[Tech Start Date]],23),IF(Main[[#This Row],[Class]]="B", WORKDAY(Main[[#This Row],[Tech Start Date]],15),IF(Main[[#This Row],[Class]]="A",WORKDAY(Main[[#This Row],[Tech Start Date]],5),""))))</f>
        <v/>
      </c>
      <c r="P990" s="77" t="str">
        <f>IF(Main[[#This Row],[Tech Start Date]]&lt;1/1/1990,"",IF(Main[[#This Row],[Class]]="C",WORKDAY(Main[[#This Row],[Tech Start Date]],28),IF(Main[[#This Row],[Class]]="B", WORKDAY(Main[[#This Row],[Tech Start Date]],19),IF(Main[[#This Row],[Class]]="A",WORKDAY(Main[[#This Row],[Tech Start Date]],9),""))))</f>
        <v/>
      </c>
      <c r="Q990" s="74">
        <v>40132</v>
      </c>
      <c r="R990" s="74"/>
      <c r="S990" s="72" t="s">
        <v>11</v>
      </c>
      <c r="T990" s="80" t="s">
        <v>4</v>
      </c>
      <c r="U990" s="72" t="s">
        <v>14</v>
      </c>
      <c r="V990" s="72" t="s">
        <v>1940</v>
      </c>
      <c r="W990" s="72" t="s">
        <v>1948</v>
      </c>
      <c r="X990" s="72" t="s">
        <v>3008</v>
      </c>
      <c r="Y990" s="72" t="s">
        <v>4</v>
      </c>
      <c r="Z990" s="72" t="s">
        <v>4</v>
      </c>
    </row>
    <row r="991" spans="1:26" ht="18.600000000000001" customHeight="1">
      <c r="A991" s="142" t="str">
        <f>IF(priority(Main[[#This Row],[Comments]])&lt;&gt;0, priority(Main[[#This Row],[Comments]]),"")</f>
        <v/>
      </c>
      <c r="B991" s="90" t="s">
        <v>1816</v>
      </c>
      <c r="C991" s="72" t="s">
        <v>113</v>
      </c>
      <c r="D991" s="73" t="s">
        <v>852</v>
      </c>
      <c r="E991" s="74"/>
      <c r="F991" s="74"/>
      <c r="G991" s="75" t="str">
        <f>IF(stdProdLT(Main[[#This Row],[Comments]])=0.1,"N/A",IF(stdProdLT(Main[[#This Row],[Comments]])=0,"",stdProdLT(Main[[#This Row],[Comments]])))</f>
        <v/>
      </c>
      <c r="H991" s="76" t="str">
        <f>IF(AND(Main[[#This Row],[In Stock Date]]&lt;&gt;"",Main[[#This Row],[Revised Due Date]]&lt;&gt;""),Main[[#This Row],[In Stock Date]]-Main[[#This Row],[Revised Due Date]],"")</f>
        <v/>
      </c>
      <c r="I991" s="72" t="s">
        <v>4</v>
      </c>
      <c r="J991" s="72" t="s">
        <v>28</v>
      </c>
      <c r="K991" s="72" t="s">
        <v>1949</v>
      </c>
      <c r="L991" s="74"/>
      <c r="M991" s="77" t="str">
        <f>IF(Main[[#This Row],[Tech Start Date]]&lt;1/1/1990,"",IF(Main[[#This Row],[Class]]="C",WORKDAY(Main[[#This Row],[Tech Start Date]],9),IF(Main[[#This Row],[Class]]="B", WORKDAY(Main[[#This Row],[Tech Start Date]],6),IF(Main[[#This Row],[Class]]="A",WORKDAY(Main[[#This Row],[Tech Start Date]],2),""))))</f>
        <v/>
      </c>
      <c r="N991" s="77" t="str">
        <f>IF(Main[[#This Row],[Tech Start Date]]&lt;1/1/1990,"",IF(Main[[#This Row],[Class]]="C",WORKDAY(Main[[#This Row],[Tech Start Date]],19),IF(Main[[#This Row],[Class]]="B", WORKDAY(Main[[#This Row],[Tech Start Date]],12),IF(Main[[#This Row],[Class]]="A",WORKDAY(Main[[#This Row],[Tech Start Date]],4),""))))</f>
        <v/>
      </c>
      <c r="O991" s="77" t="str">
        <f>IF(Main[[#This Row],[Tech Start Date]]&lt;1/1/1990,"",IF(Main[[#This Row],[Class]]="C",WORKDAY(Main[[#This Row],[Tech Start Date]],23),IF(Main[[#This Row],[Class]]="B", WORKDAY(Main[[#This Row],[Tech Start Date]],15),IF(Main[[#This Row],[Class]]="A",WORKDAY(Main[[#This Row],[Tech Start Date]],5),""))))</f>
        <v/>
      </c>
      <c r="P991" s="77" t="str">
        <f>IF(Main[[#This Row],[Tech Start Date]]&lt;1/1/1990,"",IF(Main[[#This Row],[Class]]="C",WORKDAY(Main[[#This Row],[Tech Start Date]],28),IF(Main[[#This Row],[Class]]="B", WORKDAY(Main[[#This Row],[Tech Start Date]],19),IF(Main[[#This Row],[Class]]="A",WORKDAY(Main[[#This Row],[Tech Start Date]],9),""))))</f>
        <v/>
      </c>
      <c r="Q991" s="74"/>
      <c r="R991" s="74"/>
      <c r="S991" s="72" t="s">
        <v>17</v>
      </c>
      <c r="T991" s="80" t="s">
        <v>4</v>
      </c>
      <c r="U991" s="72" t="s">
        <v>14</v>
      </c>
      <c r="V991" s="72" t="s">
        <v>1938</v>
      </c>
      <c r="W991" s="72" t="s">
        <v>1945</v>
      </c>
      <c r="X991" s="72" t="s">
        <v>50</v>
      </c>
      <c r="Y991" s="72" t="s">
        <v>3270</v>
      </c>
      <c r="Z991" s="72" t="s">
        <v>991</v>
      </c>
    </row>
    <row r="992" spans="1:26" ht="18.600000000000001" customHeight="1">
      <c r="A992" s="142" t="str">
        <f>IF(priority(Main[[#This Row],[Comments]])&lt;&gt;0, priority(Main[[#This Row],[Comments]]),"")</f>
        <v/>
      </c>
      <c r="B992" s="90" t="s">
        <v>1818</v>
      </c>
      <c r="C992" s="72" t="s">
        <v>4</v>
      </c>
      <c r="D992" s="73" t="s">
        <v>854</v>
      </c>
      <c r="E992" s="74"/>
      <c r="F992" s="74">
        <v>40435</v>
      </c>
      <c r="G992" s="75" t="str">
        <f>IF(stdProdLT(Main[[#This Row],[Comments]])=0.1,"N/A",IF(stdProdLT(Main[[#This Row],[Comments]])=0,"",stdProdLT(Main[[#This Row],[Comments]])))</f>
        <v/>
      </c>
      <c r="H992" s="76" t="str">
        <f>IF(AND(Main[[#This Row],[In Stock Date]]&lt;&gt;"",Main[[#This Row],[Revised Due Date]]&lt;&gt;""),Main[[#This Row],[In Stock Date]]-Main[[#This Row],[Revised Due Date]],"")</f>
        <v/>
      </c>
      <c r="I992" s="72" t="s">
        <v>4</v>
      </c>
      <c r="J992" s="72" t="s">
        <v>28</v>
      </c>
      <c r="K992" s="72" t="s">
        <v>4</v>
      </c>
      <c r="L992" s="74"/>
      <c r="M992" s="77" t="str">
        <f>IF(Main[[#This Row],[Tech Start Date]]&lt;1/1/1990,"",IF(Main[[#This Row],[Class]]="C",WORKDAY(Main[[#This Row],[Tech Start Date]],9),IF(Main[[#This Row],[Class]]="B", WORKDAY(Main[[#This Row],[Tech Start Date]],6),IF(Main[[#This Row],[Class]]="A",WORKDAY(Main[[#This Row],[Tech Start Date]],2),""))))</f>
        <v/>
      </c>
      <c r="N992" s="77" t="str">
        <f>IF(Main[[#This Row],[Tech Start Date]]&lt;1/1/1990,"",IF(Main[[#This Row],[Class]]="C",WORKDAY(Main[[#This Row],[Tech Start Date]],19),IF(Main[[#This Row],[Class]]="B", WORKDAY(Main[[#This Row],[Tech Start Date]],12),IF(Main[[#This Row],[Class]]="A",WORKDAY(Main[[#This Row],[Tech Start Date]],4),""))))</f>
        <v/>
      </c>
      <c r="O992" s="77" t="str">
        <f>IF(Main[[#This Row],[Tech Start Date]]&lt;1/1/1990,"",IF(Main[[#This Row],[Class]]="C",WORKDAY(Main[[#This Row],[Tech Start Date]],23),IF(Main[[#This Row],[Class]]="B", WORKDAY(Main[[#This Row],[Tech Start Date]],15),IF(Main[[#This Row],[Class]]="A",WORKDAY(Main[[#This Row],[Tech Start Date]],5),""))))</f>
        <v/>
      </c>
      <c r="P992" s="77" t="str">
        <f>IF(Main[[#This Row],[Tech Start Date]]&lt;1/1/1990,"",IF(Main[[#This Row],[Class]]="C",WORKDAY(Main[[#This Row],[Tech Start Date]],28),IF(Main[[#This Row],[Class]]="B", WORKDAY(Main[[#This Row],[Tech Start Date]],19),IF(Main[[#This Row],[Class]]="A",WORKDAY(Main[[#This Row],[Tech Start Date]],9),""))))</f>
        <v/>
      </c>
      <c r="Q992" s="74"/>
      <c r="R992" s="74"/>
      <c r="S992" s="72" t="s">
        <v>11</v>
      </c>
      <c r="T992" s="80" t="s">
        <v>4</v>
      </c>
      <c r="U992" s="72" t="s">
        <v>14</v>
      </c>
      <c r="V992" s="72" t="s">
        <v>1940</v>
      </c>
      <c r="W992" s="72" t="s">
        <v>1942</v>
      </c>
      <c r="X992" s="72" t="s">
        <v>2989</v>
      </c>
      <c r="Y992" s="72" t="s">
        <v>3124</v>
      </c>
      <c r="Z992" s="72" t="s">
        <v>536</v>
      </c>
    </row>
    <row r="993" spans="1:26" ht="18.600000000000001" customHeight="1">
      <c r="A993" s="142" t="str">
        <f>IF(priority(Main[[#This Row],[Comments]])&lt;&gt;0, priority(Main[[#This Row],[Comments]]),"")</f>
        <v/>
      </c>
      <c r="B993" s="90" t="s">
        <v>1819</v>
      </c>
      <c r="C993" s="72" t="s">
        <v>99</v>
      </c>
      <c r="D993" s="73" t="s">
        <v>855</v>
      </c>
      <c r="E993" s="74"/>
      <c r="F993" s="74">
        <v>40435</v>
      </c>
      <c r="G993" s="75" t="str">
        <f>IF(stdProdLT(Main[[#This Row],[Comments]])=0.1,"N/A",IF(stdProdLT(Main[[#This Row],[Comments]])=0,"",stdProdLT(Main[[#This Row],[Comments]])))</f>
        <v/>
      </c>
      <c r="H993" s="76" t="str">
        <f>IF(AND(Main[[#This Row],[In Stock Date]]&lt;&gt;"",Main[[#This Row],[Revised Due Date]]&lt;&gt;""),Main[[#This Row],[In Stock Date]]-Main[[#This Row],[Revised Due Date]],"")</f>
        <v/>
      </c>
      <c r="I993" s="72" t="s">
        <v>4</v>
      </c>
      <c r="J993" s="72" t="s">
        <v>28</v>
      </c>
      <c r="K993" s="72" t="s">
        <v>4</v>
      </c>
      <c r="L993" s="74"/>
      <c r="M993" s="77" t="str">
        <f>IF(Main[[#This Row],[Tech Start Date]]&lt;1/1/1990,"",IF(Main[[#This Row],[Class]]="C",WORKDAY(Main[[#This Row],[Tech Start Date]],9),IF(Main[[#This Row],[Class]]="B", WORKDAY(Main[[#This Row],[Tech Start Date]],6),IF(Main[[#This Row],[Class]]="A",WORKDAY(Main[[#This Row],[Tech Start Date]],2),""))))</f>
        <v/>
      </c>
      <c r="N993" s="77" t="str">
        <f>IF(Main[[#This Row],[Tech Start Date]]&lt;1/1/1990,"",IF(Main[[#This Row],[Class]]="C",WORKDAY(Main[[#This Row],[Tech Start Date]],19),IF(Main[[#This Row],[Class]]="B", WORKDAY(Main[[#This Row],[Tech Start Date]],12),IF(Main[[#This Row],[Class]]="A",WORKDAY(Main[[#This Row],[Tech Start Date]],4),""))))</f>
        <v/>
      </c>
      <c r="O993" s="77" t="str">
        <f>IF(Main[[#This Row],[Tech Start Date]]&lt;1/1/1990,"",IF(Main[[#This Row],[Class]]="C",WORKDAY(Main[[#This Row],[Tech Start Date]],23),IF(Main[[#This Row],[Class]]="B", WORKDAY(Main[[#This Row],[Tech Start Date]],15),IF(Main[[#This Row],[Class]]="A",WORKDAY(Main[[#This Row],[Tech Start Date]],5),""))))</f>
        <v/>
      </c>
      <c r="P993" s="77" t="str">
        <f>IF(Main[[#This Row],[Tech Start Date]]&lt;1/1/1990,"",IF(Main[[#This Row],[Class]]="C",WORKDAY(Main[[#This Row],[Tech Start Date]],28),IF(Main[[#This Row],[Class]]="B", WORKDAY(Main[[#This Row],[Tech Start Date]],19),IF(Main[[#This Row],[Class]]="A",WORKDAY(Main[[#This Row],[Tech Start Date]],9),""))))</f>
        <v/>
      </c>
      <c r="Q993" s="74">
        <v>40435</v>
      </c>
      <c r="R993" s="74"/>
      <c r="S993" s="72" t="s">
        <v>11</v>
      </c>
      <c r="T993" s="80" t="s">
        <v>4</v>
      </c>
      <c r="U993" s="72" t="s">
        <v>14</v>
      </c>
      <c r="V993" s="72" t="s">
        <v>1940</v>
      </c>
      <c r="W993" s="72" t="s">
        <v>1942</v>
      </c>
      <c r="X993" s="72" t="s">
        <v>2989</v>
      </c>
      <c r="Y993" s="72" t="s">
        <v>3124</v>
      </c>
      <c r="Z993" s="72" t="s">
        <v>536</v>
      </c>
    </row>
    <row r="994" spans="1:26" ht="18.600000000000001" customHeight="1">
      <c r="A994" s="142" t="str">
        <f>IF(priority(Main[[#This Row],[Comments]])&lt;&gt;0, priority(Main[[#This Row],[Comments]]),"")</f>
        <v/>
      </c>
      <c r="B994" s="90" t="s">
        <v>1805</v>
      </c>
      <c r="C994" s="72" t="s">
        <v>840</v>
      </c>
      <c r="D994" s="73" t="s">
        <v>841</v>
      </c>
      <c r="E994" s="74"/>
      <c r="F994" s="74"/>
      <c r="G994" s="75" t="str">
        <f>IF(stdProdLT(Main[[#This Row],[Comments]])=0.1,"N/A",IF(stdProdLT(Main[[#This Row],[Comments]])=0,"",stdProdLT(Main[[#This Row],[Comments]])))</f>
        <v/>
      </c>
      <c r="H994" s="76" t="str">
        <f>IF(AND(Main[[#This Row],[In Stock Date]]&lt;&gt;"",Main[[#This Row],[Revised Due Date]]&lt;&gt;""),Main[[#This Row],[In Stock Date]]-Main[[#This Row],[Revised Due Date]],"")</f>
        <v/>
      </c>
      <c r="I994" s="72" t="s">
        <v>4</v>
      </c>
      <c r="J994" s="72" t="s">
        <v>4</v>
      </c>
      <c r="K994" s="72" t="s">
        <v>4</v>
      </c>
      <c r="L994" s="74"/>
      <c r="M994" s="77" t="str">
        <f>IF(Main[[#This Row],[Tech Start Date]]&lt;1/1/1990,"",IF(Main[[#This Row],[Class]]="C",WORKDAY(Main[[#This Row],[Tech Start Date]],9),IF(Main[[#This Row],[Class]]="B", WORKDAY(Main[[#This Row],[Tech Start Date]],6),IF(Main[[#This Row],[Class]]="A",WORKDAY(Main[[#This Row],[Tech Start Date]],2),""))))</f>
        <v/>
      </c>
      <c r="N994" s="77" t="str">
        <f>IF(Main[[#This Row],[Tech Start Date]]&lt;1/1/1990,"",IF(Main[[#This Row],[Class]]="C",WORKDAY(Main[[#This Row],[Tech Start Date]],19),IF(Main[[#This Row],[Class]]="B", WORKDAY(Main[[#This Row],[Tech Start Date]],12),IF(Main[[#This Row],[Class]]="A",WORKDAY(Main[[#This Row],[Tech Start Date]],4),""))))</f>
        <v/>
      </c>
      <c r="O994" s="77" t="str">
        <f>IF(Main[[#This Row],[Tech Start Date]]&lt;1/1/1990,"",IF(Main[[#This Row],[Class]]="C",WORKDAY(Main[[#This Row],[Tech Start Date]],23),IF(Main[[#This Row],[Class]]="B", WORKDAY(Main[[#This Row],[Tech Start Date]],15),IF(Main[[#This Row],[Class]]="A",WORKDAY(Main[[#This Row],[Tech Start Date]],5),""))))</f>
        <v/>
      </c>
      <c r="P994" s="77" t="str">
        <f>IF(Main[[#This Row],[Tech Start Date]]&lt;1/1/1990,"",IF(Main[[#This Row],[Class]]="C",WORKDAY(Main[[#This Row],[Tech Start Date]],28),IF(Main[[#This Row],[Class]]="B", WORKDAY(Main[[#This Row],[Tech Start Date]],19),IF(Main[[#This Row],[Class]]="A",WORKDAY(Main[[#This Row],[Tech Start Date]],9),""))))</f>
        <v/>
      </c>
      <c r="Q994" s="74"/>
      <c r="R994" s="74"/>
      <c r="S994" s="72" t="s">
        <v>11</v>
      </c>
      <c r="T994" s="80" t="s">
        <v>4</v>
      </c>
      <c r="U994" s="72" t="s">
        <v>14</v>
      </c>
      <c r="V994" s="72" t="s">
        <v>1938</v>
      </c>
      <c r="W994" s="72" t="s">
        <v>1942</v>
      </c>
      <c r="X994" s="72" t="s">
        <v>3041</v>
      </c>
      <c r="Y994" s="72" t="s">
        <v>4</v>
      </c>
      <c r="Z994" s="72" t="s">
        <v>4</v>
      </c>
    </row>
    <row r="995" spans="1:26" ht="18.600000000000001" customHeight="1">
      <c r="A995" s="142" t="str">
        <f>IF(priority(Main[[#This Row],[Comments]])&lt;&gt;0, priority(Main[[#This Row],[Comments]]),"")</f>
        <v/>
      </c>
      <c r="B995" s="90" t="s">
        <v>2157</v>
      </c>
      <c r="C995" s="72" t="s">
        <v>4</v>
      </c>
      <c r="D995" s="73" t="s">
        <v>2158</v>
      </c>
      <c r="E995" s="74">
        <v>40760.662685185183</v>
      </c>
      <c r="F995" s="74"/>
      <c r="G995" s="75" t="str">
        <f>IF(stdProdLT(Main[[#This Row],[Comments]])=0.1,"N/A",IF(stdProdLT(Main[[#This Row],[Comments]])=0,"",stdProdLT(Main[[#This Row],[Comments]])))</f>
        <v/>
      </c>
      <c r="H995" s="76" t="str">
        <f>IF(AND(Main[[#This Row],[In Stock Date]]&lt;&gt;"",Main[[#This Row],[Revised Due Date]]&lt;&gt;""),Main[[#This Row],[In Stock Date]]-Main[[#This Row],[Revised Due Date]],"")</f>
        <v/>
      </c>
      <c r="I995" s="72" t="s">
        <v>4</v>
      </c>
      <c r="J995" s="72" t="s">
        <v>4</v>
      </c>
      <c r="K995" s="81" t="s">
        <v>4</v>
      </c>
      <c r="L995" s="74"/>
      <c r="M995" s="77" t="str">
        <f>IF(Main[[#This Row],[Tech Start Date]]&lt;1/1/1990,"",IF(Main[[#This Row],[Class]]="C",WORKDAY(Main[[#This Row],[Tech Start Date]],9),IF(Main[[#This Row],[Class]]="B", WORKDAY(Main[[#This Row],[Tech Start Date]],6),IF(Main[[#This Row],[Class]]="A",WORKDAY(Main[[#This Row],[Tech Start Date]],2),""))))</f>
        <v/>
      </c>
      <c r="N995" s="77" t="str">
        <f>IF(Main[[#This Row],[Tech Start Date]]&lt;1/1/1990,"",IF(Main[[#This Row],[Class]]="C",WORKDAY(Main[[#This Row],[Tech Start Date]],19),IF(Main[[#This Row],[Class]]="B", WORKDAY(Main[[#This Row],[Tech Start Date]],12),IF(Main[[#This Row],[Class]]="A",WORKDAY(Main[[#This Row],[Tech Start Date]],4),""))))</f>
        <v/>
      </c>
      <c r="O995" s="77" t="str">
        <f>IF(Main[[#This Row],[Tech Start Date]]&lt;1/1/1990,"",IF(Main[[#This Row],[Class]]="C",WORKDAY(Main[[#This Row],[Tech Start Date]],23),IF(Main[[#This Row],[Class]]="B", WORKDAY(Main[[#This Row],[Tech Start Date]],15),IF(Main[[#This Row],[Class]]="A",WORKDAY(Main[[#This Row],[Tech Start Date]],5),""))))</f>
        <v/>
      </c>
      <c r="P995" s="77" t="str">
        <f>IF(Main[[#This Row],[Tech Start Date]]&lt;1/1/1990,"",IF(Main[[#This Row],[Class]]="C",WORKDAY(Main[[#This Row],[Tech Start Date]],28),IF(Main[[#This Row],[Class]]="B", WORKDAY(Main[[#This Row],[Tech Start Date]],19),IF(Main[[#This Row],[Class]]="A",WORKDAY(Main[[#This Row],[Tech Start Date]],9),""))))</f>
        <v/>
      </c>
      <c r="Q995" s="74"/>
      <c r="R995" s="74"/>
      <c r="S995" s="72" t="s">
        <v>6</v>
      </c>
      <c r="T995" s="80" t="s">
        <v>4</v>
      </c>
      <c r="U995" s="72" t="s">
        <v>7</v>
      </c>
      <c r="V995" s="72" t="s">
        <v>1937</v>
      </c>
      <c r="W995" s="72" t="s">
        <v>4</v>
      </c>
      <c r="X995" s="72" t="s">
        <v>311</v>
      </c>
      <c r="Y995" s="72" t="s">
        <v>4</v>
      </c>
      <c r="Z995" s="72" t="s">
        <v>4</v>
      </c>
    </row>
    <row r="996" spans="1:26" ht="18.600000000000001" customHeight="1">
      <c r="A996" s="142" t="str">
        <f>IF(priority(Main[[#This Row],[Comments]])&lt;&gt;0, priority(Main[[#This Row],[Comments]]),"")</f>
        <v/>
      </c>
      <c r="B996" s="90" t="s">
        <v>2848</v>
      </c>
      <c r="C996" s="72" t="s">
        <v>2849</v>
      </c>
      <c r="D996" s="73" t="s">
        <v>2850</v>
      </c>
      <c r="E996" s="74">
        <v>40883.362615740742</v>
      </c>
      <c r="F996" s="74"/>
      <c r="G996" s="75" t="str">
        <f>IF(stdProdLT(Main[[#This Row],[Comments]])=0.1,"N/A",IF(stdProdLT(Main[[#This Row],[Comments]])=0,"",stdProdLT(Main[[#This Row],[Comments]])))</f>
        <v/>
      </c>
      <c r="H996" s="76" t="str">
        <f>IF(AND(Main[[#This Row],[In Stock Date]]&lt;&gt;"",Main[[#This Row],[Revised Due Date]]&lt;&gt;""),Main[[#This Row],[In Stock Date]]-Main[[#This Row],[Revised Due Date]],"")</f>
        <v/>
      </c>
      <c r="I996" s="72" t="s">
        <v>4</v>
      </c>
      <c r="J996" s="72" t="s">
        <v>4</v>
      </c>
      <c r="K996" s="72" t="s">
        <v>4</v>
      </c>
      <c r="L996" s="74"/>
      <c r="M996" s="77" t="str">
        <f>IF(Main[[#This Row],[Tech Start Date]]&lt;1/1/1990,"",IF(Main[[#This Row],[Class]]="C",WORKDAY(Main[[#This Row],[Tech Start Date]],9),IF(Main[[#This Row],[Class]]="B", WORKDAY(Main[[#This Row],[Tech Start Date]],6),IF(Main[[#This Row],[Class]]="A",WORKDAY(Main[[#This Row],[Tech Start Date]],2),""))))</f>
        <v/>
      </c>
      <c r="N996" s="77" t="str">
        <f>IF(Main[[#This Row],[Tech Start Date]]&lt;1/1/1990,"",IF(Main[[#This Row],[Class]]="C",WORKDAY(Main[[#This Row],[Tech Start Date]],19),IF(Main[[#This Row],[Class]]="B", WORKDAY(Main[[#This Row],[Tech Start Date]],12),IF(Main[[#This Row],[Class]]="A",WORKDAY(Main[[#This Row],[Tech Start Date]],4),""))))</f>
        <v/>
      </c>
      <c r="O996" s="77" t="str">
        <f>IF(Main[[#This Row],[Tech Start Date]]&lt;1/1/1990,"",IF(Main[[#This Row],[Class]]="C",WORKDAY(Main[[#This Row],[Tech Start Date]],23),IF(Main[[#This Row],[Class]]="B", WORKDAY(Main[[#This Row],[Tech Start Date]],15),IF(Main[[#This Row],[Class]]="A",WORKDAY(Main[[#This Row],[Tech Start Date]],5),""))))</f>
        <v/>
      </c>
      <c r="P996" s="77" t="str">
        <f>IF(Main[[#This Row],[Tech Start Date]]&lt;1/1/1990,"",IF(Main[[#This Row],[Class]]="C",WORKDAY(Main[[#This Row],[Tech Start Date]],28),IF(Main[[#This Row],[Class]]="B", WORKDAY(Main[[#This Row],[Tech Start Date]],19),IF(Main[[#This Row],[Class]]="A",WORKDAY(Main[[#This Row],[Tech Start Date]],9),""))))</f>
        <v/>
      </c>
      <c r="Q996" s="74"/>
      <c r="R996" s="74"/>
      <c r="S996" s="72" t="s">
        <v>17</v>
      </c>
      <c r="T996" s="80" t="s">
        <v>4</v>
      </c>
      <c r="U996" s="72" t="s">
        <v>7</v>
      </c>
      <c r="V996" s="72" t="s">
        <v>1940</v>
      </c>
      <c r="W996" s="72" t="s">
        <v>1942</v>
      </c>
      <c r="X996" s="72" t="s">
        <v>660</v>
      </c>
      <c r="Y996" s="72" t="s">
        <v>3287</v>
      </c>
      <c r="Z996" s="72" t="s">
        <v>4</v>
      </c>
    </row>
    <row r="997" spans="1:26" ht="18.600000000000001" customHeight="1">
      <c r="A997" s="142" t="str">
        <f>IF(priority(Main[[#This Row],[Comments]])&lt;&gt;0, priority(Main[[#This Row],[Comments]]),"")</f>
        <v/>
      </c>
      <c r="B997" s="90" t="s">
        <v>1748</v>
      </c>
      <c r="C997" s="72" t="s">
        <v>4</v>
      </c>
      <c r="D997" s="73" t="s">
        <v>795</v>
      </c>
      <c r="E997" s="74">
        <v>40584.407268518517</v>
      </c>
      <c r="F997" s="74"/>
      <c r="G997" s="75" t="str">
        <f>IF(stdProdLT(Main[[#This Row],[Comments]])=0.1,"N/A",IF(stdProdLT(Main[[#This Row],[Comments]])=0,"",stdProdLT(Main[[#This Row],[Comments]])))</f>
        <v/>
      </c>
      <c r="H997" s="76" t="str">
        <f>IF(AND(Main[[#This Row],[In Stock Date]]&lt;&gt;"",Main[[#This Row],[Revised Due Date]]&lt;&gt;""),Main[[#This Row],[In Stock Date]]-Main[[#This Row],[Revised Due Date]],"")</f>
        <v/>
      </c>
      <c r="I997" s="72" t="s">
        <v>4</v>
      </c>
      <c r="J997" s="72" t="s">
        <v>4</v>
      </c>
      <c r="K997" s="81" t="s">
        <v>4</v>
      </c>
      <c r="L997" s="74"/>
      <c r="M997" s="77" t="str">
        <f>IF(Main[[#This Row],[Tech Start Date]]&lt;1/1/1990,"",IF(Main[[#This Row],[Class]]="C",WORKDAY(Main[[#This Row],[Tech Start Date]],9),IF(Main[[#This Row],[Class]]="B", WORKDAY(Main[[#This Row],[Tech Start Date]],6),IF(Main[[#This Row],[Class]]="A",WORKDAY(Main[[#This Row],[Tech Start Date]],2),""))))</f>
        <v/>
      </c>
      <c r="N997" s="77" t="str">
        <f>IF(Main[[#This Row],[Tech Start Date]]&lt;1/1/1990,"",IF(Main[[#This Row],[Class]]="C",WORKDAY(Main[[#This Row],[Tech Start Date]],19),IF(Main[[#This Row],[Class]]="B", WORKDAY(Main[[#This Row],[Tech Start Date]],12),IF(Main[[#This Row],[Class]]="A",WORKDAY(Main[[#This Row],[Tech Start Date]],4),""))))</f>
        <v/>
      </c>
      <c r="O997" s="77" t="str">
        <f>IF(Main[[#This Row],[Tech Start Date]]&lt;1/1/1990,"",IF(Main[[#This Row],[Class]]="C",WORKDAY(Main[[#This Row],[Tech Start Date]],23),IF(Main[[#This Row],[Class]]="B", WORKDAY(Main[[#This Row],[Tech Start Date]],15),IF(Main[[#This Row],[Class]]="A",WORKDAY(Main[[#This Row],[Tech Start Date]],5),""))))</f>
        <v/>
      </c>
      <c r="P997" s="77" t="str">
        <f>IF(Main[[#This Row],[Tech Start Date]]&lt;1/1/1990,"",IF(Main[[#This Row],[Class]]="C",WORKDAY(Main[[#This Row],[Tech Start Date]],28),IF(Main[[#This Row],[Class]]="B", WORKDAY(Main[[#This Row],[Tech Start Date]],19),IF(Main[[#This Row],[Class]]="A",WORKDAY(Main[[#This Row],[Tech Start Date]],9),""))))</f>
        <v/>
      </c>
      <c r="Q997" s="74">
        <v>40602</v>
      </c>
      <c r="R997" s="74"/>
      <c r="S997" s="72" t="s">
        <v>17</v>
      </c>
      <c r="T997" s="80" t="s">
        <v>4</v>
      </c>
      <c r="U997" s="72" t="s">
        <v>7</v>
      </c>
      <c r="V997" s="72" t="s">
        <v>1937</v>
      </c>
      <c r="W997" s="72" t="s">
        <v>1945</v>
      </c>
      <c r="X997" s="72" t="s">
        <v>2980</v>
      </c>
      <c r="Y997" s="72" t="s">
        <v>3108</v>
      </c>
      <c r="Z997" s="72" t="s">
        <v>4</v>
      </c>
    </row>
    <row r="998" spans="1:26" ht="18.600000000000001" customHeight="1">
      <c r="A998" s="142" t="str">
        <f>IF(priority(Main[[#This Row],[Comments]])&lt;&gt;0, priority(Main[[#This Row],[Comments]]),"")</f>
        <v/>
      </c>
      <c r="B998" s="90" t="s">
        <v>1807</v>
      </c>
      <c r="C998" s="72" t="s">
        <v>4</v>
      </c>
      <c r="D998" s="73" t="s">
        <v>843</v>
      </c>
      <c r="E998" s="74"/>
      <c r="F998" s="74"/>
      <c r="G998" s="75" t="str">
        <f>IF(stdProdLT(Main[[#This Row],[Comments]])=0.1,"N/A",IF(stdProdLT(Main[[#This Row],[Comments]])=0,"",stdProdLT(Main[[#This Row],[Comments]])))</f>
        <v/>
      </c>
      <c r="H998" s="76" t="str">
        <f>IF(AND(Main[[#This Row],[In Stock Date]]&lt;&gt;"",Main[[#This Row],[Revised Due Date]]&lt;&gt;""),Main[[#This Row],[In Stock Date]]-Main[[#This Row],[Revised Due Date]],"")</f>
        <v/>
      </c>
      <c r="I998" s="72" t="s">
        <v>4</v>
      </c>
      <c r="J998" s="72" t="s">
        <v>4</v>
      </c>
      <c r="K998" s="81" t="s">
        <v>4</v>
      </c>
      <c r="L998" s="74"/>
      <c r="M998" s="77" t="str">
        <f>IF(Main[[#This Row],[Tech Start Date]]&lt;1/1/1990,"",IF(Main[[#This Row],[Class]]="C",WORKDAY(Main[[#This Row],[Tech Start Date]],9),IF(Main[[#This Row],[Class]]="B", WORKDAY(Main[[#This Row],[Tech Start Date]],6),IF(Main[[#This Row],[Class]]="A",WORKDAY(Main[[#This Row],[Tech Start Date]],2),""))))</f>
        <v/>
      </c>
      <c r="N998" s="77" t="str">
        <f>IF(Main[[#This Row],[Tech Start Date]]&lt;1/1/1990,"",IF(Main[[#This Row],[Class]]="C",WORKDAY(Main[[#This Row],[Tech Start Date]],19),IF(Main[[#This Row],[Class]]="B", WORKDAY(Main[[#This Row],[Tech Start Date]],12),IF(Main[[#This Row],[Class]]="A",WORKDAY(Main[[#This Row],[Tech Start Date]],4),""))))</f>
        <v/>
      </c>
      <c r="O998" s="77" t="str">
        <f>IF(Main[[#This Row],[Tech Start Date]]&lt;1/1/1990,"",IF(Main[[#This Row],[Class]]="C",WORKDAY(Main[[#This Row],[Tech Start Date]],23),IF(Main[[#This Row],[Class]]="B", WORKDAY(Main[[#This Row],[Tech Start Date]],15),IF(Main[[#This Row],[Class]]="A",WORKDAY(Main[[#This Row],[Tech Start Date]],5),""))))</f>
        <v/>
      </c>
      <c r="P998" s="77" t="str">
        <f>IF(Main[[#This Row],[Tech Start Date]]&lt;1/1/1990,"",IF(Main[[#This Row],[Class]]="C",WORKDAY(Main[[#This Row],[Tech Start Date]],28),IF(Main[[#This Row],[Class]]="B", WORKDAY(Main[[#This Row],[Tech Start Date]],19),IF(Main[[#This Row],[Class]]="A",WORKDAY(Main[[#This Row],[Tech Start Date]],9),""))))</f>
        <v/>
      </c>
      <c r="Q998" s="74"/>
      <c r="R998" s="74"/>
      <c r="S998" s="72" t="s">
        <v>23</v>
      </c>
      <c r="T998" s="80" t="s">
        <v>4</v>
      </c>
      <c r="U998" s="72" t="s">
        <v>14</v>
      </c>
      <c r="V998" s="72" t="s">
        <v>1937</v>
      </c>
      <c r="W998" s="72" t="s">
        <v>1941</v>
      </c>
      <c r="X998" s="72" t="s">
        <v>311</v>
      </c>
      <c r="Y998" s="72" t="s">
        <v>4</v>
      </c>
      <c r="Z998" s="72" t="s">
        <v>4</v>
      </c>
    </row>
    <row r="999" spans="1:26" ht="18.600000000000001" customHeight="1">
      <c r="A999" s="142" t="str">
        <f>IF(priority(Main[[#This Row],[Comments]])&lt;&gt;0, priority(Main[[#This Row],[Comments]]),"")</f>
        <v/>
      </c>
      <c r="B999" s="90" t="s">
        <v>1826</v>
      </c>
      <c r="C999" s="72" t="s">
        <v>95</v>
      </c>
      <c r="D999" s="73" t="s">
        <v>865</v>
      </c>
      <c r="E999" s="74">
        <v>40060.34884259259</v>
      </c>
      <c r="F999" s="74">
        <v>40195</v>
      </c>
      <c r="G999" s="75" t="str">
        <f>IF(stdProdLT(Main[[#This Row],[Comments]])=0.1,"N/A",IF(stdProdLT(Main[[#This Row],[Comments]])=0,"",stdProdLT(Main[[#This Row],[Comments]])))</f>
        <v/>
      </c>
      <c r="H999" s="76">
        <f>IF(AND(Main[[#This Row],[In Stock Date]]&lt;&gt;"",Main[[#This Row],[Revised Due Date]]&lt;&gt;""),Main[[#This Row],[In Stock Date]]-Main[[#This Row],[Revised Due Date]],"")</f>
        <v>17</v>
      </c>
      <c r="I999" s="72" t="s">
        <v>866</v>
      </c>
      <c r="J999" s="72" t="s">
        <v>4</v>
      </c>
      <c r="K999" s="81" t="s">
        <v>4</v>
      </c>
      <c r="L999" s="74"/>
      <c r="M999" s="77" t="str">
        <f>IF(Main[[#This Row],[Tech Start Date]]&lt;1/1/1990,"",IF(Main[[#This Row],[Class]]="C",WORKDAY(Main[[#This Row],[Tech Start Date]],9),IF(Main[[#This Row],[Class]]="B", WORKDAY(Main[[#This Row],[Tech Start Date]],6),IF(Main[[#This Row],[Class]]="A",WORKDAY(Main[[#This Row],[Tech Start Date]],2),""))))</f>
        <v/>
      </c>
      <c r="N999" s="77" t="str">
        <f>IF(Main[[#This Row],[Tech Start Date]]&lt;1/1/1990,"",IF(Main[[#This Row],[Class]]="C",WORKDAY(Main[[#This Row],[Tech Start Date]],19),IF(Main[[#This Row],[Class]]="B", WORKDAY(Main[[#This Row],[Tech Start Date]],12),IF(Main[[#This Row],[Class]]="A",WORKDAY(Main[[#This Row],[Tech Start Date]],4),""))))</f>
        <v/>
      </c>
      <c r="O999" s="77" t="str">
        <f>IF(Main[[#This Row],[Tech Start Date]]&lt;1/1/1990,"",IF(Main[[#This Row],[Class]]="C",WORKDAY(Main[[#This Row],[Tech Start Date]],23),IF(Main[[#This Row],[Class]]="B", WORKDAY(Main[[#This Row],[Tech Start Date]],15),IF(Main[[#This Row],[Class]]="A",WORKDAY(Main[[#This Row],[Tech Start Date]],5),""))))</f>
        <v/>
      </c>
      <c r="P999" s="77" t="str">
        <f>IF(Main[[#This Row],[Tech Start Date]]&lt;1/1/1990,"",IF(Main[[#This Row],[Class]]="C",WORKDAY(Main[[#This Row],[Tech Start Date]],28),IF(Main[[#This Row],[Class]]="B", WORKDAY(Main[[#This Row],[Tech Start Date]],19),IF(Main[[#This Row],[Class]]="A",WORKDAY(Main[[#This Row],[Tech Start Date]],9),""))))</f>
        <v/>
      </c>
      <c r="Q999" s="74">
        <v>40080</v>
      </c>
      <c r="R999" s="74">
        <v>40178</v>
      </c>
      <c r="S999" s="72" t="s">
        <v>17</v>
      </c>
      <c r="T999" s="80" t="s">
        <v>4</v>
      </c>
      <c r="U999" s="72" t="s">
        <v>29</v>
      </c>
      <c r="V999" s="72" t="s">
        <v>1940</v>
      </c>
      <c r="W999" s="72" t="s">
        <v>1945</v>
      </c>
      <c r="X999" s="72" t="s">
        <v>3028</v>
      </c>
      <c r="Y999" s="72" t="s">
        <v>4</v>
      </c>
      <c r="Z999" s="72" t="s">
        <v>81</v>
      </c>
    </row>
    <row r="1000" spans="1:26" ht="18.600000000000001" customHeight="1">
      <c r="A1000" s="142" t="str">
        <f>IF(priority(Main[[#This Row],[Comments]])&lt;&gt;0, priority(Main[[#This Row],[Comments]]),"")</f>
        <v/>
      </c>
      <c r="B1000" s="90" t="s">
        <v>2159</v>
      </c>
      <c r="C1000" s="72" t="s">
        <v>967</v>
      </c>
      <c r="D1000" s="73" t="s">
        <v>2160</v>
      </c>
      <c r="E1000" s="74"/>
      <c r="F1000" s="74">
        <v>40871</v>
      </c>
      <c r="G1000" s="75" t="str">
        <f>IF(stdProdLT(Main[[#This Row],[Comments]])=0.1,"N/A",IF(stdProdLT(Main[[#This Row],[Comments]])=0,"",stdProdLT(Main[[#This Row],[Comments]])))</f>
        <v/>
      </c>
      <c r="H1000" s="76" t="str">
        <f>IF(AND(Main[[#This Row],[In Stock Date]]&lt;&gt;"",Main[[#This Row],[Revised Due Date]]&lt;&gt;""),Main[[#This Row],[In Stock Date]]-Main[[#This Row],[Revised Due Date]],"")</f>
        <v/>
      </c>
      <c r="I1000" s="72" t="s">
        <v>404</v>
      </c>
      <c r="J1000" s="72" t="s">
        <v>51</v>
      </c>
      <c r="K1000" s="72" t="s">
        <v>1946</v>
      </c>
      <c r="L1000" s="74"/>
      <c r="M1000" s="77" t="str">
        <f>IF(Main[[#This Row],[Tech Start Date]]&lt;1/1/1990,"",IF(Main[[#This Row],[Class]]="C",WORKDAY(Main[[#This Row],[Tech Start Date]],9),IF(Main[[#This Row],[Class]]="B", WORKDAY(Main[[#This Row],[Tech Start Date]],6),IF(Main[[#This Row],[Class]]="A",WORKDAY(Main[[#This Row],[Tech Start Date]],2),""))))</f>
        <v/>
      </c>
      <c r="N1000" s="77" t="str">
        <f>IF(Main[[#This Row],[Tech Start Date]]&lt;1/1/1990,"",IF(Main[[#This Row],[Class]]="C",WORKDAY(Main[[#This Row],[Tech Start Date]],19),IF(Main[[#This Row],[Class]]="B", WORKDAY(Main[[#This Row],[Tech Start Date]],12),IF(Main[[#This Row],[Class]]="A",WORKDAY(Main[[#This Row],[Tech Start Date]],4),""))))</f>
        <v/>
      </c>
      <c r="O1000" s="77" t="str">
        <f>IF(Main[[#This Row],[Tech Start Date]]&lt;1/1/1990,"",IF(Main[[#This Row],[Class]]="C",WORKDAY(Main[[#This Row],[Tech Start Date]],23),IF(Main[[#This Row],[Class]]="B", WORKDAY(Main[[#This Row],[Tech Start Date]],15),IF(Main[[#This Row],[Class]]="A",WORKDAY(Main[[#This Row],[Tech Start Date]],5),""))))</f>
        <v/>
      </c>
      <c r="P1000" s="77" t="str">
        <f>IF(Main[[#This Row],[Tech Start Date]]&lt;1/1/1990,"",IF(Main[[#This Row],[Class]]="C",WORKDAY(Main[[#This Row],[Tech Start Date]],28),IF(Main[[#This Row],[Class]]="B", WORKDAY(Main[[#This Row],[Tech Start Date]],19),IF(Main[[#This Row],[Class]]="A",WORKDAY(Main[[#This Row],[Tech Start Date]],9),""))))</f>
        <v/>
      </c>
      <c r="Q1000" s="74"/>
      <c r="R1000" s="74"/>
      <c r="S1000" s="72" t="s">
        <v>11</v>
      </c>
      <c r="T1000" s="80" t="s">
        <v>4</v>
      </c>
      <c r="U1000" s="72" t="s">
        <v>14</v>
      </c>
      <c r="V1000" s="72" t="s">
        <v>1937</v>
      </c>
      <c r="W1000" s="72" t="s">
        <v>1943</v>
      </c>
      <c r="X1000" s="72" t="s">
        <v>50</v>
      </c>
      <c r="Y1000" s="72" t="s">
        <v>3119</v>
      </c>
      <c r="Z1000" s="72" t="s">
        <v>311</v>
      </c>
    </row>
    <row r="1001" spans="1:26" ht="18.600000000000001" customHeight="1">
      <c r="A1001" s="142" t="str">
        <f>IF(priority(Main[[#This Row],[Comments]])&lt;&gt;0, priority(Main[[#This Row],[Comments]]),"")</f>
        <v/>
      </c>
      <c r="B1001" s="90" t="s">
        <v>2161</v>
      </c>
      <c r="C1001" s="72" t="s">
        <v>967</v>
      </c>
      <c r="D1001" s="73" t="s">
        <v>2162</v>
      </c>
      <c r="E1001" s="74"/>
      <c r="F1001" s="74">
        <v>40871</v>
      </c>
      <c r="G1001" s="75" t="str">
        <f>IF(stdProdLT(Main[[#This Row],[Comments]])=0.1,"N/A",IF(stdProdLT(Main[[#This Row],[Comments]])=0,"",stdProdLT(Main[[#This Row],[Comments]])))</f>
        <v/>
      </c>
      <c r="H1001" s="76" t="str">
        <f>IF(AND(Main[[#This Row],[In Stock Date]]&lt;&gt;"",Main[[#This Row],[Revised Due Date]]&lt;&gt;""),Main[[#This Row],[In Stock Date]]-Main[[#This Row],[Revised Due Date]],"")</f>
        <v/>
      </c>
      <c r="I1001" s="72" t="s">
        <v>4</v>
      </c>
      <c r="J1001" s="72" t="s">
        <v>4</v>
      </c>
      <c r="K1001" s="72" t="s">
        <v>4</v>
      </c>
      <c r="L1001" s="74"/>
      <c r="M1001" s="77" t="str">
        <f>IF(Main[[#This Row],[Tech Start Date]]&lt;1/1/1990,"",IF(Main[[#This Row],[Class]]="C",WORKDAY(Main[[#This Row],[Tech Start Date]],9),IF(Main[[#This Row],[Class]]="B", WORKDAY(Main[[#This Row],[Tech Start Date]],6),IF(Main[[#This Row],[Class]]="A",WORKDAY(Main[[#This Row],[Tech Start Date]],2),""))))</f>
        <v/>
      </c>
      <c r="N1001" s="77" t="str">
        <f>IF(Main[[#This Row],[Tech Start Date]]&lt;1/1/1990,"",IF(Main[[#This Row],[Class]]="C",WORKDAY(Main[[#This Row],[Tech Start Date]],19),IF(Main[[#This Row],[Class]]="B", WORKDAY(Main[[#This Row],[Tech Start Date]],12),IF(Main[[#This Row],[Class]]="A",WORKDAY(Main[[#This Row],[Tech Start Date]],4),""))))</f>
        <v/>
      </c>
      <c r="O1001" s="77" t="str">
        <f>IF(Main[[#This Row],[Tech Start Date]]&lt;1/1/1990,"",IF(Main[[#This Row],[Class]]="C",WORKDAY(Main[[#This Row],[Tech Start Date]],23),IF(Main[[#This Row],[Class]]="B", WORKDAY(Main[[#This Row],[Tech Start Date]],15),IF(Main[[#This Row],[Class]]="A",WORKDAY(Main[[#This Row],[Tech Start Date]],5),""))))</f>
        <v/>
      </c>
      <c r="P1001" s="77" t="str">
        <f>IF(Main[[#This Row],[Tech Start Date]]&lt;1/1/1990,"",IF(Main[[#This Row],[Class]]="C",WORKDAY(Main[[#This Row],[Tech Start Date]],28),IF(Main[[#This Row],[Class]]="B", WORKDAY(Main[[#This Row],[Tech Start Date]],19),IF(Main[[#This Row],[Class]]="A",WORKDAY(Main[[#This Row],[Tech Start Date]],9),""))))</f>
        <v/>
      </c>
      <c r="Q1001" s="74"/>
      <c r="R1001" s="74"/>
      <c r="S1001" s="72" t="s">
        <v>11</v>
      </c>
      <c r="T1001" s="80" t="s">
        <v>4</v>
      </c>
      <c r="U1001" s="72" t="s">
        <v>14</v>
      </c>
      <c r="V1001" s="72" t="s">
        <v>1940</v>
      </c>
      <c r="W1001" s="72" t="s">
        <v>1945</v>
      </c>
      <c r="X1001" s="72" t="s">
        <v>50</v>
      </c>
      <c r="Y1001" s="72" t="s">
        <v>3119</v>
      </c>
      <c r="Z1001" s="72" t="s">
        <v>4</v>
      </c>
    </row>
    <row r="1002" spans="1:26" ht="18.600000000000001" customHeight="1">
      <c r="A1002" s="142" t="str">
        <f>IF(priority(Main[[#This Row],[Comments]])&lt;&gt;0, priority(Main[[#This Row],[Comments]]),"")</f>
        <v/>
      </c>
      <c r="B1002" s="90" t="s">
        <v>2563</v>
      </c>
      <c r="C1002" s="72" t="s">
        <v>47</v>
      </c>
      <c r="D1002" s="73" t="s">
        <v>2564</v>
      </c>
      <c r="E1002" s="74">
        <v>40857.653622685182</v>
      </c>
      <c r="F1002" s="74"/>
      <c r="G1002" s="75" t="str">
        <f>IF(stdProdLT(Main[[#This Row],[Comments]])=0.1,"N/A",IF(stdProdLT(Main[[#This Row],[Comments]])=0,"",stdProdLT(Main[[#This Row],[Comments]])))</f>
        <v/>
      </c>
      <c r="H1002" s="76" t="str">
        <f>IF(AND(Main[[#This Row],[In Stock Date]]&lt;&gt;"",Main[[#This Row],[Revised Due Date]]&lt;&gt;""),Main[[#This Row],[In Stock Date]]-Main[[#This Row],[Revised Due Date]],"")</f>
        <v/>
      </c>
      <c r="I1002" s="72" t="s">
        <v>4</v>
      </c>
      <c r="J1002" s="72" t="s">
        <v>4</v>
      </c>
      <c r="K1002" s="72" t="s">
        <v>4</v>
      </c>
      <c r="L1002" s="74"/>
      <c r="M1002" s="77" t="str">
        <f>IF(Main[[#This Row],[Tech Start Date]]&lt;1/1/1990,"",IF(Main[[#This Row],[Class]]="C",WORKDAY(Main[[#This Row],[Tech Start Date]],9),IF(Main[[#This Row],[Class]]="B", WORKDAY(Main[[#This Row],[Tech Start Date]],6),IF(Main[[#This Row],[Class]]="A",WORKDAY(Main[[#This Row],[Tech Start Date]],2),""))))</f>
        <v/>
      </c>
      <c r="N1002" s="77" t="str">
        <f>IF(Main[[#This Row],[Tech Start Date]]&lt;1/1/1990,"",IF(Main[[#This Row],[Class]]="C",WORKDAY(Main[[#This Row],[Tech Start Date]],19),IF(Main[[#This Row],[Class]]="B", WORKDAY(Main[[#This Row],[Tech Start Date]],12),IF(Main[[#This Row],[Class]]="A",WORKDAY(Main[[#This Row],[Tech Start Date]],4),""))))</f>
        <v/>
      </c>
      <c r="O1002" s="77" t="str">
        <f>IF(Main[[#This Row],[Tech Start Date]]&lt;1/1/1990,"",IF(Main[[#This Row],[Class]]="C",WORKDAY(Main[[#This Row],[Tech Start Date]],23),IF(Main[[#This Row],[Class]]="B", WORKDAY(Main[[#This Row],[Tech Start Date]],15),IF(Main[[#This Row],[Class]]="A",WORKDAY(Main[[#This Row],[Tech Start Date]],5),""))))</f>
        <v/>
      </c>
      <c r="P1002" s="77" t="str">
        <f>IF(Main[[#This Row],[Tech Start Date]]&lt;1/1/1990,"",IF(Main[[#This Row],[Class]]="C",WORKDAY(Main[[#This Row],[Tech Start Date]],28),IF(Main[[#This Row],[Class]]="B", WORKDAY(Main[[#This Row],[Tech Start Date]],19),IF(Main[[#This Row],[Class]]="A",WORKDAY(Main[[#This Row],[Tech Start Date]],9),""))))</f>
        <v/>
      </c>
      <c r="Q1002" s="74">
        <v>40892</v>
      </c>
      <c r="R1002" s="74"/>
      <c r="S1002" s="72" t="s">
        <v>6</v>
      </c>
      <c r="T1002" s="80" t="s">
        <v>4</v>
      </c>
      <c r="U1002" s="72" t="s">
        <v>29</v>
      </c>
      <c r="V1002" s="72" t="s">
        <v>2317</v>
      </c>
      <c r="W1002" s="72" t="s">
        <v>4</v>
      </c>
      <c r="X1002" s="72" t="s">
        <v>3017</v>
      </c>
      <c r="Y1002" s="72" t="s">
        <v>3168</v>
      </c>
      <c r="Z1002" s="72" t="s">
        <v>4</v>
      </c>
    </row>
    <row r="1003" spans="1:26" ht="18.600000000000001" customHeight="1">
      <c r="A1003" s="142" t="str">
        <f>IF(priority(Main[[#This Row],[Comments]])&lt;&gt;0, priority(Main[[#This Row],[Comments]]),"")</f>
        <v/>
      </c>
      <c r="B1003" s="90" t="s">
        <v>2145</v>
      </c>
      <c r="C1003" s="72" t="s">
        <v>4</v>
      </c>
      <c r="D1003" s="73" t="s">
        <v>2146</v>
      </c>
      <c r="E1003" s="74"/>
      <c r="F1003" s="74"/>
      <c r="G1003" s="75" t="str">
        <f>IF(stdProdLT(Main[[#This Row],[Comments]])=0.1,"N/A",IF(stdProdLT(Main[[#This Row],[Comments]])=0,"",stdProdLT(Main[[#This Row],[Comments]])))</f>
        <v/>
      </c>
      <c r="H1003" s="76" t="str">
        <f>IF(AND(Main[[#This Row],[In Stock Date]]&lt;&gt;"",Main[[#This Row],[Revised Due Date]]&lt;&gt;""),Main[[#This Row],[In Stock Date]]-Main[[#This Row],[Revised Due Date]],"")</f>
        <v/>
      </c>
      <c r="I1003" s="72" t="s">
        <v>69</v>
      </c>
      <c r="J1003" s="72" t="s">
        <v>70</v>
      </c>
      <c r="K1003" s="72" t="s">
        <v>1946</v>
      </c>
      <c r="L1003" s="74"/>
      <c r="M1003" s="77" t="str">
        <f>IF(Main[[#This Row],[Tech Start Date]]&lt;1/1/1990,"",IF(Main[[#This Row],[Class]]="C",WORKDAY(Main[[#This Row],[Tech Start Date]],9),IF(Main[[#This Row],[Class]]="B", WORKDAY(Main[[#This Row],[Tech Start Date]],6),IF(Main[[#This Row],[Class]]="A",WORKDAY(Main[[#This Row],[Tech Start Date]],2),""))))</f>
        <v/>
      </c>
      <c r="N1003" s="77" t="str">
        <f>IF(Main[[#This Row],[Tech Start Date]]&lt;1/1/1990,"",IF(Main[[#This Row],[Class]]="C",WORKDAY(Main[[#This Row],[Tech Start Date]],19),IF(Main[[#This Row],[Class]]="B", WORKDAY(Main[[#This Row],[Tech Start Date]],12),IF(Main[[#This Row],[Class]]="A",WORKDAY(Main[[#This Row],[Tech Start Date]],4),""))))</f>
        <v/>
      </c>
      <c r="O1003" s="77" t="str">
        <f>IF(Main[[#This Row],[Tech Start Date]]&lt;1/1/1990,"",IF(Main[[#This Row],[Class]]="C",WORKDAY(Main[[#This Row],[Tech Start Date]],23),IF(Main[[#This Row],[Class]]="B", WORKDAY(Main[[#This Row],[Tech Start Date]],15),IF(Main[[#This Row],[Class]]="A",WORKDAY(Main[[#This Row],[Tech Start Date]],5),""))))</f>
        <v/>
      </c>
      <c r="P1003" s="77" t="str">
        <f>IF(Main[[#This Row],[Tech Start Date]]&lt;1/1/1990,"",IF(Main[[#This Row],[Class]]="C",WORKDAY(Main[[#This Row],[Tech Start Date]],28),IF(Main[[#This Row],[Class]]="B", WORKDAY(Main[[#This Row],[Tech Start Date]],19),IF(Main[[#This Row],[Class]]="A",WORKDAY(Main[[#This Row],[Tech Start Date]],9),""))))</f>
        <v/>
      </c>
      <c r="Q1003" s="74">
        <v>40816</v>
      </c>
      <c r="R1003" s="74"/>
      <c r="S1003" s="72" t="s">
        <v>6</v>
      </c>
      <c r="T1003" s="80" t="s">
        <v>4</v>
      </c>
      <c r="U1003" s="72" t="s">
        <v>14</v>
      </c>
      <c r="V1003" s="72" t="s">
        <v>1940</v>
      </c>
      <c r="W1003" s="72" t="s">
        <v>1941</v>
      </c>
      <c r="X1003" s="72" t="s">
        <v>311</v>
      </c>
      <c r="Y1003" s="72" t="s">
        <v>3272</v>
      </c>
      <c r="Z1003" s="72" t="s">
        <v>30</v>
      </c>
    </row>
    <row r="1004" spans="1:26" ht="18.600000000000001" customHeight="1">
      <c r="A1004" s="142" t="str">
        <f>IF(priority(Main[[#This Row],[Comments]])&lt;&gt;0, priority(Main[[#This Row],[Comments]]),"")</f>
        <v/>
      </c>
      <c r="B1004" s="90" t="s">
        <v>2213</v>
      </c>
      <c r="C1004" s="72" t="s">
        <v>4</v>
      </c>
      <c r="D1004" s="73" t="s">
        <v>2214</v>
      </c>
      <c r="E1004" s="74">
        <v>40784.630833333336</v>
      </c>
      <c r="F1004" s="74">
        <v>41153</v>
      </c>
      <c r="G1004" s="75" t="str">
        <f>IF(stdProdLT(Main[[#This Row],[Comments]])=0.1,"N/A",IF(stdProdLT(Main[[#This Row],[Comments]])=0,"",stdProdLT(Main[[#This Row],[Comments]])))</f>
        <v/>
      </c>
      <c r="H1004" s="76" t="str">
        <f>IF(AND(Main[[#This Row],[In Stock Date]]&lt;&gt;"",Main[[#This Row],[Revised Due Date]]&lt;&gt;""),Main[[#This Row],[In Stock Date]]-Main[[#This Row],[Revised Due Date]],"")</f>
        <v/>
      </c>
      <c r="I1004" s="72" t="s">
        <v>4</v>
      </c>
      <c r="J1004" s="72" t="s">
        <v>4</v>
      </c>
      <c r="K1004" s="72" t="s">
        <v>4</v>
      </c>
      <c r="L1004" s="74"/>
      <c r="M1004" s="77" t="str">
        <f>IF(Main[[#This Row],[Tech Start Date]]&lt;1/1/1990,"",IF(Main[[#This Row],[Class]]="C",WORKDAY(Main[[#This Row],[Tech Start Date]],9),IF(Main[[#This Row],[Class]]="B", WORKDAY(Main[[#This Row],[Tech Start Date]],6),IF(Main[[#This Row],[Class]]="A",WORKDAY(Main[[#This Row],[Tech Start Date]],2),""))))</f>
        <v/>
      </c>
      <c r="N1004" s="77" t="str">
        <f>IF(Main[[#This Row],[Tech Start Date]]&lt;1/1/1990,"",IF(Main[[#This Row],[Class]]="C",WORKDAY(Main[[#This Row],[Tech Start Date]],19),IF(Main[[#This Row],[Class]]="B", WORKDAY(Main[[#This Row],[Tech Start Date]],12),IF(Main[[#This Row],[Class]]="A",WORKDAY(Main[[#This Row],[Tech Start Date]],4),""))))</f>
        <v/>
      </c>
      <c r="O1004" s="77" t="str">
        <f>IF(Main[[#This Row],[Tech Start Date]]&lt;1/1/1990,"",IF(Main[[#This Row],[Class]]="C",WORKDAY(Main[[#This Row],[Tech Start Date]],23),IF(Main[[#This Row],[Class]]="B", WORKDAY(Main[[#This Row],[Tech Start Date]],15),IF(Main[[#This Row],[Class]]="A",WORKDAY(Main[[#This Row],[Tech Start Date]],5),""))))</f>
        <v/>
      </c>
      <c r="P1004" s="77" t="str">
        <f>IF(Main[[#This Row],[Tech Start Date]]&lt;1/1/1990,"",IF(Main[[#This Row],[Class]]="C",WORKDAY(Main[[#This Row],[Tech Start Date]],28),IF(Main[[#This Row],[Class]]="B", WORKDAY(Main[[#This Row],[Tech Start Date]],19),IF(Main[[#This Row],[Class]]="A",WORKDAY(Main[[#This Row],[Tech Start Date]],9),""))))</f>
        <v/>
      </c>
      <c r="Q1004" s="74"/>
      <c r="R1004" s="74"/>
      <c r="S1004" s="72" t="s">
        <v>17</v>
      </c>
      <c r="T1004" s="80" t="s">
        <v>4</v>
      </c>
      <c r="U1004" s="72" t="s">
        <v>7</v>
      </c>
      <c r="V1004" s="72" t="s">
        <v>1940</v>
      </c>
      <c r="W1004" s="72" t="s">
        <v>1942</v>
      </c>
      <c r="X1004" s="72" t="s">
        <v>3037</v>
      </c>
      <c r="Y1004" s="72" t="s">
        <v>3199</v>
      </c>
      <c r="Z1004" s="72" t="s">
        <v>4</v>
      </c>
    </row>
    <row r="1005" spans="1:26" ht="18.600000000000001" customHeight="1">
      <c r="A1005" s="142" t="str">
        <f>IF(priority(Main[[#This Row],[Comments]])&lt;&gt;0, priority(Main[[#This Row],[Comments]]),"")</f>
        <v/>
      </c>
      <c r="B1005" s="90" t="s">
        <v>2086</v>
      </c>
      <c r="C1005" s="72" t="s">
        <v>4</v>
      </c>
      <c r="D1005" s="73" t="s">
        <v>2087</v>
      </c>
      <c r="E1005" s="74">
        <v>40758.348310185182</v>
      </c>
      <c r="F1005" s="74"/>
      <c r="G1005" s="75" t="str">
        <f>IF(stdProdLT(Main[[#This Row],[Comments]])=0.1,"N/A",IF(stdProdLT(Main[[#This Row],[Comments]])=0,"",stdProdLT(Main[[#This Row],[Comments]])))</f>
        <v/>
      </c>
      <c r="H1005" s="76" t="str">
        <f>IF(AND(Main[[#This Row],[In Stock Date]]&lt;&gt;"",Main[[#This Row],[Revised Due Date]]&lt;&gt;""),Main[[#This Row],[In Stock Date]]-Main[[#This Row],[Revised Due Date]],"")</f>
        <v/>
      </c>
      <c r="I1005" s="72" t="s">
        <v>421</v>
      </c>
      <c r="J1005" s="72" t="s">
        <v>28</v>
      </c>
      <c r="K1005" s="72" t="s">
        <v>1944</v>
      </c>
      <c r="L1005" s="74"/>
      <c r="M1005" s="77" t="str">
        <f>IF(Main[[#This Row],[Tech Start Date]]&lt;1/1/1990,"",IF(Main[[#This Row],[Class]]="C",WORKDAY(Main[[#This Row],[Tech Start Date]],9),IF(Main[[#This Row],[Class]]="B", WORKDAY(Main[[#This Row],[Tech Start Date]],6),IF(Main[[#This Row],[Class]]="A",WORKDAY(Main[[#This Row],[Tech Start Date]],2),""))))</f>
        <v/>
      </c>
      <c r="N1005" s="77" t="str">
        <f>IF(Main[[#This Row],[Tech Start Date]]&lt;1/1/1990,"",IF(Main[[#This Row],[Class]]="C",WORKDAY(Main[[#This Row],[Tech Start Date]],19),IF(Main[[#This Row],[Class]]="B", WORKDAY(Main[[#This Row],[Tech Start Date]],12),IF(Main[[#This Row],[Class]]="A",WORKDAY(Main[[#This Row],[Tech Start Date]],4),""))))</f>
        <v/>
      </c>
      <c r="O1005" s="77" t="str">
        <f>IF(Main[[#This Row],[Tech Start Date]]&lt;1/1/1990,"",IF(Main[[#This Row],[Class]]="C",WORKDAY(Main[[#This Row],[Tech Start Date]],23),IF(Main[[#This Row],[Class]]="B", WORKDAY(Main[[#This Row],[Tech Start Date]],15),IF(Main[[#This Row],[Class]]="A",WORKDAY(Main[[#This Row],[Tech Start Date]],5),""))))</f>
        <v/>
      </c>
      <c r="P1005" s="77" t="str">
        <f>IF(Main[[#This Row],[Tech Start Date]]&lt;1/1/1990,"",IF(Main[[#This Row],[Class]]="C",WORKDAY(Main[[#This Row],[Tech Start Date]],28),IF(Main[[#This Row],[Class]]="B", WORKDAY(Main[[#This Row],[Tech Start Date]],19),IF(Main[[#This Row],[Class]]="A",WORKDAY(Main[[#This Row],[Tech Start Date]],9),""))))</f>
        <v/>
      </c>
      <c r="Q1005" s="74"/>
      <c r="R1005" s="74"/>
      <c r="S1005" s="72" t="s">
        <v>6</v>
      </c>
      <c r="T1005" s="80" t="s">
        <v>4</v>
      </c>
      <c r="U1005" s="72" t="s">
        <v>29</v>
      </c>
      <c r="V1005" s="72" t="s">
        <v>1940</v>
      </c>
      <c r="W1005" s="72" t="s">
        <v>1939</v>
      </c>
      <c r="X1005" s="72" t="s">
        <v>3018</v>
      </c>
      <c r="Y1005" s="72" t="s">
        <v>3158</v>
      </c>
      <c r="Z1005" s="72" t="s">
        <v>421</v>
      </c>
    </row>
    <row r="1006" spans="1:26" ht="18.600000000000001" customHeight="1">
      <c r="A1006" s="142" t="str">
        <f>IF(priority(Main[[#This Row],[Comments]])&lt;&gt;0, priority(Main[[#This Row],[Comments]]),"")</f>
        <v/>
      </c>
      <c r="B1006" s="90" t="s">
        <v>1756</v>
      </c>
      <c r="C1006" s="72" t="s">
        <v>4</v>
      </c>
      <c r="D1006" s="73" t="s">
        <v>801</v>
      </c>
      <c r="E1006" s="74">
        <v>40540.606365740743</v>
      </c>
      <c r="F1006" s="74"/>
      <c r="G1006" s="75" t="str">
        <f>IF(stdProdLT(Main[[#This Row],[Comments]])=0.1,"N/A",IF(stdProdLT(Main[[#This Row],[Comments]])=0,"",stdProdLT(Main[[#This Row],[Comments]])))</f>
        <v/>
      </c>
      <c r="H1006" s="76" t="str">
        <f>IF(AND(Main[[#This Row],[In Stock Date]]&lt;&gt;"",Main[[#This Row],[Revised Due Date]]&lt;&gt;""),Main[[#This Row],[In Stock Date]]-Main[[#This Row],[Revised Due Date]],"")</f>
        <v/>
      </c>
      <c r="I1006" s="72" t="s">
        <v>2001</v>
      </c>
      <c r="J1006" s="72" t="s">
        <v>28</v>
      </c>
      <c r="K1006" s="72" t="s">
        <v>1949</v>
      </c>
      <c r="L1006" s="74"/>
      <c r="M1006" s="77" t="str">
        <f>IF(Main[[#This Row],[Tech Start Date]]&lt;1/1/1990,"",IF(Main[[#This Row],[Class]]="C",WORKDAY(Main[[#This Row],[Tech Start Date]],9),IF(Main[[#This Row],[Class]]="B", WORKDAY(Main[[#This Row],[Tech Start Date]],6),IF(Main[[#This Row],[Class]]="A",WORKDAY(Main[[#This Row],[Tech Start Date]],2),""))))</f>
        <v/>
      </c>
      <c r="N1006" s="77" t="str">
        <f>IF(Main[[#This Row],[Tech Start Date]]&lt;1/1/1990,"",IF(Main[[#This Row],[Class]]="C",WORKDAY(Main[[#This Row],[Tech Start Date]],19),IF(Main[[#This Row],[Class]]="B", WORKDAY(Main[[#This Row],[Tech Start Date]],12),IF(Main[[#This Row],[Class]]="A",WORKDAY(Main[[#This Row],[Tech Start Date]],4),""))))</f>
        <v/>
      </c>
      <c r="O1006" s="77" t="str">
        <f>IF(Main[[#This Row],[Tech Start Date]]&lt;1/1/1990,"",IF(Main[[#This Row],[Class]]="C",WORKDAY(Main[[#This Row],[Tech Start Date]],23),IF(Main[[#This Row],[Class]]="B", WORKDAY(Main[[#This Row],[Tech Start Date]],15),IF(Main[[#This Row],[Class]]="A",WORKDAY(Main[[#This Row],[Tech Start Date]],5),""))))</f>
        <v/>
      </c>
      <c r="P1006" s="77" t="str">
        <f>IF(Main[[#This Row],[Tech Start Date]]&lt;1/1/1990,"",IF(Main[[#This Row],[Class]]="C",WORKDAY(Main[[#This Row],[Tech Start Date]],28),IF(Main[[#This Row],[Class]]="B", WORKDAY(Main[[#This Row],[Tech Start Date]],19),IF(Main[[#This Row],[Class]]="A",WORKDAY(Main[[#This Row],[Tech Start Date]],9),""))))</f>
        <v/>
      </c>
      <c r="Q1006" s="74"/>
      <c r="R1006" s="74">
        <v>40875</v>
      </c>
      <c r="S1006" s="72" t="s">
        <v>17</v>
      </c>
      <c r="T1006" s="80" t="s">
        <v>4</v>
      </c>
      <c r="U1006" s="72" t="s">
        <v>29</v>
      </c>
      <c r="V1006" s="72" t="s">
        <v>1940</v>
      </c>
      <c r="W1006" s="72" t="s">
        <v>1942</v>
      </c>
      <c r="X1006" s="72" t="s">
        <v>560</v>
      </c>
      <c r="Y1006" s="72" t="s">
        <v>3110</v>
      </c>
      <c r="Z1006" s="72" t="s">
        <v>660</v>
      </c>
    </row>
    <row r="1007" spans="1:26" ht="18.600000000000001" customHeight="1">
      <c r="A1007" s="142" t="str">
        <f>IF(priority(Main[[#This Row],[Comments]])&lt;&gt;0, priority(Main[[#This Row],[Comments]]),"")</f>
        <v/>
      </c>
      <c r="B1007" s="90" t="s">
        <v>2230</v>
      </c>
      <c r="C1007" s="72" t="s">
        <v>4</v>
      </c>
      <c r="D1007" s="73" t="s">
        <v>2231</v>
      </c>
      <c r="E1007" s="74">
        <v>40784.953148148146</v>
      </c>
      <c r="F1007" s="74"/>
      <c r="G1007" s="75" t="str">
        <f>IF(stdProdLT(Main[[#This Row],[Comments]])=0.1,"N/A",IF(stdProdLT(Main[[#This Row],[Comments]])=0,"",stdProdLT(Main[[#This Row],[Comments]])))</f>
        <v/>
      </c>
      <c r="H1007" s="76" t="str">
        <f>IF(AND(Main[[#This Row],[In Stock Date]]&lt;&gt;"",Main[[#This Row],[Revised Due Date]]&lt;&gt;""),Main[[#This Row],[In Stock Date]]-Main[[#This Row],[Revised Due Date]],"")</f>
        <v/>
      </c>
      <c r="I1007" s="72" t="s">
        <v>495</v>
      </c>
      <c r="J1007" s="72" t="s">
        <v>70</v>
      </c>
      <c r="K1007" s="72" t="s">
        <v>1946</v>
      </c>
      <c r="L1007" s="74"/>
      <c r="M1007" s="77" t="str">
        <f>IF(Main[[#This Row],[Tech Start Date]]&lt;1/1/1990,"",IF(Main[[#This Row],[Class]]="C",WORKDAY(Main[[#This Row],[Tech Start Date]],9),IF(Main[[#This Row],[Class]]="B", WORKDAY(Main[[#This Row],[Tech Start Date]],6),IF(Main[[#This Row],[Class]]="A",WORKDAY(Main[[#This Row],[Tech Start Date]],2),""))))</f>
        <v/>
      </c>
      <c r="N1007" s="77" t="str">
        <f>IF(Main[[#This Row],[Tech Start Date]]&lt;1/1/1990,"",IF(Main[[#This Row],[Class]]="C",WORKDAY(Main[[#This Row],[Tech Start Date]],19),IF(Main[[#This Row],[Class]]="B", WORKDAY(Main[[#This Row],[Tech Start Date]],12),IF(Main[[#This Row],[Class]]="A",WORKDAY(Main[[#This Row],[Tech Start Date]],4),""))))</f>
        <v/>
      </c>
      <c r="O1007" s="77" t="str">
        <f>IF(Main[[#This Row],[Tech Start Date]]&lt;1/1/1990,"",IF(Main[[#This Row],[Class]]="C",WORKDAY(Main[[#This Row],[Tech Start Date]],23),IF(Main[[#This Row],[Class]]="B", WORKDAY(Main[[#This Row],[Tech Start Date]],15),IF(Main[[#This Row],[Class]]="A",WORKDAY(Main[[#This Row],[Tech Start Date]],5),""))))</f>
        <v/>
      </c>
      <c r="P1007" s="77" t="str">
        <f>IF(Main[[#This Row],[Tech Start Date]]&lt;1/1/1990,"",IF(Main[[#This Row],[Class]]="C",WORKDAY(Main[[#This Row],[Tech Start Date]],28),IF(Main[[#This Row],[Class]]="B", WORKDAY(Main[[#This Row],[Tech Start Date]],19),IF(Main[[#This Row],[Class]]="A",WORKDAY(Main[[#This Row],[Tech Start Date]],9),""))))</f>
        <v/>
      </c>
      <c r="Q1007" s="74">
        <v>40847</v>
      </c>
      <c r="R1007" s="74"/>
      <c r="S1007" s="72" t="s">
        <v>6</v>
      </c>
      <c r="T1007" s="80" t="s">
        <v>4</v>
      </c>
      <c r="U1007" s="72" t="s">
        <v>29</v>
      </c>
      <c r="V1007" s="72" t="s">
        <v>1940</v>
      </c>
      <c r="W1007" s="72" t="s">
        <v>1941</v>
      </c>
      <c r="X1007" s="72" t="s">
        <v>30</v>
      </c>
      <c r="Y1007" s="72" t="s">
        <v>3273</v>
      </c>
      <c r="Z1007" s="72" t="s">
        <v>30</v>
      </c>
    </row>
    <row r="1008" spans="1:26" ht="18.600000000000001" customHeight="1">
      <c r="A1008" s="142" t="str">
        <f>IF(priority(Main[[#This Row],[Comments]])&lt;&gt;0, priority(Main[[#This Row],[Comments]]),"")</f>
        <v/>
      </c>
      <c r="B1008" s="90" t="s">
        <v>2007</v>
      </c>
      <c r="C1008" s="72" t="s">
        <v>4</v>
      </c>
      <c r="D1008" s="73" t="s">
        <v>2043</v>
      </c>
      <c r="E1008" s="74">
        <v>40737.35056712963</v>
      </c>
      <c r="F1008" s="74"/>
      <c r="G1008" s="75" t="str">
        <f>IF(stdProdLT(Main[[#This Row],[Comments]])=0.1,"N/A",IF(stdProdLT(Main[[#This Row],[Comments]])=0,"",stdProdLT(Main[[#This Row],[Comments]])))</f>
        <v/>
      </c>
      <c r="H1008" s="76" t="str">
        <f>IF(AND(Main[[#This Row],[In Stock Date]]&lt;&gt;"",Main[[#This Row],[Revised Due Date]]&lt;&gt;""),Main[[#This Row],[In Stock Date]]-Main[[#This Row],[Revised Due Date]],"")</f>
        <v/>
      </c>
      <c r="I1008" s="72" t="s">
        <v>2040</v>
      </c>
      <c r="J1008" s="72" t="s">
        <v>28</v>
      </c>
      <c r="K1008" s="81" t="s">
        <v>4</v>
      </c>
      <c r="L1008" s="74"/>
      <c r="M1008" s="77" t="str">
        <f>IF(Main[[#This Row],[Tech Start Date]]&lt;1/1/1990,"",IF(Main[[#This Row],[Class]]="C",WORKDAY(Main[[#This Row],[Tech Start Date]],9),IF(Main[[#This Row],[Class]]="B", WORKDAY(Main[[#This Row],[Tech Start Date]],6),IF(Main[[#This Row],[Class]]="A",WORKDAY(Main[[#This Row],[Tech Start Date]],2),""))))</f>
        <v/>
      </c>
      <c r="N1008" s="77" t="str">
        <f>IF(Main[[#This Row],[Tech Start Date]]&lt;1/1/1990,"",IF(Main[[#This Row],[Class]]="C",WORKDAY(Main[[#This Row],[Tech Start Date]],19),IF(Main[[#This Row],[Class]]="B", WORKDAY(Main[[#This Row],[Tech Start Date]],12),IF(Main[[#This Row],[Class]]="A",WORKDAY(Main[[#This Row],[Tech Start Date]],4),""))))</f>
        <v/>
      </c>
      <c r="O1008" s="77" t="str">
        <f>IF(Main[[#This Row],[Tech Start Date]]&lt;1/1/1990,"",IF(Main[[#This Row],[Class]]="C",WORKDAY(Main[[#This Row],[Tech Start Date]],23),IF(Main[[#This Row],[Class]]="B", WORKDAY(Main[[#This Row],[Tech Start Date]],15),IF(Main[[#This Row],[Class]]="A",WORKDAY(Main[[#This Row],[Tech Start Date]],5),""))))</f>
        <v/>
      </c>
      <c r="P1008" s="77" t="str">
        <f>IF(Main[[#This Row],[Tech Start Date]]&lt;1/1/1990,"",IF(Main[[#This Row],[Class]]="C",WORKDAY(Main[[#This Row],[Tech Start Date]],28),IF(Main[[#This Row],[Class]]="B", WORKDAY(Main[[#This Row],[Tech Start Date]],19),IF(Main[[#This Row],[Class]]="A",WORKDAY(Main[[#This Row],[Tech Start Date]],9),""))))</f>
        <v/>
      </c>
      <c r="Q1008" s="74"/>
      <c r="R1008" s="74"/>
      <c r="S1008" s="72" t="s">
        <v>17</v>
      </c>
      <c r="T1008" s="80" t="s">
        <v>4</v>
      </c>
      <c r="U1008" s="72" t="s">
        <v>7</v>
      </c>
      <c r="V1008" s="72" t="s">
        <v>1952</v>
      </c>
      <c r="W1008" s="72" t="s">
        <v>1941</v>
      </c>
      <c r="X1008" s="72" t="s">
        <v>937</v>
      </c>
      <c r="Y1008" s="72" t="s">
        <v>3274</v>
      </c>
      <c r="Z1008" s="72" t="s">
        <v>2242</v>
      </c>
    </row>
    <row r="1009" spans="1:26" ht="18.600000000000001" customHeight="1">
      <c r="A1009" s="142" t="str">
        <f>IF(priority(Main[[#This Row],[Comments]])&lt;&gt;0, priority(Main[[#This Row],[Comments]]),"")</f>
        <v/>
      </c>
      <c r="B1009" s="90" t="s">
        <v>1094</v>
      </c>
      <c r="C1009" s="72" t="s">
        <v>4</v>
      </c>
      <c r="D1009" s="73" t="s">
        <v>2193</v>
      </c>
      <c r="E1009" s="74">
        <v>40696.780057870368</v>
      </c>
      <c r="F1009" s="74"/>
      <c r="G1009" s="75" t="str">
        <f>IF(stdProdLT(Main[[#This Row],[Comments]])=0.1,"N/A",IF(stdProdLT(Main[[#This Row],[Comments]])=0,"",stdProdLT(Main[[#This Row],[Comments]])))</f>
        <v/>
      </c>
      <c r="H1009" s="76" t="str">
        <f>IF(AND(Main[[#This Row],[In Stock Date]]&lt;&gt;"",Main[[#This Row],[Revised Due Date]]&lt;&gt;""),Main[[#This Row],[In Stock Date]]-Main[[#This Row],[Revised Due Date]],"")</f>
        <v/>
      </c>
      <c r="I1009" s="72" t="s">
        <v>495</v>
      </c>
      <c r="J1009" s="72" t="s">
        <v>52</v>
      </c>
      <c r="K1009" s="72" t="s">
        <v>1946</v>
      </c>
      <c r="L1009" s="74"/>
      <c r="M1009" s="77" t="str">
        <f>IF(Main[[#This Row],[Tech Start Date]]&lt;1/1/1990,"",IF(Main[[#This Row],[Class]]="C",WORKDAY(Main[[#This Row],[Tech Start Date]],9),IF(Main[[#This Row],[Class]]="B", WORKDAY(Main[[#This Row],[Tech Start Date]],6),IF(Main[[#This Row],[Class]]="A",WORKDAY(Main[[#This Row],[Tech Start Date]],2),""))))</f>
        <v/>
      </c>
      <c r="N1009" s="77" t="str">
        <f>IF(Main[[#This Row],[Tech Start Date]]&lt;1/1/1990,"",IF(Main[[#This Row],[Class]]="C",WORKDAY(Main[[#This Row],[Tech Start Date]],19),IF(Main[[#This Row],[Class]]="B", WORKDAY(Main[[#This Row],[Tech Start Date]],12),IF(Main[[#This Row],[Class]]="A",WORKDAY(Main[[#This Row],[Tech Start Date]],4),""))))</f>
        <v/>
      </c>
      <c r="O1009" s="77" t="str">
        <f>IF(Main[[#This Row],[Tech Start Date]]&lt;1/1/1990,"",IF(Main[[#This Row],[Class]]="C",WORKDAY(Main[[#This Row],[Tech Start Date]],23),IF(Main[[#This Row],[Class]]="B", WORKDAY(Main[[#This Row],[Tech Start Date]],15),IF(Main[[#This Row],[Class]]="A",WORKDAY(Main[[#This Row],[Tech Start Date]],5),""))))</f>
        <v/>
      </c>
      <c r="P1009" s="77" t="str">
        <f>IF(Main[[#This Row],[Tech Start Date]]&lt;1/1/1990,"",IF(Main[[#This Row],[Class]]="C",WORKDAY(Main[[#This Row],[Tech Start Date]],28),IF(Main[[#This Row],[Class]]="B", WORKDAY(Main[[#This Row],[Tech Start Date]],19),IF(Main[[#This Row],[Class]]="A",WORKDAY(Main[[#This Row],[Tech Start Date]],9),""))))</f>
        <v/>
      </c>
      <c r="Q1009" s="74">
        <v>40753</v>
      </c>
      <c r="R1009" s="74"/>
      <c r="S1009" s="72" t="s">
        <v>6</v>
      </c>
      <c r="T1009" s="80" t="s">
        <v>4</v>
      </c>
      <c r="U1009" s="72" t="s">
        <v>29</v>
      </c>
      <c r="V1009" s="72" t="s">
        <v>1947</v>
      </c>
      <c r="W1009" s="72" t="s">
        <v>1941</v>
      </c>
      <c r="X1009" s="72" t="s">
        <v>30</v>
      </c>
      <c r="Y1009" s="72" t="s">
        <v>3115</v>
      </c>
      <c r="Z1009" s="72" t="s">
        <v>44</v>
      </c>
    </row>
    <row r="1010" spans="1:26" ht="18.600000000000001" customHeight="1">
      <c r="A1010" s="142" t="str">
        <f>IF(priority(Main[[#This Row],[Comments]])&lt;&gt;0, priority(Main[[#This Row],[Comments]]),"")</f>
        <v/>
      </c>
      <c r="B1010" s="90" t="s">
        <v>1834</v>
      </c>
      <c r="C1010" s="72" t="s">
        <v>67</v>
      </c>
      <c r="D1010" s="73" t="s">
        <v>875</v>
      </c>
      <c r="E1010" s="74">
        <v>39981.506990740738</v>
      </c>
      <c r="F1010" s="74"/>
      <c r="G1010" s="75" t="str">
        <f>IF(stdProdLT(Main[[#This Row],[Comments]])=0.1,"N/A",IF(stdProdLT(Main[[#This Row],[Comments]])=0,"",stdProdLT(Main[[#This Row],[Comments]])))</f>
        <v/>
      </c>
      <c r="H1010" s="76" t="str">
        <f>IF(AND(Main[[#This Row],[In Stock Date]]&lt;&gt;"",Main[[#This Row],[Revised Due Date]]&lt;&gt;""),Main[[#This Row],[In Stock Date]]-Main[[#This Row],[Revised Due Date]],"")</f>
        <v/>
      </c>
      <c r="I1010" s="72" t="s">
        <v>866</v>
      </c>
      <c r="J1010" s="72" t="s">
        <v>4</v>
      </c>
      <c r="K1010" s="72" t="s">
        <v>1950</v>
      </c>
      <c r="L1010" s="74"/>
      <c r="M1010" s="77" t="str">
        <f>IF(Main[[#This Row],[Tech Start Date]]&lt;1/1/1990,"",IF(Main[[#This Row],[Class]]="C",WORKDAY(Main[[#This Row],[Tech Start Date]],9),IF(Main[[#This Row],[Class]]="B", WORKDAY(Main[[#This Row],[Tech Start Date]],6),IF(Main[[#This Row],[Class]]="A",WORKDAY(Main[[#This Row],[Tech Start Date]],2),""))))</f>
        <v/>
      </c>
      <c r="N1010" s="77" t="str">
        <f>IF(Main[[#This Row],[Tech Start Date]]&lt;1/1/1990,"",IF(Main[[#This Row],[Class]]="C",WORKDAY(Main[[#This Row],[Tech Start Date]],19),IF(Main[[#This Row],[Class]]="B", WORKDAY(Main[[#This Row],[Tech Start Date]],12),IF(Main[[#This Row],[Class]]="A",WORKDAY(Main[[#This Row],[Tech Start Date]],4),""))))</f>
        <v/>
      </c>
      <c r="O1010" s="77" t="str">
        <f>IF(Main[[#This Row],[Tech Start Date]]&lt;1/1/1990,"",IF(Main[[#This Row],[Class]]="C",WORKDAY(Main[[#This Row],[Tech Start Date]],23),IF(Main[[#This Row],[Class]]="B", WORKDAY(Main[[#This Row],[Tech Start Date]],15),IF(Main[[#This Row],[Class]]="A",WORKDAY(Main[[#This Row],[Tech Start Date]],5),""))))</f>
        <v/>
      </c>
      <c r="P1010" s="77" t="str">
        <f>IF(Main[[#This Row],[Tech Start Date]]&lt;1/1/1990,"",IF(Main[[#This Row],[Class]]="C",WORKDAY(Main[[#This Row],[Tech Start Date]],28),IF(Main[[#This Row],[Class]]="B", WORKDAY(Main[[#This Row],[Tech Start Date]],19),IF(Main[[#This Row],[Class]]="A",WORKDAY(Main[[#This Row],[Tech Start Date]],9),""))))</f>
        <v/>
      </c>
      <c r="Q1010" s="74">
        <v>40142</v>
      </c>
      <c r="R1010" s="74">
        <v>40259</v>
      </c>
      <c r="S1010" s="72" t="s">
        <v>17</v>
      </c>
      <c r="T1010" s="80" t="s">
        <v>4</v>
      </c>
      <c r="U1010" s="72" t="s">
        <v>29</v>
      </c>
      <c r="V1010" s="72" t="s">
        <v>1947</v>
      </c>
      <c r="W1010" s="72" t="s">
        <v>1942</v>
      </c>
      <c r="X1010" s="72" t="s">
        <v>2972</v>
      </c>
      <c r="Y1010" s="72" t="s">
        <v>3186</v>
      </c>
      <c r="Z1010" s="72" t="s">
        <v>81</v>
      </c>
    </row>
    <row r="1011" spans="1:26" ht="18.600000000000001" customHeight="1">
      <c r="A1011" s="142" t="str">
        <f>IF(priority(Main[[#This Row],[Comments]])&lt;&gt;0, priority(Main[[#This Row],[Comments]]),"")</f>
        <v/>
      </c>
      <c r="B1011" s="90" t="s">
        <v>2286</v>
      </c>
      <c r="C1011" s="72" t="s">
        <v>4</v>
      </c>
      <c r="D1011" s="73" t="s">
        <v>2287</v>
      </c>
      <c r="E1011" s="74">
        <v>40806.34847222222</v>
      </c>
      <c r="F1011" s="74"/>
      <c r="G1011" s="75" t="str">
        <f>IF(stdProdLT(Main[[#This Row],[Comments]])=0.1,"N/A",IF(stdProdLT(Main[[#This Row],[Comments]])=0,"",stdProdLT(Main[[#This Row],[Comments]])))</f>
        <v/>
      </c>
      <c r="H1011" s="76" t="str">
        <f>IF(AND(Main[[#This Row],[In Stock Date]]&lt;&gt;"",Main[[#This Row],[Revised Due Date]]&lt;&gt;""),Main[[#This Row],[In Stock Date]]-Main[[#This Row],[Revised Due Date]],"")</f>
        <v/>
      </c>
      <c r="I1011" s="72" t="s">
        <v>4</v>
      </c>
      <c r="J1011" s="72" t="s">
        <v>4</v>
      </c>
      <c r="K1011" s="72" t="s">
        <v>4</v>
      </c>
      <c r="L1011" s="74"/>
      <c r="M1011" s="77" t="str">
        <f>IF(Main[[#This Row],[Tech Start Date]]&lt;1/1/1990,"",IF(Main[[#This Row],[Class]]="C",WORKDAY(Main[[#This Row],[Tech Start Date]],9),IF(Main[[#This Row],[Class]]="B", WORKDAY(Main[[#This Row],[Tech Start Date]],6),IF(Main[[#This Row],[Class]]="A",WORKDAY(Main[[#This Row],[Tech Start Date]],2),""))))</f>
        <v/>
      </c>
      <c r="N1011" s="77" t="str">
        <f>IF(Main[[#This Row],[Tech Start Date]]&lt;1/1/1990,"",IF(Main[[#This Row],[Class]]="C",WORKDAY(Main[[#This Row],[Tech Start Date]],19),IF(Main[[#This Row],[Class]]="B", WORKDAY(Main[[#This Row],[Tech Start Date]],12),IF(Main[[#This Row],[Class]]="A",WORKDAY(Main[[#This Row],[Tech Start Date]],4),""))))</f>
        <v/>
      </c>
      <c r="O1011" s="77" t="str">
        <f>IF(Main[[#This Row],[Tech Start Date]]&lt;1/1/1990,"",IF(Main[[#This Row],[Class]]="C",WORKDAY(Main[[#This Row],[Tech Start Date]],23),IF(Main[[#This Row],[Class]]="B", WORKDAY(Main[[#This Row],[Tech Start Date]],15),IF(Main[[#This Row],[Class]]="A",WORKDAY(Main[[#This Row],[Tech Start Date]],5),""))))</f>
        <v/>
      </c>
      <c r="P1011" s="77" t="str">
        <f>IF(Main[[#This Row],[Tech Start Date]]&lt;1/1/1990,"",IF(Main[[#This Row],[Class]]="C",WORKDAY(Main[[#This Row],[Tech Start Date]],28),IF(Main[[#This Row],[Class]]="B", WORKDAY(Main[[#This Row],[Tech Start Date]],19),IF(Main[[#This Row],[Class]]="A",WORKDAY(Main[[#This Row],[Tech Start Date]],9),""))))</f>
        <v/>
      </c>
      <c r="Q1011" s="74">
        <v>40820</v>
      </c>
      <c r="R1011" s="74"/>
      <c r="S1011" s="72" t="s">
        <v>6</v>
      </c>
      <c r="T1011" s="80" t="s">
        <v>4</v>
      </c>
      <c r="U1011" s="72" t="s">
        <v>7</v>
      </c>
      <c r="V1011" s="72" t="s">
        <v>1937</v>
      </c>
      <c r="W1011" s="72" t="s">
        <v>4</v>
      </c>
      <c r="X1011" s="72" t="s">
        <v>3003</v>
      </c>
      <c r="Y1011" s="72" t="s">
        <v>3144</v>
      </c>
      <c r="Z1011" s="72" t="s">
        <v>4</v>
      </c>
    </row>
    <row r="1012" spans="1:26" ht="18.600000000000001" customHeight="1">
      <c r="A1012" s="142" t="str">
        <f>IF(priority(Main[[#This Row],[Comments]])&lt;&gt;0, priority(Main[[#This Row],[Comments]]),"")</f>
        <v/>
      </c>
      <c r="B1012" s="90" t="s">
        <v>2151</v>
      </c>
      <c r="C1012" s="72" t="s">
        <v>4</v>
      </c>
      <c r="D1012" s="73" t="s">
        <v>2152</v>
      </c>
      <c r="E1012" s="74">
        <v>40764.689583333333</v>
      </c>
      <c r="F1012" s="74"/>
      <c r="G1012" s="75" t="str">
        <f>IF(stdProdLT(Main[[#This Row],[Comments]])=0.1,"N/A",IF(stdProdLT(Main[[#This Row],[Comments]])=0,"",stdProdLT(Main[[#This Row],[Comments]])))</f>
        <v/>
      </c>
      <c r="H1012" s="76" t="str">
        <f>IF(AND(Main[[#This Row],[In Stock Date]]&lt;&gt;"",Main[[#This Row],[Revised Due Date]]&lt;&gt;""),Main[[#This Row],[In Stock Date]]-Main[[#This Row],[Revised Due Date]],"")</f>
        <v/>
      </c>
      <c r="I1012" s="72" t="s">
        <v>891</v>
      </c>
      <c r="J1012" s="72" t="s">
        <v>4</v>
      </c>
      <c r="K1012" s="81" t="s">
        <v>4</v>
      </c>
      <c r="L1012" s="74"/>
      <c r="M1012" s="77" t="str">
        <f>IF(Main[[#This Row],[Tech Start Date]]&lt;1/1/1990,"",IF(Main[[#This Row],[Class]]="C",WORKDAY(Main[[#This Row],[Tech Start Date]],9),IF(Main[[#This Row],[Class]]="B", WORKDAY(Main[[#This Row],[Tech Start Date]],6),IF(Main[[#This Row],[Class]]="A",WORKDAY(Main[[#This Row],[Tech Start Date]],2),""))))</f>
        <v/>
      </c>
      <c r="N1012" s="77" t="str">
        <f>IF(Main[[#This Row],[Tech Start Date]]&lt;1/1/1990,"",IF(Main[[#This Row],[Class]]="C",WORKDAY(Main[[#This Row],[Tech Start Date]],19),IF(Main[[#This Row],[Class]]="B", WORKDAY(Main[[#This Row],[Tech Start Date]],12),IF(Main[[#This Row],[Class]]="A",WORKDAY(Main[[#This Row],[Tech Start Date]],4),""))))</f>
        <v/>
      </c>
      <c r="O1012" s="77" t="str">
        <f>IF(Main[[#This Row],[Tech Start Date]]&lt;1/1/1990,"",IF(Main[[#This Row],[Class]]="C",WORKDAY(Main[[#This Row],[Tech Start Date]],23),IF(Main[[#This Row],[Class]]="B", WORKDAY(Main[[#This Row],[Tech Start Date]],15),IF(Main[[#This Row],[Class]]="A",WORKDAY(Main[[#This Row],[Tech Start Date]],5),""))))</f>
        <v/>
      </c>
      <c r="P1012" s="77" t="str">
        <f>IF(Main[[#This Row],[Tech Start Date]]&lt;1/1/1990,"",IF(Main[[#This Row],[Class]]="C",WORKDAY(Main[[#This Row],[Tech Start Date]],28),IF(Main[[#This Row],[Class]]="B", WORKDAY(Main[[#This Row],[Tech Start Date]],19),IF(Main[[#This Row],[Class]]="A",WORKDAY(Main[[#This Row],[Tech Start Date]],9),""))))</f>
        <v/>
      </c>
      <c r="Q1012" s="74"/>
      <c r="R1012" s="74"/>
      <c r="S1012" s="72" t="s">
        <v>6</v>
      </c>
      <c r="T1012" s="80" t="s">
        <v>4</v>
      </c>
      <c r="U1012" s="72" t="s">
        <v>7</v>
      </c>
      <c r="V1012" s="72" t="s">
        <v>1937</v>
      </c>
      <c r="W1012" s="72" t="s">
        <v>1939</v>
      </c>
      <c r="X1012" s="72" t="s">
        <v>311</v>
      </c>
      <c r="Y1012" s="72" t="s">
        <v>4</v>
      </c>
      <c r="Z1012" s="72" t="s">
        <v>891</v>
      </c>
    </row>
    <row r="1013" spans="1:26" ht="18.600000000000001" customHeight="1">
      <c r="A1013" s="142" t="str">
        <f>IF(priority(Main[[#This Row],[Comments]])&lt;&gt;0, priority(Main[[#This Row],[Comments]]),"")</f>
        <v/>
      </c>
      <c r="B1013" s="90" t="s">
        <v>2749</v>
      </c>
      <c r="C1013" s="72" t="s">
        <v>4</v>
      </c>
      <c r="D1013" s="73" t="s">
        <v>2750</v>
      </c>
      <c r="E1013" s="74">
        <v>40882.142546296294</v>
      </c>
      <c r="F1013" s="74"/>
      <c r="G1013" s="75" t="str">
        <f>IF(stdProdLT(Main[[#This Row],[Comments]])=0.1,"N/A",IF(stdProdLT(Main[[#This Row],[Comments]])=0,"",stdProdLT(Main[[#This Row],[Comments]])))</f>
        <v/>
      </c>
      <c r="H1013" s="76" t="str">
        <f>IF(AND(Main[[#This Row],[In Stock Date]]&lt;&gt;"",Main[[#This Row],[Revised Due Date]]&lt;&gt;""),Main[[#This Row],[In Stock Date]]-Main[[#This Row],[Revised Due Date]],"")</f>
        <v/>
      </c>
      <c r="I1013" s="72" t="s">
        <v>69</v>
      </c>
      <c r="J1013" s="72" t="s">
        <v>70</v>
      </c>
      <c r="K1013" s="81" t="s">
        <v>1946</v>
      </c>
      <c r="L1013" s="74"/>
      <c r="M1013" s="77" t="str">
        <f>IF(Main[[#This Row],[Tech Start Date]]&lt;1/1/1990,"",IF(Main[[#This Row],[Class]]="C",WORKDAY(Main[[#This Row],[Tech Start Date]],9),IF(Main[[#This Row],[Class]]="B", WORKDAY(Main[[#This Row],[Tech Start Date]],6),IF(Main[[#This Row],[Class]]="A",WORKDAY(Main[[#This Row],[Tech Start Date]],2),""))))</f>
        <v/>
      </c>
      <c r="N1013" s="77" t="str">
        <f>IF(Main[[#This Row],[Tech Start Date]]&lt;1/1/1990,"",IF(Main[[#This Row],[Class]]="C",WORKDAY(Main[[#This Row],[Tech Start Date]],19),IF(Main[[#This Row],[Class]]="B", WORKDAY(Main[[#This Row],[Tech Start Date]],12),IF(Main[[#This Row],[Class]]="A",WORKDAY(Main[[#This Row],[Tech Start Date]],4),""))))</f>
        <v/>
      </c>
      <c r="O1013" s="77" t="str">
        <f>IF(Main[[#This Row],[Tech Start Date]]&lt;1/1/1990,"",IF(Main[[#This Row],[Class]]="C",WORKDAY(Main[[#This Row],[Tech Start Date]],23),IF(Main[[#This Row],[Class]]="B", WORKDAY(Main[[#This Row],[Tech Start Date]],15),IF(Main[[#This Row],[Class]]="A",WORKDAY(Main[[#This Row],[Tech Start Date]],5),""))))</f>
        <v/>
      </c>
      <c r="P1013" s="77" t="str">
        <f>IF(Main[[#This Row],[Tech Start Date]]&lt;1/1/1990,"",IF(Main[[#This Row],[Class]]="C",WORKDAY(Main[[#This Row],[Tech Start Date]],28),IF(Main[[#This Row],[Class]]="B", WORKDAY(Main[[#This Row],[Tech Start Date]],19),IF(Main[[#This Row],[Class]]="A",WORKDAY(Main[[#This Row],[Tech Start Date]],9),""))))</f>
        <v/>
      </c>
      <c r="Q1013" s="74">
        <v>40913</v>
      </c>
      <c r="R1013" s="74"/>
      <c r="S1013" s="72" t="s">
        <v>6</v>
      </c>
      <c r="T1013" s="80" t="s">
        <v>4</v>
      </c>
      <c r="U1013" s="72" t="s">
        <v>29</v>
      </c>
      <c r="V1013" s="72" t="s">
        <v>1940</v>
      </c>
      <c r="W1013" s="72" t="s">
        <v>1941</v>
      </c>
      <c r="X1013" s="72" t="s">
        <v>2974</v>
      </c>
      <c r="Y1013" s="72" t="s">
        <v>3096</v>
      </c>
      <c r="Z1013" s="72" t="s">
        <v>30</v>
      </c>
    </row>
    <row r="1014" spans="1:26" ht="18.600000000000001" customHeight="1">
      <c r="A1014" s="142" t="str">
        <f>IF(priority(Main[[#This Row],[Comments]])&lt;&gt;0, priority(Main[[#This Row],[Comments]]),"")</f>
        <v/>
      </c>
      <c r="B1014" s="90" t="s">
        <v>1092</v>
      </c>
      <c r="C1014" s="72" t="s">
        <v>4</v>
      </c>
      <c r="D1014" s="73" t="s">
        <v>2266</v>
      </c>
      <c r="E1014" s="74">
        <v>40659.528229166666</v>
      </c>
      <c r="F1014" s="74"/>
      <c r="G1014" s="75" t="str">
        <f>IF(stdProdLT(Main[[#This Row],[Comments]])=0.1,"N/A",IF(stdProdLT(Main[[#This Row],[Comments]])=0,"",stdProdLT(Main[[#This Row],[Comments]])))</f>
        <v/>
      </c>
      <c r="H1014" s="76" t="str">
        <f>IF(AND(Main[[#This Row],[In Stock Date]]&lt;&gt;"",Main[[#This Row],[Revised Due Date]]&lt;&gt;""),Main[[#This Row],[In Stock Date]]-Main[[#This Row],[Revised Due Date]],"")</f>
        <v/>
      </c>
      <c r="I1014" s="72" t="s">
        <v>102</v>
      </c>
      <c r="J1014" s="72" t="s">
        <v>51</v>
      </c>
      <c r="K1014" s="72" t="s">
        <v>1946</v>
      </c>
      <c r="L1014" s="74"/>
      <c r="M1014" s="77" t="str">
        <f>IF(Main[[#This Row],[Tech Start Date]]&lt;1/1/1990,"",IF(Main[[#This Row],[Class]]="C",WORKDAY(Main[[#This Row],[Tech Start Date]],9),IF(Main[[#This Row],[Class]]="B", WORKDAY(Main[[#This Row],[Tech Start Date]],6),IF(Main[[#This Row],[Class]]="A",WORKDAY(Main[[#This Row],[Tech Start Date]],2),""))))</f>
        <v/>
      </c>
      <c r="N1014" s="77" t="str">
        <f>IF(Main[[#This Row],[Tech Start Date]]&lt;1/1/1990,"",IF(Main[[#This Row],[Class]]="C",WORKDAY(Main[[#This Row],[Tech Start Date]],19),IF(Main[[#This Row],[Class]]="B", WORKDAY(Main[[#This Row],[Tech Start Date]],12),IF(Main[[#This Row],[Class]]="A",WORKDAY(Main[[#This Row],[Tech Start Date]],4),""))))</f>
        <v/>
      </c>
      <c r="O1014" s="77" t="str">
        <f>IF(Main[[#This Row],[Tech Start Date]]&lt;1/1/1990,"",IF(Main[[#This Row],[Class]]="C",WORKDAY(Main[[#This Row],[Tech Start Date]],23),IF(Main[[#This Row],[Class]]="B", WORKDAY(Main[[#This Row],[Tech Start Date]],15),IF(Main[[#This Row],[Class]]="A",WORKDAY(Main[[#This Row],[Tech Start Date]],5),""))))</f>
        <v/>
      </c>
      <c r="P1014" s="77" t="str">
        <f>IF(Main[[#This Row],[Tech Start Date]]&lt;1/1/1990,"",IF(Main[[#This Row],[Class]]="C",WORKDAY(Main[[#This Row],[Tech Start Date]],28),IF(Main[[#This Row],[Class]]="B", WORKDAY(Main[[#This Row],[Tech Start Date]],19),IF(Main[[#This Row],[Class]]="A",WORKDAY(Main[[#This Row],[Tech Start Date]],9),""))))</f>
        <v/>
      </c>
      <c r="Q1014" s="74"/>
      <c r="R1014" s="74"/>
      <c r="S1014" s="72" t="s">
        <v>6</v>
      </c>
      <c r="T1014" s="80" t="s">
        <v>4</v>
      </c>
      <c r="U1014" s="72" t="s">
        <v>29</v>
      </c>
      <c r="V1014" s="72" t="s">
        <v>1940</v>
      </c>
      <c r="W1014" s="72" t="s">
        <v>1941</v>
      </c>
      <c r="X1014" s="72" t="s">
        <v>102</v>
      </c>
      <c r="Y1014" s="72" t="s">
        <v>3275</v>
      </c>
      <c r="Z1014" s="72" t="s">
        <v>311</v>
      </c>
    </row>
    <row r="1015" spans="1:26" ht="18.600000000000001" customHeight="1">
      <c r="A1015" s="142" t="str">
        <f>IF(priority(Main[[#This Row],[Comments]])&lt;&gt;0, priority(Main[[#This Row],[Comments]]),"")</f>
        <v/>
      </c>
      <c r="B1015" s="90" t="s">
        <v>1890</v>
      </c>
      <c r="C1015" s="72" t="s">
        <v>4</v>
      </c>
      <c r="D1015" s="73" t="s">
        <v>939</v>
      </c>
      <c r="E1015" s="74">
        <v>39968.4141087963</v>
      </c>
      <c r="F1015" s="74">
        <v>40298</v>
      </c>
      <c r="G1015" s="75" t="str">
        <f>IF(stdProdLT(Main[[#This Row],[Comments]])=0.1,"N/A",IF(stdProdLT(Main[[#This Row],[Comments]])=0,"",stdProdLT(Main[[#This Row],[Comments]])))</f>
        <v/>
      </c>
      <c r="H1015" s="76">
        <f>IF(AND(Main[[#This Row],[In Stock Date]]&lt;&gt;"",Main[[#This Row],[Revised Due Date]]&lt;&gt;""),Main[[#This Row],[In Stock Date]]-Main[[#This Row],[Revised Due Date]],"")</f>
        <v>-697</v>
      </c>
      <c r="I1015" s="72" t="s">
        <v>990</v>
      </c>
      <c r="J1015" s="72" t="s">
        <v>4</v>
      </c>
      <c r="K1015" s="72" t="s">
        <v>1949</v>
      </c>
      <c r="L1015" s="74"/>
      <c r="M1015" s="77" t="str">
        <f>IF(Main[[#This Row],[Tech Start Date]]&lt;1/1/1990,"",IF(Main[[#This Row],[Class]]="C",WORKDAY(Main[[#This Row],[Tech Start Date]],9),IF(Main[[#This Row],[Class]]="B", WORKDAY(Main[[#This Row],[Tech Start Date]],6),IF(Main[[#This Row],[Class]]="A",WORKDAY(Main[[#This Row],[Tech Start Date]],2),""))))</f>
        <v/>
      </c>
      <c r="N1015" s="77" t="str">
        <f>IF(Main[[#This Row],[Tech Start Date]]&lt;1/1/1990,"",IF(Main[[#This Row],[Class]]="C",WORKDAY(Main[[#This Row],[Tech Start Date]],19),IF(Main[[#This Row],[Class]]="B", WORKDAY(Main[[#This Row],[Tech Start Date]],12),IF(Main[[#This Row],[Class]]="A",WORKDAY(Main[[#This Row],[Tech Start Date]],4),""))))</f>
        <v/>
      </c>
      <c r="O1015" s="77" t="str">
        <f>IF(Main[[#This Row],[Tech Start Date]]&lt;1/1/1990,"",IF(Main[[#This Row],[Class]]="C",WORKDAY(Main[[#This Row],[Tech Start Date]],23),IF(Main[[#This Row],[Class]]="B", WORKDAY(Main[[#This Row],[Tech Start Date]],15),IF(Main[[#This Row],[Class]]="A",WORKDAY(Main[[#This Row],[Tech Start Date]],5),""))))</f>
        <v/>
      </c>
      <c r="P1015" s="77" t="str">
        <f>IF(Main[[#This Row],[Tech Start Date]]&lt;1/1/1990,"",IF(Main[[#This Row],[Class]]="C",WORKDAY(Main[[#This Row],[Tech Start Date]],28),IF(Main[[#This Row],[Class]]="B", WORKDAY(Main[[#This Row],[Tech Start Date]],19),IF(Main[[#This Row],[Class]]="A",WORKDAY(Main[[#This Row],[Tech Start Date]],9),""))))</f>
        <v/>
      </c>
      <c r="Q1015" s="74">
        <v>40165</v>
      </c>
      <c r="R1015" s="74">
        <v>40995</v>
      </c>
      <c r="S1015" s="72" t="s">
        <v>17</v>
      </c>
      <c r="T1015" s="80" t="s">
        <v>4</v>
      </c>
      <c r="U1015" s="72" t="s">
        <v>29</v>
      </c>
      <c r="V1015" s="72" t="s">
        <v>1940</v>
      </c>
      <c r="W1015" s="72" t="s">
        <v>1945</v>
      </c>
      <c r="X1015" s="72" t="s">
        <v>984</v>
      </c>
      <c r="Y1015" s="72" t="s">
        <v>3276</v>
      </c>
      <c r="Z1015" s="72" t="s">
        <v>421</v>
      </c>
    </row>
    <row r="1016" spans="1:26" ht="18.600000000000001" customHeight="1">
      <c r="A1016" s="142" t="str">
        <f>IF(priority(Main[[#This Row],[Comments]])&lt;&gt;0, priority(Main[[#This Row],[Comments]]),"")</f>
        <v/>
      </c>
      <c r="B1016" s="90" t="s">
        <v>1789</v>
      </c>
      <c r="C1016" s="72" t="s">
        <v>4</v>
      </c>
      <c r="D1016" s="73" t="s">
        <v>826</v>
      </c>
      <c r="E1016" s="74"/>
      <c r="F1016" s="74"/>
      <c r="G1016" s="75" t="str">
        <f>IF(stdProdLT(Main[[#This Row],[Comments]])=0.1,"N/A",IF(stdProdLT(Main[[#This Row],[Comments]])=0,"",stdProdLT(Main[[#This Row],[Comments]])))</f>
        <v/>
      </c>
      <c r="H1016" s="76" t="str">
        <f>IF(AND(Main[[#This Row],[In Stock Date]]&lt;&gt;"",Main[[#This Row],[Revised Due Date]]&lt;&gt;""),Main[[#This Row],[In Stock Date]]-Main[[#This Row],[Revised Due Date]],"")</f>
        <v/>
      </c>
      <c r="I1016" s="72" t="s">
        <v>4</v>
      </c>
      <c r="J1016" s="72" t="s">
        <v>4</v>
      </c>
      <c r="K1016" s="81" t="s">
        <v>4</v>
      </c>
      <c r="L1016" s="74"/>
      <c r="M1016" s="77" t="str">
        <f>IF(Main[[#This Row],[Tech Start Date]]&lt;1/1/1990,"",IF(Main[[#This Row],[Class]]="C",WORKDAY(Main[[#This Row],[Tech Start Date]],9),IF(Main[[#This Row],[Class]]="B", WORKDAY(Main[[#This Row],[Tech Start Date]],6),IF(Main[[#This Row],[Class]]="A",WORKDAY(Main[[#This Row],[Tech Start Date]],2),""))))</f>
        <v/>
      </c>
      <c r="N1016" s="77" t="str">
        <f>IF(Main[[#This Row],[Tech Start Date]]&lt;1/1/1990,"",IF(Main[[#This Row],[Class]]="C",WORKDAY(Main[[#This Row],[Tech Start Date]],19),IF(Main[[#This Row],[Class]]="B", WORKDAY(Main[[#This Row],[Tech Start Date]],12),IF(Main[[#This Row],[Class]]="A",WORKDAY(Main[[#This Row],[Tech Start Date]],4),""))))</f>
        <v/>
      </c>
      <c r="O1016" s="77" t="str">
        <f>IF(Main[[#This Row],[Tech Start Date]]&lt;1/1/1990,"",IF(Main[[#This Row],[Class]]="C",WORKDAY(Main[[#This Row],[Tech Start Date]],23),IF(Main[[#This Row],[Class]]="B", WORKDAY(Main[[#This Row],[Tech Start Date]],15),IF(Main[[#This Row],[Class]]="A",WORKDAY(Main[[#This Row],[Tech Start Date]],5),""))))</f>
        <v/>
      </c>
      <c r="P1016" s="77" t="str">
        <f>IF(Main[[#This Row],[Tech Start Date]]&lt;1/1/1990,"",IF(Main[[#This Row],[Class]]="C",WORKDAY(Main[[#This Row],[Tech Start Date]],28),IF(Main[[#This Row],[Class]]="B", WORKDAY(Main[[#This Row],[Tech Start Date]],19),IF(Main[[#This Row],[Class]]="A",WORKDAY(Main[[#This Row],[Tech Start Date]],9),""))))</f>
        <v/>
      </c>
      <c r="Q1016" s="74">
        <v>40209</v>
      </c>
      <c r="R1016" s="74"/>
      <c r="S1016" s="72" t="s">
        <v>6</v>
      </c>
      <c r="T1016" s="80" t="s">
        <v>4</v>
      </c>
      <c r="U1016" s="72" t="s">
        <v>14</v>
      </c>
      <c r="V1016" s="72" t="s">
        <v>1940</v>
      </c>
      <c r="W1016" s="72" t="s">
        <v>4</v>
      </c>
      <c r="X1016" s="72" t="s">
        <v>3039</v>
      </c>
      <c r="Y1016" s="72" t="s">
        <v>3201</v>
      </c>
      <c r="Z1016" s="72" t="s">
        <v>4</v>
      </c>
    </row>
    <row r="1017" spans="1:26" ht="18.600000000000001" customHeight="1">
      <c r="A1017" s="142" t="str">
        <f>IF(priority(Main[[#This Row],[Comments]])&lt;&gt;0, priority(Main[[#This Row],[Comments]]),"")</f>
        <v/>
      </c>
      <c r="B1017" s="90" t="s">
        <v>1790</v>
      </c>
      <c r="C1017" s="72" t="s">
        <v>827</v>
      </c>
      <c r="D1017" s="73" t="s">
        <v>828</v>
      </c>
      <c r="E1017" s="74"/>
      <c r="F1017" s="74">
        <v>40678</v>
      </c>
      <c r="G1017" s="75" t="str">
        <f>IF(stdProdLT(Main[[#This Row],[Comments]])=0.1,"N/A",IF(stdProdLT(Main[[#This Row],[Comments]])=0,"",stdProdLT(Main[[#This Row],[Comments]])))</f>
        <v/>
      </c>
      <c r="H1017" s="76" t="str">
        <f>IF(AND(Main[[#This Row],[In Stock Date]]&lt;&gt;"",Main[[#This Row],[Revised Due Date]]&lt;&gt;""),Main[[#This Row],[In Stock Date]]-Main[[#This Row],[Revised Due Date]],"")</f>
        <v/>
      </c>
      <c r="I1017" s="72" t="s">
        <v>4</v>
      </c>
      <c r="J1017" s="72" t="s">
        <v>4</v>
      </c>
      <c r="K1017" s="72" t="s">
        <v>4</v>
      </c>
      <c r="L1017" s="74"/>
      <c r="M1017" s="77" t="str">
        <f>IF(Main[[#This Row],[Tech Start Date]]&lt;1/1/1990,"",IF(Main[[#This Row],[Class]]="C",WORKDAY(Main[[#This Row],[Tech Start Date]],9),IF(Main[[#This Row],[Class]]="B", WORKDAY(Main[[#This Row],[Tech Start Date]],6),IF(Main[[#This Row],[Class]]="A",WORKDAY(Main[[#This Row],[Tech Start Date]],2),""))))</f>
        <v/>
      </c>
      <c r="N1017" s="77" t="str">
        <f>IF(Main[[#This Row],[Tech Start Date]]&lt;1/1/1990,"",IF(Main[[#This Row],[Class]]="C",WORKDAY(Main[[#This Row],[Tech Start Date]],19),IF(Main[[#This Row],[Class]]="B", WORKDAY(Main[[#This Row],[Tech Start Date]],12),IF(Main[[#This Row],[Class]]="A",WORKDAY(Main[[#This Row],[Tech Start Date]],4),""))))</f>
        <v/>
      </c>
      <c r="O1017" s="77" t="str">
        <f>IF(Main[[#This Row],[Tech Start Date]]&lt;1/1/1990,"",IF(Main[[#This Row],[Class]]="C",WORKDAY(Main[[#This Row],[Tech Start Date]],23),IF(Main[[#This Row],[Class]]="B", WORKDAY(Main[[#This Row],[Tech Start Date]],15),IF(Main[[#This Row],[Class]]="A",WORKDAY(Main[[#This Row],[Tech Start Date]],5),""))))</f>
        <v/>
      </c>
      <c r="P1017" s="77" t="str">
        <f>IF(Main[[#This Row],[Tech Start Date]]&lt;1/1/1990,"",IF(Main[[#This Row],[Class]]="C",WORKDAY(Main[[#This Row],[Tech Start Date]],28),IF(Main[[#This Row],[Class]]="B", WORKDAY(Main[[#This Row],[Tech Start Date]],19),IF(Main[[#This Row],[Class]]="A",WORKDAY(Main[[#This Row],[Tech Start Date]],9),""))))</f>
        <v/>
      </c>
      <c r="Q1017" s="74">
        <v>40602</v>
      </c>
      <c r="R1017" s="74"/>
      <c r="S1017" s="72" t="s">
        <v>11</v>
      </c>
      <c r="T1017" s="80" t="s">
        <v>4</v>
      </c>
      <c r="U1017" s="72" t="s">
        <v>14</v>
      </c>
      <c r="V1017" s="72" t="s">
        <v>1937</v>
      </c>
      <c r="W1017" s="72" t="s">
        <v>1943</v>
      </c>
      <c r="X1017" s="72" t="s">
        <v>2976</v>
      </c>
      <c r="Y1017" s="72" t="s">
        <v>3101</v>
      </c>
      <c r="Z1017" s="72" t="s">
        <v>4</v>
      </c>
    </row>
    <row r="1018" spans="1:26" ht="18.600000000000001" customHeight="1">
      <c r="A1018" s="142" t="str">
        <f>IF(priority(Main[[#This Row],[Comments]])&lt;&gt;0, priority(Main[[#This Row],[Comments]]),"")</f>
        <v/>
      </c>
      <c r="B1018" s="90" t="s">
        <v>1793</v>
      </c>
      <c r="C1018" s="72" t="s">
        <v>829</v>
      </c>
      <c r="D1018" s="73" t="s">
        <v>830</v>
      </c>
      <c r="E1018" s="74"/>
      <c r="F1018" s="74"/>
      <c r="G1018" s="75" t="str">
        <f>IF(stdProdLT(Main[[#This Row],[Comments]])=0.1,"N/A",IF(stdProdLT(Main[[#This Row],[Comments]])=0,"",stdProdLT(Main[[#This Row],[Comments]])))</f>
        <v/>
      </c>
      <c r="H1018" s="76" t="str">
        <f>IF(AND(Main[[#This Row],[In Stock Date]]&lt;&gt;"",Main[[#This Row],[Revised Due Date]]&lt;&gt;""),Main[[#This Row],[In Stock Date]]-Main[[#This Row],[Revised Due Date]],"")</f>
        <v/>
      </c>
      <c r="I1018" s="72" t="s">
        <v>4</v>
      </c>
      <c r="J1018" s="72" t="s">
        <v>4</v>
      </c>
      <c r="K1018" s="72" t="s">
        <v>4</v>
      </c>
      <c r="L1018" s="74"/>
      <c r="M1018" s="77" t="str">
        <f>IF(Main[[#This Row],[Tech Start Date]]&lt;1/1/1990,"",IF(Main[[#This Row],[Class]]="C",WORKDAY(Main[[#This Row],[Tech Start Date]],9),IF(Main[[#This Row],[Class]]="B", WORKDAY(Main[[#This Row],[Tech Start Date]],6),IF(Main[[#This Row],[Class]]="A",WORKDAY(Main[[#This Row],[Tech Start Date]],2),""))))</f>
        <v/>
      </c>
      <c r="N1018" s="77" t="str">
        <f>IF(Main[[#This Row],[Tech Start Date]]&lt;1/1/1990,"",IF(Main[[#This Row],[Class]]="C",WORKDAY(Main[[#This Row],[Tech Start Date]],19),IF(Main[[#This Row],[Class]]="B", WORKDAY(Main[[#This Row],[Tech Start Date]],12),IF(Main[[#This Row],[Class]]="A",WORKDAY(Main[[#This Row],[Tech Start Date]],4),""))))</f>
        <v/>
      </c>
      <c r="O1018" s="77" t="str">
        <f>IF(Main[[#This Row],[Tech Start Date]]&lt;1/1/1990,"",IF(Main[[#This Row],[Class]]="C",WORKDAY(Main[[#This Row],[Tech Start Date]],23),IF(Main[[#This Row],[Class]]="B", WORKDAY(Main[[#This Row],[Tech Start Date]],15),IF(Main[[#This Row],[Class]]="A",WORKDAY(Main[[#This Row],[Tech Start Date]],5),""))))</f>
        <v/>
      </c>
      <c r="P1018" s="77" t="str">
        <f>IF(Main[[#This Row],[Tech Start Date]]&lt;1/1/1990,"",IF(Main[[#This Row],[Class]]="C",WORKDAY(Main[[#This Row],[Tech Start Date]],28),IF(Main[[#This Row],[Class]]="B", WORKDAY(Main[[#This Row],[Tech Start Date]],19),IF(Main[[#This Row],[Class]]="A",WORKDAY(Main[[#This Row],[Tech Start Date]],9),""))))</f>
        <v/>
      </c>
      <c r="Q1018" s="74">
        <v>40715</v>
      </c>
      <c r="R1018" s="74"/>
      <c r="S1018" s="72" t="s">
        <v>11</v>
      </c>
      <c r="T1018" s="80" t="s">
        <v>4</v>
      </c>
      <c r="U1018" s="72" t="s">
        <v>14</v>
      </c>
      <c r="V1018" s="72" t="s">
        <v>1938</v>
      </c>
      <c r="W1018" s="72" t="s">
        <v>1939</v>
      </c>
      <c r="X1018" s="72" t="s">
        <v>2967</v>
      </c>
      <c r="Y1018" s="72" t="s">
        <v>4</v>
      </c>
      <c r="Z1018" s="72" t="s">
        <v>4</v>
      </c>
    </row>
    <row r="1019" spans="1:26" ht="18.600000000000001" customHeight="1">
      <c r="A1019" s="142" t="str">
        <f>IF(priority(Main[[#This Row],[Comments]])&lt;&gt;0, priority(Main[[#This Row],[Comments]]),"")</f>
        <v/>
      </c>
      <c r="B1019" s="90" t="s">
        <v>2197</v>
      </c>
      <c r="C1019" s="72" t="s">
        <v>2191</v>
      </c>
      <c r="D1019" s="73" t="s">
        <v>2192</v>
      </c>
      <c r="E1019" s="74">
        <v>40781.39603009259</v>
      </c>
      <c r="F1019" s="74"/>
      <c r="G1019" s="75" t="str">
        <f>IF(stdProdLT(Main[[#This Row],[Comments]])=0.1,"N/A",IF(stdProdLT(Main[[#This Row],[Comments]])=0,"",stdProdLT(Main[[#This Row],[Comments]])))</f>
        <v/>
      </c>
      <c r="H1019" s="76" t="str">
        <f>IF(AND(Main[[#This Row],[In Stock Date]]&lt;&gt;"",Main[[#This Row],[Revised Due Date]]&lt;&gt;""),Main[[#This Row],[In Stock Date]]-Main[[#This Row],[Revised Due Date]],"")</f>
        <v/>
      </c>
      <c r="I1019" s="72" t="s">
        <v>69</v>
      </c>
      <c r="J1019" s="72" t="s">
        <v>2003</v>
      </c>
      <c r="K1019" s="81" t="s">
        <v>1946</v>
      </c>
      <c r="L1019" s="74"/>
      <c r="M1019" s="77" t="str">
        <f>IF(Main[[#This Row],[Tech Start Date]]&lt;1/1/1990,"",IF(Main[[#This Row],[Class]]="C",WORKDAY(Main[[#This Row],[Tech Start Date]],9),IF(Main[[#This Row],[Class]]="B", WORKDAY(Main[[#This Row],[Tech Start Date]],6),IF(Main[[#This Row],[Class]]="A",WORKDAY(Main[[#This Row],[Tech Start Date]],2),""))))</f>
        <v/>
      </c>
      <c r="N1019" s="77" t="str">
        <f>IF(Main[[#This Row],[Tech Start Date]]&lt;1/1/1990,"",IF(Main[[#This Row],[Class]]="C",WORKDAY(Main[[#This Row],[Tech Start Date]],19),IF(Main[[#This Row],[Class]]="B", WORKDAY(Main[[#This Row],[Tech Start Date]],12),IF(Main[[#This Row],[Class]]="A",WORKDAY(Main[[#This Row],[Tech Start Date]],4),""))))</f>
        <v/>
      </c>
      <c r="O1019" s="77" t="str">
        <f>IF(Main[[#This Row],[Tech Start Date]]&lt;1/1/1990,"",IF(Main[[#This Row],[Class]]="C",WORKDAY(Main[[#This Row],[Tech Start Date]],23),IF(Main[[#This Row],[Class]]="B", WORKDAY(Main[[#This Row],[Tech Start Date]],15),IF(Main[[#This Row],[Class]]="A",WORKDAY(Main[[#This Row],[Tech Start Date]],5),""))))</f>
        <v/>
      </c>
      <c r="P1019" s="77" t="str">
        <f>IF(Main[[#This Row],[Tech Start Date]]&lt;1/1/1990,"",IF(Main[[#This Row],[Class]]="C",WORKDAY(Main[[#This Row],[Tech Start Date]],28),IF(Main[[#This Row],[Class]]="B", WORKDAY(Main[[#This Row],[Tech Start Date]],19),IF(Main[[#This Row],[Class]]="A",WORKDAY(Main[[#This Row],[Tech Start Date]],9),""))))</f>
        <v/>
      </c>
      <c r="Q1019" s="74">
        <v>40836</v>
      </c>
      <c r="R1019" s="74"/>
      <c r="S1019" s="72" t="s">
        <v>6</v>
      </c>
      <c r="T1019" s="80" t="s">
        <v>4</v>
      </c>
      <c r="U1019" s="72" t="s">
        <v>29</v>
      </c>
      <c r="V1019" s="72" t="s">
        <v>1940</v>
      </c>
      <c r="W1019" s="72" t="s">
        <v>1941</v>
      </c>
      <c r="X1019" s="72" t="s">
        <v>2988</v>
      </c>
      <c r="Y1019" s="72" t="s">
        <v>3123</v>
      </c>
      <c r="Z1019" s="72" t="s">
        <v>30</v>
      </c>
    </row>
    <row r="1020" spans="1:26" ht="18.600000000000001" customHeight="1">
      <c r="A1020" s="142" t="str">
        <f>IF(priority(Main[[#This Row],[Comments]])&lt;&gt;0, priority(Main[[#This Row],[Comments]]),"")</f>
        <v/>
      </c>
      <c r="B1020" s="90" t="s">
        <v>1803</v>
      </c>
      <c r="C1020" s="72" t="s">
        <v>183</v>
      </c>
      <c r="D1020" s="73" t="s">
        <v>837</v>
      </c>
      <c r="E1020" s="74"/>
      <c r="F1020" s="74">
        <v>40389</v>
      </c>
      <c r="G1020" s="75" t="str">
        <f>IF(stdProdLT(Main[[#This Row],[Comments]])=0.1,"N/A",IF(stdProdLT(Main[[#This Row],[Comments]])=0,"",stdProdLT(Main[[#This Row],[Comments]])))</f>
        <v/>
      </c>
      <c r="H1020" s="76" t="str">
        <f>IF(AND(Main[[#This Row],[In Stock Date]]&lt;&gt;"",Main[[#This Row],[Revised Due Date]]&lt;&gt;""),Main[[#This Row],[In Stock Date]]-Main[[#This Row],[Revised Due Date]],"")</f>
        <v/>
      </c>
      <c r="I1020" s="72" t="s">
        <v>4</v>
      </c>
      <c r="J1020" s="72" t="s">
        <v>4</v>
      </c>
      <c r="K1020" s="72" t="s">
        <v>4</v>
      </c>
      <c r="L1020" s="74"/>
      <c r="M1020" s="77" t="str">
        <f>IF(Main[[#This Row],[Tech Start Date]]&lt;1/1/1990,"",IF(Main[[#This Row],[Class]]="C",WORKDAY(Main[[#This Row],[Tech Start Date]],9),IF(Main[[#This Row],[Class]]="B", WORKDAY(Main[[#This Row],[Tech Start Date]],6),IF(Main[[#This Row],[Class]]="A",WORKDAY(Main[[#This Row],[Tech Start Date]],2),""))))</f>
        <v/>
      </c>
      <c r="N1020" s="77" t="str">
        <f>IF(Main[[#This Row],[Tech Start Date]]&lt;1/1/1990,"",IF(Main[[#This Row],[Class]]="C",WORKDAY(Main[[#This Row],[Tech Start Date]],19),IF(Main[[#This Row],[Class]]="B", WORKDAY(Main[[#This Row],[Tech Start Date]],12),IF(Main[[#This Row],[Class]]="A",WORKDAY(Main[[#This Row],[Tech Start Date]],4),""))))</f>
        <v/>
      </c>
      <c r="O1020" s="77" t="str">
        <f>IF(Main[[#This Row],[Tech Start Date]]&lt;1/1/1990,"",IF(Main[[#This Row],[Class]]="C",WORKDAY(Main[[#This Row],[Tech Start Date]],23),IF(Main[[#This Row],[Class]]="B", WORKDAY(Main[[#This Row],[Tech Start Date]],15),IF(Main[[#This Row],[Class]]="A",WORKDAY(Main[[#This Row],[Tech Start Date]],5),""))))</f>
        <v/>
      </c>
      <c r="P1020" s="77" t="str">
        <f>IF(Main[[#This Row],[Tech Start Date]]&lt;1/1/1990,"",IF(Main[[#This Row],[Class]]="C",WORKDAY(Main[[#This Row],[Tech Start Date]],28),IF(Main[[#This Row],[Class]]="B", WORKDAY(Main[[#This Row],[Tech Start Date]],19),IF(Main[[#This Row],[Class]]="A",WORKDAY(Main[[#This Row],[Tech Start Date]],9),""))))</f>
        <v/>
      </c>
      <c r="Q1020" s="74">
        <v>40298</v>
      </c>
      <c r="R1020" s="74"/>
      <c r="S1020" s="72" t="s">
        <v>11</v>
      </c>
      <c r="T1020" s="80" t="s">
        <v>4</v>
      </c>
      <c r="U1020" s="72" t="s">
        <v>14</v>
      </c>
      <c r="V1020" s="72" t="s">
        <v>1937</v>
      </c>
      <c r="W1020" s="72" t="s">
        <v>1943</v>
      </c>
      <c r="X1020" s="72" t="s">
        <v>2976</v>
      </c>
      <c r="Y1020" s="72" t="s">
        <v>3101</v>
      </c>
      <c r="Z1020" s="72" t="s">
        <v>4</v>
      </c>
    </row>
    <row r="1021" spans="1:26" ht="18.600000000000001" customHeight="1">
      <c r="A1021" s="142" t="str">
        <f>IF(priority(Main[[#This Row],[Comments]])&lt;&gt;0, priority(Main[[#This Row],[Comments]]),"")</f>
        <v/>
      </c>
      <c r="B1021" s="90" t="s">
        <v>1804</v>
      </c>
      <c r="C1021" s="72" t="s">
        <v>838</v>
      </c>
      <c r="D1021" s="73" t="s">
        <v>839</v>
      </c>
      <c r="E1021" s="74"/>
      <c r="F1021" s="74"/>
      <c r="G1021" s="75" t="str">
        <f>IF(stdProdLT(Main[[#This Row],[Comments]])=0.1,"N/A",IF(stdProdLT(Main[[#This Row],[Comments]])=0,"",stdProdLT(Main[[#This Row],[Comments]])))</f>
        <v/>
      </c>
      <c r="H1021" s="76" t="str">
        <f>IF(AND(Main[[#This Row],[In Stock Date]]&lt;&gt;"",Main[[#This Row],[Revised Due Date]]&lt;&gt;""),Main[[#This Row],[In Stock Date]]-Main[[#This Row],[Revised Due Date]],"")</f>
        <v/>
      </c>
      <c r="I1021" s="72" t="s">
        <v>4</v>
      </c>
      <c r="J1021" s="72" t="s">
        <v>4</v>
      </c>
      <c r="K1021" s="72" t="s">
        <v>4</v>
      </c>
      <c r="L1021" s="74"/>
      <c r="M1021" s="77" t="str">
        <f>IF(Main[[#This Row],[Tech Start Date]]&lt;1/1/1990,"",IF(Main[[#This Row],[Class]]="C",WORKDAY(Main[[#This Row],[Tech Start Date]],9),IF(Main[[#This Row],[Class]]="B", WORKDAY(Main[[#This Row],[Tech Start Date]],6),IF(Main[[#This Row],[Class]]="A",WORKDAY(Main[[#This Row],[Tech Start Date]],2),""))))</f>
        <v/>
      </c>
      <c r="N1021" s="77" t="str">
        <f>IF(Main[[#This Row],[Tech Start Date]]&lt;1/1/1990,"",IF(Main[[#This Row],[Class]]="C",WORKDAY(Main[[#This Row],[Tech Start Date]],19),IF(Main[[#This Row],[Class]]="B", WORKDAY(Main[[#This Row],[Tech Start Date]],12),IF(Main[[#This Row],[Class]]="A",WORKDAY(Main[[#This Row],[Tech Start Date]],4),""))))</f>
        <v/>
      </c>
      <c r="O1021" s="77" t="str">
        <f>IF(Main[[#This Row],[Tech Start Date]]&lt;1/1/1990,"",IF(Main[[#This Row],[Class]]="C",WORKDAY(Main[[#This Row],[Tech Start Date]],23),IF(Main[[#This Row],[Class]]="B", WORKDAY(Main[[#This Row],[Tech Start Date]],15),IF(Main[[#This Row],[Class]]="A",WORKDAY(Main[[#This Row],[Tech Start Date]],5),""))))</f>
        <v/>
      </c>
      <c r="P1021" s="77" t="str">
        <f>IF(Main[[#This Row],[Tech Start Date]]&lt;1/1/1990,"",IF(Main[[#This Row],[Class]]="C",WORKDAY(Main[[#This Row],[Tech Start Date]],28),IF(Main[[#This Row],[Class]]="B", WORKDAY(Main[[#This Row],[Tech Start Date]],19),IF(Main[[#This Row],[Class]]="A",WORKDAY(Main[[#This Row],[Tech Start Date]],9),""))))</f>
        <v/>
      </c>
      <c r="Q1021" s="74"/>
      <c r="R1021" s="74"/>
      <c r="S1021" s="72" t="s">
        <v>11</v>
      </c>
      <c r="T1021" s="80" t="s">
        <v>4</v>
      </c>
      <c r="U1021" s="72" t="s">
        <v>14</v>
      </c>
      <c r="V1021" s="72" t="s">
        <v>1940</v>
      </c>
      <c r="W1021" s="72" t="s">
        <v>1948</v>
      </c>
      <c r="X1021" s="72" t="s">
        <v>3020</v>
      </c>
      <c r="Y1021" s="72" t="s">
        <v>3170</v>
      </c>
      <c r="Z1021" s="72" t="s">
        <v>4</v>
      </c>
    </row>
    <row r="1022" spans="1:26" ht="18.600000000000001" customHeight="1">
      <c r="A1022" s="142" t="str">
        <f>IF(priority(Main[[#This Row],[Comments]])&lt;&gt;0, priority(Main[[#This Row],[Comments]]),"")</f>
        <v/>
      </c>
      <c r="B1022" s="90" t="s">
        <v>1806</v>
      </c>
      <c r="C1022" s="72" t="s">
        <v>4</v>
      </c>
      <c r="D1022" s="73" t="s">
        <v>842</v>
      </c>
      <c r="E1022" s="74"/>
      <c r="F1022" s="74"/>
      <c r="G1022" s="75" t="str">
        <f>IF(stdProdLT(Main[[#This Row],[Comments]])=0.1,"N/A",IF(stdProdLT(Main[[#This Row],[Comments]])=0,"",stdProdLT(Main[[#This Row],[Comments]])))</f>
        <v/>
      </c>
      <c r="H1022" s="76" t="str">
        <f>IF(AND(Main[[#This Row],[In Stock Date]]&lt;&gt;"",Main[[#This Row],[Revised Due Date]]&lt;&gt;""),Main[[#This Row],[In Stock Date]]-Main[[#This Row],[Revised Due Date]],"")</f>
        <v/>
      </c>
      <c r="I1022" s="72" t="s">
        <v>4</v>
      </c>
      <c r="J1022" s="72" t="s">
        <v>4</v>
      </c>
      <c r="K1022" s="72" t="s">
        <v>4</v>
      </c>
      <c r="L1022" s="74"/>
      <c r="M1022" s="77" t="str">
        <f>IF(Main[[#This Row],[Tech Start Date]]&lt;1/1/1990,"",IF(Main[[#This Row],[Class]]="C",WORKDAY(Main[[#This Row],[Tech Start Date]],9),IF(Main[[#This Row],[Class]]="B", WORKDAY(Main[[#This Row],[Tech Start Date]],6),IF(Main[[#This Row],[Class]]="A",WORKDAY(Main[[#This Row],[Tech Start Date]],2),""))))</f>
        <v/>
      </c>
      <c r="N1022" s="77" t="str">
        <f>IF(Main[[#This Row],[Tech Start Date]]&lt;1/1/1990,"",IF(Main[[#This Row],[Class]]="C",WORKDAY(Main[[#This Row],[Tech Start Date]],19),IF(Main[[#This Row],[Class]]="B", WORKDAY(Main[[#This Row],[Tech Start Date]],12),IF(Main[[#This Row],[Class]]="A",WORKDAY(Main[[#This Row],[Tech Start Date]],4),""))))</f>
        <v/>
      </c>
      <c r="O1022" s="77" t="str">
        <f>IF(Main[[#This Row],[Tech Start Date]]&lt;1/1/1990,"",IF(Main[[#This Row],[Class]]="C",WORKDAY(Main[[#This Row],[Tech Start Date]],23),IF(Main[[#This Row],[Class]]="B", WORKDAY(Main[[#This Row],[Tech Start Date]],15),IF(Main[[#This Row],[Class]]="A",WORKDAY(Main[[#This Row],[Tech Start Date]],5),""))))</f>
        <v/>
      </c>
      <c r="P1022" s="77" t="str">
        <f>IF(Main[[#This Row],[Tech Start Date]]&lt;1/1/1990,"",IF(Main[[#This Row],[Class]]="C",WORKDAY(Main[[#This Row],[Tech Start Date]],28),IF(Main[[#This Row],[Class]]="B", WORKDAY(Main[[#This Row],[Tech Start Date]],19),IF(Main[[#This Row],[Class]]="A",WORKDAY(Main[[#This Row],[Tech Start Date]],9),""))))</f>
        <v/>
      </c>
      <c r="Q1022" s="74"/>
      <c r="R1022" s="74"/>
      <c r="S1022" s="72" t="s">
        <v>11</v>
      </c>
      <c r="T1022" s="80" t="s">
        <v>4</v>
      </c>
      <c r="U1022" s="72" t="s">
        <v>12</v>
      </c>
      <c r="V1022" s="72" t="s">
        <v>1938</v>
      </c>
      <c r="W1022" s="72" t="s">
        <v>1942</v>
      </c>
      <c r="X1022" s="72" t="s">
        <v>985</v>
      </c>
      <c r="Y1022" s="72" t="s">
        <v>3243</v>
      </c>
      <c r="Z1022" s="72" t="s">
        <v>4</v>
      </c>
    </row>
    <row r="1023" spans="1:26" ht="18.600000000000001" customHeight="1">
      <c r="A1023" s="142" t="str">
        <f>IF(priority(Main[[#This Row],[Comments]])&lt;&gt;0, priority(Main[[#This Row],[Comments]]),"")</f>
        <v/>
      </c>
      <c r="B1023" s="90" t="s">
        <v>1820</v>
      </c>
      <c r="C1023" s="72" t="s">
        <v>4</v>
      </c>
      <c r="D1023" s="73" t="s">
        <v>856</v>
      </c>
      <c r="E1023" s="74"/>
      <c r="F1023" s="74"/>
      <c r="G1023" s="75" t="str">
        <f>IF(stdProdLT(Main[[#This Row],[Comments]])=0.1,"N/A",IF(stdProdLT(Main[[#This Row],[Comments]])=0,"",stdProdLT(Main[[#This Row],[Comments]])))</f>
        <v/>
      </c>
      <c r="H1023" s="76" t="str">
        <f>IF(AND(Main[[#This Row],[In Stock Date]]&lt;&gt;"",Main[[#This Row],[Revised Due Date]]&lt;&gt;""),Main[[#This Row],[In Stock Date]]-Main[[#This Row],[Revised Due Date]],"")</f>
        <v/>
      </c>
      <c r="I1023" s="72" t="s">
        <v>50</v>
      </c>
      <c r="J1023" s="72" t="s">
        <v>28</v>
      </c>
      <c r="K1023" s="72" t="s">
        <v>1946</v>
      </c>
      <c r="L1023" s="74"/>
      <c r="M1023" s="77" t="str">
        <f>IF(Main[[#This Row],[Tech Start Date]]&lt;1/1/1990,"",IF(Main[[#This Row],[Class]]="C",WORKDAY(Main[[#This Row],[Tech Start Date]],9),IF(Main[[#This Row],[Class]]="B", WORKDAY(Main[[#This Row],[Tech Start Date]],6),IF(Main[[#This Row],[Class]]="A",WORKDAY(Main[[#This Row],[Tech Start Date]],2),""))))</f>
        <v/>
      </c>
      <c r="N1023" s="77" t="str">
        <f>IF(Main[[#This Row],[Tech Start Date]]&lt;1/1/1990,"",IF(Main[[#This Row],[Class]]="C",WORKDAY(Main[[#This Row],[Tech Start Date]],19),IF(Main[[#This Row],[Class]]="B", WORKDAY(Main[[#This Row],[Tech Start Date]],12),IF(Main[[#This Row],[Class]]="A",WORKDAY(Main[[#This Row],[Tech Start Date]],4),""))))</f>
        <v/>
      </c>
      <c r="O1023" s="77" t="str">
        <f>IF(Main[[#This Row],[Tech Start Date]]&lt;1/1/1990,"",IF(Main[[#This Row],[Class]]="C",WORKDAY(Main[[#This Row],[Tech Start Date]],23),IF(Main[[#This Row],[Class]]="B", WORKDAY(Main[[#This Row],[Tech Start Date]],15),IF(Main[[#This Row],[Class]]="A",WORKDAY(Main[[#This Row],[Tech Start Date]],5),""))))</f>
        <v/>
      </c>
      <c r="P1023" s="77" t="str">
        <f>IF(Main[[#This Row],[Tech Start Date]]&lt;1/1/1990,"",IF(Main[[#This Row],[Class]]="C",WORKDAY(Main[[#This Row],[Tech Start Date]],28),IF(Main[[#This Row],[Class]]="B", WORKDAY(Main[[#This Row],[Tech Start Date]],19),IF(Main[[#This Row],[Class]]="A",WORKDAY(Main[[#This Row],[Tech Start Date]],9),""))))</f>
        <v/>
      </c>
      <c r="Q1023" s="74"/>
      <c r="R1023" s="74"/>
      <c r="S1023" s="72" t="s">
        <v>6</v>
      </c>
      <c r="T1023" s="80" t="s">
        <v>4</v>
      </c>
      <c r="U1023" s="72" t="s">
        <v>14</v>
      </c>
      <c r="V1023" s="72" t="s">
        <v>1940</v>
      </c>
      <c r="W1023" s="72" t="s">
        <v>1941</v>
      </c>
      <c r="X1023" s="72" t="s">
        <v>3018</v>
      </c>
      <c r="Y1023" s="72" t="s">
        <v>3158</v>
      </c>
      <c r="Z1023" s="72" t="s">
        <v>44</v>
      </c>
    </row>
    <row r="1024" spans="1:26" ht="18.600000000000001" customHeight="1">
      <c r="A1024" s="142" t="str">
        <f>IF(priority(Main[[#This Row],[Comments]])&lt;&gt;0, priority(Main[[#This Row],[Comments]]),"")</f>
        <v/>
      </c>
      <c r="B1024" s="90" t="s">
        <v>1821</v>
      </c>
      <c r="C1024" s="72" t="s">
        <v>499</v>
      </c>
      <c r="D1024" s="73" t="s">
        <v>857</v>
      </c>
      <c r="E1024" s="74"/>
      <c r="F1024" s="74"/>
      <c r="G1024" s="75" t="str">
        <f>IF(stdProdLT(Main[[#This Row],[Comments]])=0.1,"N/A",IF(stdProdLT(Main[[#This Row],[Comments]])=0,"",stdProdLT(Main[[#This Row],[Comments]])))</f>
        <v/>
      </c>
      <c r="H1024" s="76" t="str">
        <f>IF(AND(Main[[#This Row],[In Stock Date]]&lt;&gt;"",Main[[#This Row],[Revised Due Date]]&lt;&gt;""),Main[[#This Row],[In Stock Date]]-Main[[#This Row],[Revised Due Date]],"")</f>
        <v/>
      </c>
      <c r="I1024" s="72" t="s">
        <v>4</v>
      </c>
      <c r="J1024" s="72" t="s">
        <v>4</v>
      </c>
      <c r="K1024" s="72" t="s">
        <v>4</v>
      </c>
      <c r="L1024" s="74"/>
      <c r="M1024" s="77" t="str">
        <f>IF(Main[[#This Row],[Tech Start Date]]&lt;1/1/1990,"",IF(Main[[#This Row],[Class]]="C",WORKDAY(Main[[#This Row],[Tech Start Date]],9),IF(Main[[#This Row],[Class]]="B", WORKDAY(Main[[#This Row],[Tech Start Date]],6),IF(Main[[#This Row],[Class]]="A",WORKDAY(Main[[#This Row],[Tech Start Date]],2),""))))</f>
        <v/>
      </c>
      <c r="N1024" s="77" t="str">
        <f>IF(Main[[#This Row],[Tech Start Date]]&lt;1/1/1990,"",IF(Main[[#This Row],[Class]]="C",WORKDAY(Main[[#This Row],[Tech Start Date]],19),IF(Main[[#This Row],[Class]]="B", WORKDAY(Main[[#This Row],[Tech Start Date]],12),IF(Main[[#This Row],[Class]]="A",WORKDAY(Main[[#This Row],[Tech Start Date]],4),""))))</f>
        <v/>
      </c>
      <c r="O1024" s="77" t="str">
        <f>IF(Main[[#This Row],[Tech Start Date]]&lt;1/1/1990,"",IF(Main[[#This Row],[Class]]="C",WORKDAY(Main[[#This Row],[Tech Start Date]],23),IF(Main[[#This Row],[Class]]="B", WORKDAY(Main[[#This Row],[Tech Start Date]],15),IF(Main[[#This Row],[Class]]="A",WORKDAY(Main[[#This Row],[Tech Start Date]],5),""))))</f>
        <v/>
      </c>
      <c r="P1024" s="77" t="str">
        <f>IF(Main[[#This Row],[Tech Start Date]]&lt;1/1/1990,"",IF(Main[[#This Row],[Class]]="C",WORKDAY(Main[[#This Row],[Tech Start Date]],28),IF(Main[[#This Row],[Class]]="B", WORKDAY(Main[[#This Row],[Tech Start Date]],19),IF(Main[[#This Row],[Class]]="A",WORKDAY(Main[[#This Row],[Tech Start Date]],9),""))))</f>
        <v/>
      </c>
      <c r="Q1024" s="74">
        <v>40239</v>
      </c>
      <c r="R1024" s="74"/>
      <c r="S1024" s="72" t="s">
        <v>11</v>
      </c>
      <c r="T1024" s="80" t="s">
        <v>4</v>
      </c>
      <c r="U1024" s="72" t="s">
        <v>14</v>
      </c>
      <c r="V1024" s="72" t="s">
        <v>1940</v>
      </c>
      <c r="W1024" s="72" t="s">
        <v>1939</v>
      </c>
      <c r="X1024" s="72" t="s">
        <v>3048</v>
      </c>
      <c r="Y1024" s="72" t="s">
        <v>4</v>
      </c>
      <c r="Z1024" s="72" t="s">
        <v>4</v>
      </c>
    </row>
    <row r="1025" spans="1:26" ht="18.600000000000001" customHeight="1">
      <c r="A1025" s="142" t="str">
        <f>IF(priority(Main[[#This Row],[Comments]])&lt;&gt;0, priority(Main[[#This Row],[Comments]]),"")</f>
        <v/>
      </c>
      <c r="B1025" s="90" t="s">
        <v>2610</v>
      </c>
      <c r="C1025" s="72" t="s">
        <v>4</v>
      </c>
      <c r="D1025" s="73" t="s">
        <v>2611</v>
      </c>
      <c r="E1025" s="74">
        <v>40861.17015046296</v>
      </c>
      <c r="F1025" s="74"/>
      <c r="G1025" s="75" t="str">
        <f>IF(stdProdLT(Main[[#This Row],[Comments]])=0.1,"N/A",IF(stdProdLT(Main[[#This Row],[Comments]])=0,"",stdProdLT(Main[[#This Row],[Comments]])))</f>
        <v/>
      </c>
      <c r="H1025" s="76" t="str">
        <f>IF(AND(Main[[#This Row],[In Stock Date]]&lt;&gt;"",Main[[#This Row],[Revised Due Date]]&lt;&gt;""),Main[[#This Row],[In Stock Date]]-Main[[#This Row],[Revised Due Date]],"")</f>
        <v/>
      </c>
      <c r="I1025" s="72" t="s">
        <v>69</v>
      </c>
      <c r="J1025" s="72" t="s">
        <v>70</v>
      </c>
      <c r="K1025" s="72" t="s">
        <v>1946</v>
      </c>
      <c r="L1025" s="74"/>
      <c r="M1025" s="77" t="str">
        <f>IF(Main[[#This Row],[Tech Start Date]]&lt;1/1/1990,"",IF(Main[[#This Row],[Class]]="C",WORKDAY(Main[[#This Row],[Tech Start Date]],9),IF(Main[[#This Row],[Class]]="B", WORKDAY(Main[[#This Row],[Tech Start Date]],6),IF(Main[[#This Row],[Class]]="A",WORKDAY(Main[[#This Row],[Tech Start Date]],2),""))))</f>
        <v/>
      </c>
      <c r="N1025" s="77" t="str">
        <f>IF(Main[[#This Row],[Tech Start Date]]&lt;1/1/1990,"",IF(Main[[#This Row],[Class]]="C",WORKDAY(Main[[#This Row],[Tech Start Date]],19),IF(Main[[#This Row],[Class]]="B", WORKDAY(Main[[#This Row],[Tech Start Date]],12),IF(Main[[#This Row],[Class]]="A",WORKDAY(Main[[#This Row],[Tech Start Date]],4),""))))</f>
        <v/>
      </c>
      <c r="O1025" s="77" t="str">
        <f>IF(Main[[#This Row],[Tech Start Date]]&lt;1/1/1990,"",IF(Main[[#This Row],[Class]]="C",WORKDAY(Main[[#This Row],[Tech Start Date]],23),IF(Main[[#This Row],[Class]]="B", WORKDAY(Main[[#This Row],[Tech Start Date]],15),IF(Main[[#This Row],[Class]]="A",WORKDAY(Main[[#This Row],[Tech Start Date]],5),""))))</f>
        <v/>
      </c>
      <c r="P1025" s="77" t="str">
        <f>IF(Main[[#This Row],[Tech Start Date]]&lt;1/1/1990,"",IF(Main[[#This Row],[Class]]="C",WORKDAY(Main[[#This Row],[Tech Start Date]],28),IF(Main[[#This Row],[Class]]="B", WORKDAY(Main[[#This Row],[Tech Start Date]],19),IF(Main[[#This Row],[Class]]="A",WORKDAY(Main[[#This Row],[Tech Start Date]],9),""))))</f>
        <v/>
      </c>
      <c r="Q1025" s="74">
        <v>40891</v>
      </c>
      <c r="R1025" s="74"/>
      <c r="S1025" s="72" t="s">
        <v>6</v>
      </c>
      <c r="T1025" s="80" t="s">
        <v>4</v>
      </c>
      <c r="U1025" s="72" t="s">
        <v>29</v>
      </c>
      <c r="V1025" s="72" t="s">
        <v>1940</v>
      </c>
      <c r="W1025" s="72" t="s">
        <v>1941</v>
      </c>
      <c r="X1025" s="72" t="s">
        <v>2974</v>
      </c>
      <c r="Y1025" s="72" t="s">
        <v>3096</v>
      </c>
      <c r="Z1025" s="72" t="s">
        <v>30</v>
      </c>
    </row>
    <row r="1026" spans="1:26" ht="18.600000000000001" customHeight="1">
      <c r="A1026" s="142" t="str">
        <f>IF(priority(Main[[#This Row],[Comments]])&lt;&gt;0, priority(Main[[#This Row],[Comments]]),"")</f>
        <v/>
      </c>
      <c r="B1026" s="90" t="s">
        <v>1822</v>
      </c>
      <c r="C1026" s="72" t="s">
        <v>4</v>
      </c>
      <c r="D1026" s="73" t="s">
        <v>858</v>
      </c>
      <c r="E1026" s="74"/>
      <c r="F1026" s="74"/>
      <c r="G1026" s="75" t="str">
        <f>IF(stdProdLT(Main[[#This Row],[Comments]])=0.1,"N/A",IF(stdProdLT(Main[[#This Row],[Comments]])=0,"",stdProdLT(Main[[#This Row],[Comments]])))</f>
        <v/>
      </c>
      <c r="H1026" s="76" t="str">
        <f>IF(AND(Main[[#This Row],[In Stock Date]]&lt;&gt;"",Main[[#This Row],[Revised Due Date]]&lt;&gt;""),Main[[#This Row],[In Stock Date]]-Main[[#This Row],[Revised Due Date]],"")</f>
        <v/>
      </c>
      <c r="I1026" s="72" t="s">
        <v>4</v>
      </c>
      <c r="J1026" s="72" t="s">
        <v>4</v>
      </c>
      <c r="K1026" s="72" t="s">
        <v>4</v>
      </c>
      <c r="L1026" s="74"/>
      <c r="M1026" s="77" t="str">
        <f>IF(Main[[#This Row],[Tech Start Date]]&lt;1/1/1990,"",IF(Main[[#This Row],[Class]]="C",WORKDAY(Main[[#This Row],[Tech Start Date]],9),IF(Main[[#This Row],[Class]]="B", WORKDAY(Main[[#This Row],[Tech Start Date]],6),IF(Main[[#This Row],[Class]]="A",WORKDAY(Main[[#This Row],[Tech Start Date]],2),""))))</f>
        <v/>
      </c>
      <c r="N1026" s="77" t="str">
        <f>IF(Main[[#This Row],[Tech Start Date]]&lt;1/1/1990,"",IF(Main[[#This Row],[Class]]="C",WORKDAY(Main[[#This Row],[Tech Start Date]],19),IF(Main[[#This Row],[Class]]="B", WORKDAY(Main[[#This Row],[Tech Start Date]],12),IF(Main[[#This Row],[Class]]="A",WORKDAY(Main[[#This Row],[Tech Start Date]],4),""))))</f>
        <v/>
      </c>
      <c r="O1026" s="77" t="str">
        <f>IF(Main[[#This Row],[Tech Start Date]]&lt;1/1/1990,"",IF(Main[[#This Row],[Class]]="C",WORKDAY(Main[[#This Row],[Tech Start Date]],23),IF(Main[[#This Row],[Class]]="B", WORKDAY(Main[[#This Row],[Tech Start Date]],15),IF(Main[[#This Row],[Class]]="A",WORKDAY(Main[[#This Row],[Tech Start Date]],5),""))))</f>
        <v/>
      </c>
      <c r="P1026" s="77" t="str">
        <f>IF(Main[[#This Row],[Tech Start Date]]&lt;1/1/1990,"",IF(Main[[#This Row],[Class]]="C",WORKDAY(Main[[#This Row],[Tech Start Date]],28),IF(Main[[#This Row],[Class]]="B", WORKDAY(Main[[#This Row],[Tech Start Date]],19),IF(Main[[#This Row],[Class]]="A",WORKDAY(Main[[#This Row],[Tech Start Date]],9),""))))</f>
        <v/>
      </c>
      <c r="Q1026" s="74">
        <v>40349</v>
      </c>
      <c r="R1026" s="74"/>
      <c r="S1026" s="72" t="s">
        <v>6</v>
      </c>
      <c r="T1026" s="80" t="s">
        <v>4</v>
      </c>
      <c r="U1026" s="72" t="s">
        <v>14</v>
      </c>
      <c r="V1026" s="72" t="s">
        <v>1940</v>
      </c>
      <c r="W1026" s="72" t="s">
        <v>4</v>
      </c>
      <c r="X1026" s="72" t="s">
        <v>2971</v>
      </c>
      <c r="Y1026" s="72" t="s">
        <v>3090</v>
      </c>
      <c r="Z1026" s="72" t="s">
        <v>4</v>
      </c>
    </row>
    <row r="1027" spans="1:26" ht="18.600000000000001" customHeight="1">
      <c r="A1027" s="142" t="str">
        <f>IF(priority(Main[[#This Row],[Comments]])&lt;&gt;0, priority(Main[[#This Row],[Comments]]),"")</f>
        <v/>
      </c>
      <c r="B1027" s="90" t="s">
        <v>2228</v>
      </c>
      <c r="C1027" s="72" t="s">
        <v>4</v>
      </c>
      <c r="D1027" s="73" t="s">
        <v>2229</v>
      </c>
      <c r="E1027" s="74"/>
      <c r="F1027" s="74"/>
      <c r="G1027" s="75" t="str">
        <f>IF(stdProdLT(Main[[#This Row],[Comments]])=0.1,"N/A",IF(stdProdLT(Main[[#This Row],[Comments]])=0,"",stdProdLT(Main[[#This Row],[Comments]])))</f>
        <v/>
      </c>
      <c r="H1027" s="76" t="str">
        <f>IF(AND(Main[[#This Row],[In Stock Date]]&lt;&gt;"",Main[[#This Row],[Revised Due Date]]&lt;&gt;""),Main[[#This Row],[In Stock Date]]-Main[[#This Row],[Revised Due Date]],"")</f>
        <v/>
      </c>
      <c r="I1027" s="72" t="s">
        <v>4</v>
      </c>
      <c r="J1027" s="72" t="s">
        <v>4</v>
      </c>
      <c r="K1027" s="72" t="s">
        <v>4</v>
      </c>
      <c r="L1027" s="74"/>
      <c r="M1027" s="77" t="str">
        <f>IF(Main[[#This Row],[Tech Start Date]]&lt;1/1/1990,"",IF(Main[[#This Row],[Class]]="C",WORKDAY(Main[[#This Row],[Tech Start Date]],9),IF(Main[[#This Row],[Class]]="B", WORKDAY(Main[[#This Row],[Tech Start Date]],6),IF(Main[[#This Row],[Class]]="A",WORKDAY(Main[[#This Row],[Tech Start Date]],2),""))))</f>
        <v/>
      </c>
      <c r="N1027" s="77" t="str">
        <f>IF(Main[[#This Row],[Tech Start Date]]&lt;1/1/1990,"",IF(Main[[#This Row],[Class]]="C",WORKDAY(Main[[#This Row],[Tech Start Date]],19),IF(Main[[#This Row],[Class]]="B", WORKDAY(Main[[#This Row],[Tech Start Date]],12),IF(Main[[#This Row],[Class]]="A",WORKDAY(Main[[#This Row],[Tech Start Date]],4),""))))</f>
        <v/>
      </c>
      <c r="O1027" s="77" t="str">
        <f>IF(Main[[#This Row],[Tech Start Date]]&lt;1/1/1990,"",IF(Main[[#This Row],[Class]]="C",WORKDAY(Main[[#This Row],[Tech Start Date]],23),IF(Main[[#This Row],[Class]]="B", WORKDAY(Main[[#This Row],[Tech Start Date]],15),IF(Main[[#This Row],[Class]]="A",WORKDAY(Main[[#This Row],[Tech Start Date]],5),""))))</f>
        <v/>
      </c>
      <c r="P1027" s="77" t="str">
        <f>IF(Main[[#This Row],[Tech Start Date]]&lt;1/1/1990,"",IF(Main[[#This Row],[Class]]="C",WORKDAY(Main[[#This Row],[Tech Start Date]],28),IF(Main[[#This Row],[Class]]="B", WORKDAY(Main[[#This Row],[Tech Start Date]],19),IF(Main[[#This Row],[Class]]="A",WORKDAY(Main[[#This Row],[Tech Start Date]],9),""))))</f>
        <v/>
      </c>
      <c r="Q1027" s="74"/>
      <c r="R1027" s="74"/>
      <c r="S1027" s="72" t="s">
        <v>6</v>
      </c>
      <c r="T1027" s="80" t="s">
        <v>4</v>
      </c>
      <c r="U1027" s="72" t="s">
        <v>14</v>
      </c>
      <c r="V1027" s="72" t="s">
        <v>1938</v>
      </c>
      <c r="W1027" s="72" t="s">
        <v>4</v>
      </c>
      <c r="X1027" s="72" t="s">
        <v>311</v>
      </c>
      <c r="Y1027" s="72" t="s">
        <v>4</v>
      </c>
      <c r="Z1027" s="72" t="s">
        <v>4</v>
      </c>
    </row>
    <row r="1028" spans="1:26" ht="18.600000000000001" customHeight="1">
      <c r="A1028" s="142" t="str">
        <f>IF(priority(Main[[#This Row],[Comments]])&lt;&gt;0, priority(Main[[#This Row],[Comments]]),"")</f>
        <v/>
      </c>
      <c r="B1028" s="90" t="s">
        <v>1824</v>
      </c>
      <c r="C1028" s="72" t="s">
        <v>47</v>
      </c>
      <c r="D1028" s="73" t="s">
        <v>863</v>
      </c>
      <c r="E1028" s="74"/>
      <c r="F1028" s="74"/>
      <c r="G1028" s="75" t="str">
        <f>IF(stdProdLT(Main[[#This Row],[Comments]])=0.1,"N/A",IF(stdProdLT(Main[[#This Row],[Comments]])=0,"",stdProdLT(Main[[#This Row],[Comments]])))</f>
        <v/>
      </c>
      <c r="H1028" s="76" t="str">
        <f>IF(AND(Main[[#This Row],[In Stock Date]]&lt;&gt;"",Main[[#This Row],[Revised Due Date]]&lt;&gt;""),Main[[#This Row],[In Stock Date]]-Main[[#This Row],[Revised Due Date]],"")</f>
        <v/>
      </c>
      <c r="I1028" s="72" t="s">
        <v>4</v>
      </c>
      <c r="J1028" s="72" t="s">
        <v>4</v>
      </c>
      <c r="K1028" s="72" t="s">
        <v>4</v>
      </c>
      <c r="L1028" s="74"/>
      <c r="M1028" s="77" t="str">
        <f>IF(Main[[#This Row],[Tech Start Date]]&lt;1/1/1990,"",IF(Main[[#This Row],[Class]]="C",WORKDAY(Main[[#This Row],[Tech Start Date]],9),IF(Main[[#This Row],[Class]]="B", WORKDAY(Main[[#This Row],[Tech Start Date]],6),IF(Main[[#This Row],[Class]]="A",WORKDAY(Main[[#This Row],[Tech Start Date]],2),""))))</f>
        <v/>
      </c>
      <c r="N1028" s="77" t="str">
        <f>IF(Main[[#This Row],[Tech Start Date]]&lt;1/1/1990,"",IF(Main[[#This Row],[Class]]="C",WORKDAY(Main[[#This Row],[Tech Start Date]],19),IF(Main[[#This Row],[Class]]="B", WORKDAY(Main[[#This Row],[Tech Start Date]],12),IF(Main[[#This Row],[Class]]="A",WORKDAY(Main[[#This Row],[Tech Start Date]],4),""))))</f>
        <v/>
      </c>
      <c r="O1028" s="77" t="str">
        <f>IF(Main[[#This Row],[Tech Start Date]]&lt;1/1/1990,"",IF(Main[[#This Row],[Class]]="C",WORKDAY(Main[[#This Row],[Tech Start Date]],23),IF(Main[[#This Row],[Class]]="B", WORKDAY(Main[[#This Row],[Tech Start Date]],15),IF(Main[[#This Row],[Class]]="A",WORKDAY(Main[[#This Row],[Tech Start Date]],5),""))))</f>
        <v/>
      </c>
      <c r="P1028" s="77" t="str">
        <f>IF(Main[[#This Row],[Tech Start Date]]&lt;1/1/1990,"",IF(Main[[#This Row],[Class]]="C",WORKDAY(Main[[#This Row],[Tech Start Date]],28),IF(Main[[#This Row],[Class]]="B", WORKDAY(Main[[#This Row],[Tech Start Date]],19),IF(Main[[#This Row],[Class]]="A",WORKDAY(Main[[#This Row],[Tech Start Date]],9),""))))</f>
        <v/>
      </c>
      <c r="Q1028" s="74"/>
      <c r="R1028" s="74"/>
      <c r="S1028" s="72" t="s">
        <v>17</v>
      </c>
      <c r="T1028" s="80" t="s">
        <v>4</v>
      </c>
      <c r="U1028" s="72" t="s">
        <v>14</v>
      </c>
      <c r="V1028" s="72" t="s">
        <v>1940</v>
      </c>
      <c r="W1028" s="72" t="s">
        <v>1942</v>
      </c>
      <c r="X1028" s="72" t="s">
        <v>2979</v>
      </c>
      <c r="Y1028" s="72" t="s">
        <v>3271</v>
      </c>
      <c r="Z1028" s="72" t="s">
        <v>4</v>
      </c>
    </row>
    <row r="1029" spans="1:26" ht="18.600000000000001" customHeight="1">
      <c r="A1029" s="142" t="str">
        <f>IF(priority(Main[[#This Row],[Comments]])&lt;&gt;0, priority(Main[[#This Row],[Comments]]),"")</f>
        <v/>
      </c>
      <c r="B1029" s="90" t="s">
        <v>1533</v>
      </c>
      <c r="C1029" s="72" t="s">
        <v>4</v>
      </c>
      <c r="D1029" s="73" t="s">
        <v>596</v>
      </c>
      <c r="E1029" s="74"/>
      <c r="F1029" s="74"/>
      <c r="G1029" s="75" t="str">
        <f>IF(stdProdLT(Main[[#This Row],[Comments]])=0.1,"N/A",IF(stdProdLT(Main[[#This Row],[Comments]])=0,"",stdProdLT(Main[[#This Row],[Comments]])))</f>
        <v/>
      </c>
      <c r="H1029" s="76" t="str">
        <f>IF(AND(Main[[#This Row],[In Stock Date]]&lt;&gt;"",Main[[#This Row],[Revised Due Date]]&lt;&gt;""),Main[[#This Row],[In Stock Date]]-Main[[#This Row],[Revised Due Date]],"")</f>
        <v/>
      </c>
      <c r="I1029" s="72" t="s">
        <v>311</v>
      </c>
      <c r="J1029" s="72" t="s">
        <v>28</v>
      </c>
      <c r="K1029" s="72" t="s">
        <v>4</v>
      </c>
      <c r="L1029" s="74"/>
      <c r="M1029" s="77" t="str">
        <f>IF(Main[[#This Row],[Tech Start Date]]&lt;1/1/1990,"",IF(Main[[#This Row],[Class]]="C",WORKDAY(Main[[#This Row],[Tech Start Date]],9),IF(Main[[#This Row],[Class]]="B", WORKDAY(Main[[#This Row],[Tech Start Date]],6),IF(Main[[#This Row],[Class]]="A",WORKDAY(Main[[#This Row],[Tech Start Date]],2),""))))</f>
        <v/>
      </c>
      <c r="N1029" s="77" t="str">
        <f>IF(Main[[#This Row],[Tech Start Date]]&lt;1/1/1990,"",IF(Main[[#This Row],[Class]]="C",WORKDAY(Main[[#This Row],[Tech Start Date]],19),IF(Main[[#This Row],[Class]]="B", WORKDAY(Main[[#This Row],[Tech Start Date]],12),IF(Main[[#This Row],[Class]]="A",WORKDAY(Main[[#This Row],[Tech Start Date]],4),""))))</f>
        <v/>
      </c>
      <c r="O1029" s="77" t="str">
        <f>IF(Main[[#This Row],[Tech Start Date]]&lt;1/1/1990,"",IF(Main[[#This Row],[Class]]="C",WORKDAY(Main[[#This Row],[Tech Start Date]],23),IF(Main[[#This Row],[Class]]="B", WORKDAY(Main[[#This Row],[Tech Start Date]],15),IF(Main[[#This Row],[Class]]="A",WORKDAY(Main[[#This Row],[Tech Start Date]],5),""))))</f>
        <v/>
      </c>
      <c r="P1029" s="77" t="str">
        <f>IF(Main[[#This Row],[Tech Start Date]]&lt;1/1/1990,"",IF(Main[[#This Row],[Class]]="C",WORKDAY(Main[[#This Row],[Tech Start Date]],28),IF(Main[[#This Row],[Class]]="B", WORKDAY(Main[[#This Row],[Tech Start Date]],19),IF(Main[[#This Row],[Class]]="A",WORKDAY(Main[[#This Row],[Tech Start Date]],9),""))))</f>
        <v/>
      </c>
      <c r="Q1029" s="74"/>
      <c r="R1029" s="74"/>
      <c r="S1029" s="72" t="s">
        <v>6</v>
      </c>
      <c r="T1029" s="80" t="s">
        <v>4</v>
      </c>
      <c r="U1029" s="72" t="s">
        <v>14</v>
      </c>
      <c r="V1029" s="72" t="s">
        <v>1940</v>
      </c>
      <c r="W1029" s="72" t="s">
        <v>1939</v>
      </c>
      <c r="X1029" s="72" t="s">
        <v>311</v>
      </c>
      <c r="Y1029" s="72" t="s">
        <v>3264</v>
      </c>
      <c r="Z1029" s="72" t="s">
        <v>311</v>
      </c>
    </row>
    <row r="1030" spans="1:26" ht="18.600000000000001" customHeight="1">
      <c r="A1030" s="142" t="str">
        <f>IF(priority(Main[[#This Row],[Comments]])&lt;&gt;0, priority(Main[[#This Row],[Comments]]),"")</f>
        <v/>
      </c>
      <c r="B1030" s="90" t="s">
        <v>1776</v>
      </c>
      <c r="C1030" s="72" t="s">
        <v>4</v>
      </c>
      <c r="D1030" s="73" t="s">
        <v>816</v>
      </c>
      <c r="E1030" s="74">
        <v>40584.403622685182</v>
      </c>
      <c r="F1030" s="74">
        <v>40602</v>
      </c>
      <c r="G1030" s="75" t="str">
        <f>IF(stdProdLT(Main[[#This Row],[Comments]])=0.1,"N/A",IF(stdProdLT(Main[[#This Row],[Comments]])=0,"",stdProdLT(Main[[#This Row],[Comments]])))</f>
        <v/>
      </c>
      <c r="H1030" s="76" t="str">
        <f>IF(AND(Main[[#This Row],[In Stock Date]]&lt;&gt;"",Main[[#This Row],[Revised Due Date]]&lt;&gt;""),Main[[#This Row],[In Stock Date]]-Main[[#This Row],[Revised Due Date]],"")</f>
        <v/>
      </c>
      <c r="I1030" s="72" t="s">
        <v>4</v>
      </c>
      <c r="J1030" s="72" t="s">
        <v>28</v>
      </c>
      <c r="K1030" s="72" t="s">
        <v>1949</v>
      </c>
      <c r="L1030" s="74"/>
      <c r="M1030" s="77" t="str">
        <f>IF(Main[[#This Row],[Tech Start Date]]&lt;1/1/1990,"",IF(Main[[#This Row],[Class]]="C",WORKDAY(Main[[#This Row],[Tech Start Date]],9),IF(Main[[#This Row],[Class]]="B", WORKDAY(Main[[#This Row],[Tech Start Date]],6),IF(Main[[#This Row],[Class]]="A",WORKDAY(Main[[#This Row],[Tech Start Date]],2),""))))</f>
        <v/>
      </c>
      <c r="N1030" s="77" t="str">
        <f>IF(Main[[#This Row],[Tech Start Date]]&lt;1/1/1990,"",IF(Main[[#This Row],[Class]]="C",WORKDAY(Main[[#This Row],[Tech Start Date]],19),IF(Main[[#This Row],[Class]]="B", WORKDAY(Main[[#This Row],[Tech Start Date]],12),IF(Main[[#This Row],[Class]]="A",WORKDAY(Main[[#This Row],[Tech Start Date]],4),""))))</f>
        <v/>
      </c>
      <c r="O1030" s="77" t="str">
        <f>IF(Main[[#This Row],[Tech Start Date]]&lt;1/1/1990,"",IF(Main[[#This Row],[Class]]="C",WORKDAY(Main[[#This Row],[Tech Start Date]],23),IF(Main[[#This Row],[Class]]="B", WORKDAY(Main[[#This Row],[Tech Start Date]],15),IF(Main[[#This Row],[Class]]="A",WORKDAY(Main[[#This Row],[Tech Start Date]],5),""))))</f>
        <v/>
      </c>
      <c r="P1030" s="77" t="str">
        <f>IF(Main[[#This Row],[Tech Start Date]]&lt;1/1/1990,"",IF(Main[[#This Row],[Class]]="C",WORKDAY(Main[[#This Row],[Tech Start Date]],28),IF(Main[[#This Row],[Class]]="B", WORKDAY(Main[[#This Row],[Tech Start Date]],19),IF(Main[[#This Row],[Class]]="A",WORKDAY(Main[[#This Row],[Tech Start Date]],9),""))))</f>
        <v/>
      </c>
      <c r="Q1030" s="74">
        <v>40602</v>
      </c>
      <c r="R1030" s="74"/>
      <c r="S1030" s="72" t="s">
        <v>17</v>
      </c>
      <c r="T1030" s="80" t="s">
        <v>4</v>
      </c>
      <c r="U1030" s="72" t="s">
        <v>7</v>
      </c>
      <c r="V1030" s="72" t="s">
        <v>1937</v>
      </c>
      <c r="W1030" s="72" t="s">
        <v>1945</v>
      </c>
      <c r="X1030" s="72" t="s">
        <v>2980</v>
      </c>
      <c r="Y1030" s="72" t="s">
        <v>3108</v>
      </c>
      <c r="Z1030" s="72" t="s">
        <v>129</v>
      </c>
    </row>
    <row r="1031" spans="1:26" ht="18.600000000000001" customHeight="1">
      <c r="A1031" s="142" t="str">
        <f>IF(priority(Main[[#This Row],[Comments]])&lt;&gt;0, priority(Main[[#This Row],[Comments]]),"")</f>
        <v/>
      </c>
      <c r="B1031" s="90" t="s">
        <v>1753</v>
      </c>
      <c r="C1031" s="72" t="s">
        <v>4</v>
      </c>
      <c r="D1031" s="73" t="s">
        <v>2261</v>
      </c>
      <c r="E1031" s="74"/>
      <c r="F1031" s="74"/>
      <c r="G1031" s="75" t="str">
        <f>IF(stdProdLT(Main[[#This Row],[Comments]])=0.1,"N/A",IF(stdProdLT(Main[[#This Row],[Comments]])=0,"",stdProdLT(Main[[#This Row],[Comments]])))</f>
        <v/>
      </c>
      <c r="H1031" s="76" t="str">
        <f>IF(AND(Main[[#This Row],[In Stock Date]]&lt;&gt;"",Main[[#This Row],[Revised Due Date]]&lt;&gt;""),Main[[#This Row],[In Stock Date]]-Main[[#This Row],[Revised Due Date]],"")</f>
        <v/>
      </c>
      <c r="I1031" s="72" t="s">
        <v>927</v>
      </c>
      <c r="J1031" s="72" t="s">
        <v>21</v>
      </c>
      <c r="K1031" s="72" t="s">
        <v>1946</v>
      </c>
      <c r="L1031" s="74"/>
      <c r="M1031" s="77" t="str">
        <f>IF(Main[[#This Row],[Tech Start Date]]&lt;1/1/1990,"",IF(Main[[#This Row],[Class]]="C",WORKDAY(Main[[#This Row],[Tech Start Date]],9),IF(Main[[#This Row],[Class]]="B", WORKDAY(Main[[#This Row],[Tech Start Date]],6),IF(Main[[#This Row],[Class]]="A",WORKDAY(Main[[#This Row],[Tech Start Date]],2),""))))</f>
        <v/>
      </c>
      <c r="N1031" s="77" t="str">
        <f>IF(Main[[#This Row],[Tech Start Date]]&lt;1/1/1990,"",IF(Main[[#This Row],[Class]]="C",WORKDAY(Main[[#This Row],[Tech Start Date]],19),IF(Main[[#This Row],[Class]]="B", WORKDAY(Main[[#This Row],[Tech Start Date]],12),IF(Main[[#This Row],[Class]]="A",WORKDAY(Main[[#This Row],[Tech Start Date]],4),""))))</f>
        <v/>
      </c>
      <c r="O1031" s="77" t="str">
        <f>IF(Main[[#This Row],[Tech Start Date]]&lt;1/1/1990,"",IF(Main[[#This Row],[Class]]="C",WORKDAY(Main[[#This Row],[Tech Start Date]],23),IF(Main[[#This Row],[Class]]="B", WORKDAY(Main[[#This Row],[Tech Start Date]],15),IF(Main[[#This Row],[Class]]="A",WORKDAY(Main[[#This Row],[Tech Start Date]],5),""))))</f>
        <v/>
      </c>
      <c r="P1031" s="77" t="str">
        <f>IF(Main[[#This Row],[Tech Start Date]]&lt;1/1/1990,"",IF(Main[[#This Row],[Class]]="C",WORKDAY(Main[[#This Row],[Tech Start Date]],28),IF(Main[[#This Row],[Class]]="B", WORKDAY(Main[[#This Row],[Tech Start Date]],19),IF(Main[[#This Row],[Class]]="A",WORKDAY(Main[[#This Row],[Tech Start Date]],9),""))))</f>
        <v/>
      </c>
      <c r="Q1031" s="74"/>
      <c r="R1031" s="74"/>
      <c r="S1031" s="72" t="s">
        <v>23</v>
      </c>
      <c r="T1031" s="80" t="s">
        <v>4</v>
      </c>
      <c r="U1031" s="72" t="s">
        <v>14</v>
      </c>
      <c r="V1031" s="72" t="s">
        <v>1937</v>
      </c>
      <c r="W1031" s="72" t="s">
        <v>1941</v>
      </c>
      <c r="X1031" s="72" t="s">
        <v>404</v>
      </c>
      <c r="Y1031" s="72" t="s">
        <v>4</v>
      </c>
      <c r="Z1031" s="72" t="s">
        <v>927</v>
      </c>
    </row>
    <row r="1032" spans="1:26" ht="18.600000000000001" customHeight="1">
      <c r="A1032" s="142" t="str">
        <f>IF(priority(Main[[#This Row],[Comments]])&lt;&gt;0, priority(Main[[#This Row],[Comments]]),"")</f>
        <v/>
      </c>
      <c r="B1032" s="90" t="s">
        <v>1419</v>
      </c>
      <c r="C1032" s="72" t="s">
        <v>4</v>
      </c>
      <c r="D1032" s="73" t="s">
        <v>2227</v>
      </c>
      <c r="E1032" s="74"/>
      <c r="F1032" s="74"/>
      <c r="G1032" s="75" t="str">
        <f>IF(stdProdLT(Main[[#This Row],[Comments]])=0.1,"N/A",IF(stdProdLT(Main[[#This Row],[Comments]])=0,"",stdProdLT(Main[[#This Row],[Comments]])))</f>
        <v/>
      </c>
      <c r="H1032" s="76" t="str">
        <f>IF(AND(Main[[#This Row],[In Stock Date]]&lt;&gt;"",Main[[#This Row],[Revised Due Date]]&lt;&gt;""),Main[[#This Row],[In Stock Date]]-Main[[#This Row],[Revised Due Date]],"")</f>
        <v/>
      </c>
      <c r="I1032" s="72" t="s">
        <v>536</v>
      </c>
      <c r="J1032" s="72" t="s">
        <v>52</v>
      </c>
      <c r="K1032" s="72" t="s">
        <v>1946</v>
      </c>
      <c r="L1032" s="74"/>
      <c r="M1032" s="77" t="str">
        <f>IF(Main[[#This Row],[Tech Start Date]]&lt;1/1/1990,"",IF(Main[[#This Row],[Class]]="C",WORKDAY(Main[[#This Row],[Tech Start Date]],9),IF(Main[[#This Row],[Class]]="B", WORKDAY(Main[[#This Row],[Tech Start Date]],6),IF(Main[[#This Row],[Class]]="A",WORKDAY(Main[[#This Row],[Tech Start Date]],2),""))))</f>
        <v/>
      </c>
      <c r="N1032" s="77" t="str">
        <f>IF(Main[[#This Row],[Tech Start Date]]&lt;1/1/1990,"",IF(Main[[#This Row],[Class]]="C",WORKDAY(Main[[#This Row],[Tech Start Date]],19),IF(Main[[#This Row],[Class]]="B", WORKDAY(Main[[#This Row],[Tech Start Date]],12),IF(Main[[#This Row],[Class]]="A",WORKDAY(Main[[#This Row],[Tech Start Date]],4),""))))</f>
        <v/>
      </c>
      <c r="O1032" s="77" t="str">
        <f>IF(Main[[#This Row],[Tech Start Date]]&lt;1/1/1990,"",IF(Main[[#This Row],[Class]]="C",WORKDAY(Main[[#This Row],[Tech Start Date]],23),IF(Main[[#This Row],[Class]]="B", WORKDAY(Main[[#This Row],[Tech Start Date]],15),IF(Main[[#This Row],[Class]]="A",WORKDAY(Main[[#This Row],[Tech Start Date]],5),""))))</f>
        <v/>
      </c>
      <c r="P1032" s="77" t="str">
        <f>IF(Main[[#This Row],[Tech Start Date]]&lt;1/1/1990,"",IF(Main[[#This Row],[Class]]="C",WORKDAY(Main[[#This Row],[Tech Start Date]],28),IF(Main[[#This Row],[Class]]="B", WORKDAY(Main[[#This Row],[Tech Start Date]],19),IF(Main[[#This Row],[Class]]="A",WORKDAY(Main[[#This Row],[Tech Start Date]],9),""))))</f>
        <v/>
      </c>
      <c r="Q1032" s="74">
        <v>40390</v>
      </c>
      <c r="R1032" s="74"/>
      <c r="S1032" s="72" t="s">
        <v>6</v>
      </c>
      <c r="T1032" s="80" t="s">
        <v>4</v>
      </c>
      <c r="U1032" s="72" t="s">
        <v>14</v>
      </c>
      <c r="V1032" s="72" t="s">
        <v>1940</v>
      </c>
      <c r="W1032" s="72" t="s">
        <v>1941</v>
      </c>
      <c r="X1032" s="72" t="s">
        <v>2971</v>
      </c>
      <c r="Y1032" s="72" t="s">
        <v>3090</v>
      </c>
      <c r="Z1032" s="72" t="s">
        <v>44</v>
      </c>
    </row>
    <row r="1033" spans="1:26" ht="18.600000000000001" customHeight="1">
      <c r="A1033" s="142" t="str">
        <f>IF(priority(Main[[#This Row],[Comments]])&lt;&gt;0, priority(Main[[#This Row],[Comments]]),"")</f>
        <v/>
      </c>
      <c r="B1033" s="90" t="s">
        <v>1668</v>
      </c>
      <c r="C1033" s="72" t="s">
        <v>505</v>
      </c>
      <c r="D1033" s="73" t="s">
        <v>2205</v>
      </c>
      <c r="E1033" s="74">
        <v>40655.401631944442</v>
      </c>
      <c r="F1033" s="74"/>
      <c r="G1033" s="75" t="str">
        <f>IF(stdProdLT(Main[[#This Row],[Comments]])=0.1,"N/A",IF(stdProdLT(Main[[#This Row],[Comments]])=0,"",stdProdLT(Main[[#This Row],[Comments]])))</f>
        <v/>
      </c>
      <c r="H1033" s="76" t="str">
        <f>IF(AND(Main[[#This Row],[In Stock Date]]&lt;&gt;"",Main[[#This Row],[Revised Due Date]]&lt;&gt;""),Main[[#This Row],[In Stock Date]]-Main[[#This Row],[Revised Due Date]],"")</f>
        <v/>
      </c>
      <c r="I1033" s="72" t="s">
        <v>50</v>
      </c>
      <c r="J1033" s="72" t="s">
        <v>52</v>
      </c>
      <c r="K1033" s="72" t="s">
        <v>1946</v>
      </c>
      <c r="L1033" s="74"/>
      <c r="M1033" s="77" t="str">
        <f>IF(Main[[#This Row],[Tech Start Date]]&lt;1/1/1990,"",IF(Main[[#This Row],[Class]]="C",WORKDAY(Main[[#This Row],[Tech Start Date]],9),IF(Main[[#This Row],[Class]]="B", WORKDAY(Main[[#This Row],[Tech Start Date]],6),IF(Main[[#This Row],[Class]]="A",WORKDAY(Main[[#This Row],[Tech Start Date]],2),""))))</f>
        <v/>
      </c>
      <c r="N1033" s="77" t="str">
        <f>IF(Main[[#This Row],[Tech Start Date]]&lt;1/1/1990,"",IF(Main[[#This Row],[Class]]="C",WORKDAY(Main[[#This Row],[Tech Start Date]],19),IF(Main[[#This Row],[Class]]="B", WORKDAY(Main[[#This Row],[Tech Start Date]],12),IF(Main[[#This Row],[Class]]="A",WORKDAY(Main[[#This Row],[Tech Start Date]],4),""))))</f>
        <v/>
      </c>
      <c r="O1033" s="77" t="str">
        <f>IF(Main[[#This Row],[Tech Start Date]]&lt;1/1/1990,"",IF(Main[[#This Row],[Class]]="C",WORKDAY(Main[[#This Row],[Tech Start Date]],23),IF(Main[[#This Row],[Class]]="B", WORKDAY(Main[[#This Row],[Tech Start Date]],15),IF(Main[[#This Row],[Class]]="A",WORKDAY(Main[[#This Row],[Tech Start Date]],5),""))))</f>
        <v/>
      </c>
      <c r="P1033" s="77" t="str">
        <f>IF(Main[[#This Row],[Tech Start Date]]&lt;1/1/1990,"",IF(Main[[#This Row],[Class]]="C",WORKDAY(Main[[#This Row],[Tech Start Date]],28),IF(Main[[#This Row],[Class]]="B", WORKDAY(Main[[#This Row],[Tech Start Date]],19),IF(Main[[#This Row],[Class]]="A",WORKDAY(Main[[#This Row],[Tech Start Date]],9),""))))</f>
        <v/>
      </c>
      <c r="Q1033" s="74"/>
      <c r="R1033" s="74"/>
      <c r="S1033" s="72" t="s">
        <v>6</v>
      </c>
      <c r="T1033" s="80" t="s">
        <v>4</v>
      </c>
      <c r="U1033" s="72" t="s">
        <v>540</v>
      </c>
      <c r="V1033" s="72" t="s">
        <v>1937</v>
      </c>
      <c r="W1033" s="72" t="s">
        <v>1943</v>
      </c>
      <c r="X1033" s="72" t="s">
        <v>404</v>
      </c>
      <c r="Y1033" s="72" t="s">
        <v>4</v>
      </c>
      <c r="Z1033" s="72" t="s">
        <v>129</v>
      </c>
    </row>
    <row r="1034" spans="1:26" ht="18.600000000000001" customHeight="1">
      <c r="A1034" s="142" t="str">
        <f>IF(priority(Main[[#This Row],[Comments]])&lt;&gt;0, priority(Main[[#This Row],[Comments]]),"")</f>
        <v/>
      </c>
      <c r="B1034" s="90" t="s">
        <v>1886</v>
      </c>
      <c r="C1034" s="72" t="s">
        <v>4</v>
      </c>
      <c r="D1034" s="73" t="s">
        <v>2744</v>
      </c>
      <c r="E1034" s="74">
        <v>40501.677928240744</v>
      </c>
      <c r="F1034" s="74"/>
      <c r="G1034" s="75" t="str">
        <f>IF(stdProdLT(Main[[#This Row],[Comments]])=0.1,"N/A",IF(stdProdLT(Main[[#This Row],[Comments]])=0,"",stdProdLT(Main[[#This Row],[Comments]])))</f>
        <v/>
      </c>
      <c r="H1034" s="76" t="str">
        <f>IF(AND(Main[[#This Row],[In Stock Date]]&lt;&gt;"",Main[[#This Row],[Revised Due Date]]&lt;&gt;""),Main[[#This Row],[In Stock Date]]-Main[[#This Row],[Revised Due Date]],"")</f>
        <v/>
      </c>
      <c r="I1034" s="72" t="s">
        <v>922</v>
      </c>
      <c r="J1034" s="72" t="s">
        <v>28</v>
      </c>
      <c r="K1034" s="72" t="s">
        <v>1949</v>
      </c>
      <c r="L1034" s="74"/>
      <c r="M1034" s="77" t="str">
        <f>IF(Main[[#This Row],[Tech Start Date]]&lt;1/1/1990,"",IF(Main[[#This Row],[Class]]="C",WORKDAY(Main[[#This Row],[Tech Start Date]],9),IF(Main[[#This Row],[Class]]="B", WORKDAY(Main[[#This Row],[Tech Start Date]],6),IF(Main[[#This Row],[Class]]="A",WORKDAY(Main[[#This Row],[Tech Start Date]],2),""))))</f>
        <v/>
      </c>
      <c r="N1034" s="77" t="str">
        <f>IF(Main[[#This Row],[Tech Start Date]]&lt;1/1/1990,"",IF(Main[[#This Row],[Class]]="C",WORKDAY(Main[[#This Row],[Tech Start Date]],19),IF(Main[[#This Row],[Class]]="B", WORKDAY(Main[[#This Row],[Tech Start Date]],12),IF(Main[[#This Row],[Class]]="A",WORKDAY(Main[[#This Row],[Tech Start Date]],4),""))))</f>
        <v/>
      </c>
      <c r="O1034" s="77" t="str">
        <f>IF(Main[[#This Row],[Tech Start Date]]&lt;1/1/1990,"",IF(Main[[#This Row],[Class]]="C",WORKDAY(Main[[#This Row],[Tech Start Date]],23),IF(Main[[#This Row],[Class]]="B", WORKDAY(Main[[#This Row],[Tech Start Date]],15),IF(Main[[#This Row],[Class]]="A",WORKDAY(Main[[#This Row],[Tech Start Date]],5),""))))</f>
        <v/>
      </c>
      <c r="P1034" s="77" t="str">
        <f>IF(Main[[#This Row],[Tech Start Date]]&lt;1/1/1990,"",IF(Main[[#This Row],[Class]]="C",WORKDAY(Main[[#This Row],[Tech Start Date]],28),IF(Main[[#This Row],[Class]]="B", WORKDAY(Main[[#This Row],[Tech Start Date]],19),IF(Main[[#This Row],[Class]]="A",WORKDAY(Main[[#This Row],[Tech Start Date]],9),""))))</f>
        <v/>
      </c>
      <c r="Q1034" s="74">
        <v>41274</v>
      </c>
      <c r="R1034" s="74">
        <v>41274</v>
      </c>
      <c r="S1034" s="72" t="s">
        <v>17</v>
      </c>
      <c r="T1034" s="80" t="s">
        <v>4</v>
      </c>
      <c r="U1034" s="72" t="s">
        <v>29</v>
      </c>
      <c r="V1034" s="72" t="s">
        <v>1937</v>
      </c>
      <c r="W1034" s="72" t="s">
        <v>1942</v>
      </c>
      <c r="X1034" s="72" t="s">
        <v>922</v>
      </c>
      <c r="Y1034" s="72" t="s">
        <v>4</v>
      </c>
      <c r="Z1034" s="72" t="s">
        <v>129</v>
      </c>
    </row>
    <row r="1035" spans="1:26" ht="18.600000000000001" customHeight="1">
      <c r="A1035" s="142" t="str">
        <f>IF(priority(Main[[#This Row],[Comments]])&lt;&gt;0, priority(Main[[#This Row],[Comments]]),"")</f>
        <v/>
      </c>
      <c r="B1035" s="90" t="s">
        <v>2267</v>
      </c>
      <c r="C1035" s="72" t="s">
        <v>4</v>
      </c>
      <c r="D1035" s="73" t="s">
        <v>2268</v>
      </c>
      <c r="E1035" s="74"/>
      <c r="F1035" s="74"/>
      <c r="G1035" s="75" t="str">
        <f>IF(stdProdLT(Main[[#This Row],[Comments]])=0.1,"N/A",IF(stdProdLT(Main[[#This Row],[Comments]])=0,"",stdProdLT(Main[[#This Row],[Comments]])))</f>
        <v/>
      </c>
      <c r="H1035" s="76" t="str">
        <f>IF(AND(Main[[#This Row],[In Stock Date]]&lt;&gt;"",Main[[#This Row],[Revised Due Date]]&lt;&gt;""),Main[[#This Row],[In Stock Date]]-Main[[#This Row],[Revised Due Date]],"")</f>
        <v/>
      </c>
      <c r="I1035" s="72" t="s">
        <v>4</v>
      </c>
      <c r="J1035" s="72" t="s">
        <v>4</v>
      </c>
      <c r="K1035" s="72" t="s">
        <v>4</v>
      </c>
      <c r="L1035" s="74"/>
      <c r="M1035" s="77" t="str">
        <f>IF(Main[[#This Row],[Tech Start Date]]&lt;1/1/1990,"",IF(Main[[#This Row],[Class]]="C",WORKDAY(Main[[#This Row],[Tech Start Date]],9),IF(Main[[#This Row],[Class]]="B", WORKDAY(Main[[#This Row],[Tech Start Date]],6),IF(Main[[#This Row],[Class]]="A",WORKDAY(Main[[#This Row],[Tech Start Date]],2),""))))</f>
        <v/>
      </c>
      <c r="N1035" s="77" t="str">
        <f>IF(Main[[#This Row],[Tech Start Date]]&lt;1/1/1990,"",IF(Main[[#This Row],[Class]]="C",WORKDAY(Main[[#This Row],[Tech Start Date]],19),IF(Main[[#This Row],[Class]]="B", WORKDAY(Main[[#This Row],[Tech Start Date]],12),IF(Main[[#This Row],[Class]]="A",WORKDAY(Main[[#This Row],[Tech Start Date]],4),""))))</f>
        <v/>
      </c>
      <c r="O1035" s="77" t="str">
        <f>IF(Main[[#This Row],[Tech Start Date]]&lt;1/1/1990,"",IF(Main[[#This Row],[Class]]="C",WORKDAY(Main[[#This Row],[Tech Start Date]],23),IF(Main[[#This Row],[Class]]="B", WORKDAY(Main[[#This Row],[Tech Start Date]],15),IF(Main[[#This Row],[Class]]="A",WORKDAY(Main[[#This Row],[Tech Start Date]],5),""))))</f>
        <v/>
      </c>
      <c r="P1035" s="77" t="str">
        <f>IF(Main[[#This Row],[Tech Start Date]]&lt;1/1/1990,"",IF(Main[[#This Row],[Class]]="C",WORKDAY(Main[[#This Row],[Tech Start Date]],28),IF(Main[[#This Row],[Class]]="B", WORKDAY(Main[[#This Row],[Tech Start Date]],19),IF(Main[[#This Row],[Class]]="A",WORKDAY(Main[[#This Row],[Tech Start Date]],9),""))))</f>
        <v/>
      </c>
      <c r="Q1035" s="74"/>
      <c r="R1035" s="74"/>
      <c r="S1035" s="72" t="s">
        <v>49</v>
      </c>
      <c r="T1035" s="80" t="s">
        <v>4</v>
      </c>
      <c r="U1035" s="72" t="s">
        <v>14</v>
      </c>
      <c r="V1035" s="72" t="s">
        <v>1952</v>
      </c>
      <c r="W1035" s="72" t="s">
        <v>1941</v>
      </c>
      <c r="X1035" s="72" t="s">
        <v>311</v>
      </c>
      <c r="Y1035" s="72" t="s">
        <v>4</v>
      </c>
      <c r="Z1035" s="72" t="s">
        <v>4</v>
      </c>
    </row>
    <row r="1036" spans="1:26" ht="18.600000000000001" customHeight="1">
      <c r="A1036" s="142" t="str">
        <f>IF(priority(Main[[#This Row],[Comments]])&lt;&gt;0, priority(Main[[#This Row],[Comments]]),"")</f>
        <v/>
      </c>
      <c r="B1036" s="90" t="s">
        <v>2448</v>
      </c>
      <c r="C1036" s="72" t="s">
        <v>2034</v>
      </c>
      <c r="D1036" s="73" t="s">
        <v>2419</v>
      </c>
      <c r="E1036" s="74"/>
      <c r="F1036" s="74"/>
      <c r="G1036" s="75" t="str">
        <f>IF(stdProdLT(Main[[#This Row],[Comments]])=0.1,"N/A",IF(stdProdLT(Main[[#This Row],[Comments]])=0,"",stdProdLT(Main[[#This Row],[Comments]])))</f>
        <v/>
      </c>
      <c r="H1036" s="76" t="str">
        <f>IF(AND(Main[[#This Row],[In Stock Date]]&lt;&gt;"",Main[[#This Row],[Revised Due Date]]&lt;&gt;""),Main[[#This Row],[In Stock Date]]-Main[[#This Row],[Revised Due Date]],"")</f>
        <v/>
      </c>
      <c r="I1036" s="72" t="s">
        <v>4</v>
      </c>
      <c r="J1036" s="72" t="s">
        <v>4</v>
      </c>
      <c r="K1036" s="72" t="s">
        <v>4</v>
      </c>
      <c r="L1036" s="74"/>
      <c r="M1036" s="77" t="str">
        <f>IF(Main[[#This Row],[Tech Start Date]]&lt;1/1/1990,"",IF(Main[[#This Row],[Class]]="C",WORKDAY(Main[[#This Row],[Tech Start Date]],9),IF(Main[[#This Row],[Class]]="B", WORKDAY(Main[[#This Row],[Tech Start Date]],6),IF(Main[[#This Row],[Class]]="A",WORKDAY(Main[[#This Row],[Tech Start Date]],2),""))))</f>
        <v/>
      </c>
      <c r="N1036" s="77" t="str">
        <f>IF(Main[[#This Row],[Tech Start Date]]&lt;1/1/1990,"",IF(Main[[#This Row],[Class]]="C",WORKDAY(Main[[#This Row],[Tech Start Date]],19),IF(Main[[#This Row],[Class]]="B", WORKDAY(Main[[#This Row],[Tech Start Date]],12),IF(Main[[#This Row],[Class]]="A",WORKDAY(Main[[#This Row],[Tech Start Date]],4),""))))</f>
        <v/>
      </c>
      <c r="O1036" s="77" t="str">
        <f>IF(Main[[#This Row],[Tech Start Date]]&lt;1/1/1990,"",IF(Main[[#This Row],[Class]]="C",WORKDAY(Main[[#This Row],[Tech Start Date]],23),IF(Main[[#This Row],[Class]]="B", WORKDAY(Main[[#This Row],[Tech Start Date]],15),IF(Main[[#This Row],[Class]]="A",WORKDAY(Main[[#This Row],[Tech Start Date]],5),""))))</f>
        <v/>
      </c>
      <c r="P1036" s="77" t="str">
        <f>IF(Main[[#This Row],[Tech Start Date]]&lt;1/1/1990,"",IF(Main[[#This Row],[Class]]="C",WORKDAY(Main[[#This Row],[Tech Start Date]],28),IF(Main[[#This Row],[Class]]="B", WORKDAY(Main[[#This Row],[Tech Start Date]],19),IF(Main[[#This Row],[Class]]="A",WORKDAY(Main[[#This Row],[Tech Start Date]],9),""))))</f>
        <v/>
      </c>
      <c r="Q1036" s="74">
        <v>40908</v>
      </c>
      <c r="R1036" s="74"/>
      <c r="S1036" s="72" t="s">
        <v>11</v>
      </c>
      <c r="T1036" s="80" t="s">
        <v>4</v>
      </c>
      <c r="U1036" s="72" t="s">
        <v>14</v>
      </c>
      <c r="V1036" s="72" t="s">
        <v>1940</v>
      </c>
      <c r="W1036" s="72" t="s">
        <v>1939</v>
      </c>
      <c r="X1036" s="72" t="s">
        <v>560</v>
      </c>
      <c r="Y1036" s="72" t="s">
        <v>3110</v>
      </c>
      <c r="Z1036" s="72" t="s">
        <v>4</v>
      </c>
    </row>
    <row r="1037" spans="1:26" ht="18.600000000000001" customHeight="1">
      <c r="A1037" s="142" t="str">
        <f>IF(priority(Main[[#This Row],[Comments]])&lt;&gt;0, priority(Main[[#This Row],[Comments]]),"")</f>
        <v/>
      </c>
      <c r="B1037" s="90" t="s">
        <v>1571</v>
      </c>
      <c r="C1037" s="72" t="s">
        <v>4</v>
      </c>
      <c r="D1037" s="73" t="s">
        <v>641</v>
      </c>
      <c r="E1037" s="74">
        <v>40711.765081018515</v>
      </c>
      <c r="F1037" s="74"/>
      <c r="G1037" s="75" t="str">
        <f>IF(stdProdLT(Main[[#This Row],[Comments]])=0.1,"N/A",IF(stdProdLT(Main[[#This Row],[Comments]])=0,"",stdProdLT(Main[[#This Row],[Comments]])))</f>
        <v/>
      </c>
      <c r="H1037" s="76" t="str">
        <f>IF(AND(Main[[#This Row],[In Stock Date]]&lt;&gt;"",Main[[#This Row],[Revised Due Date]]&lt;&gt;""),Main[[#This Row],[In Stock Date]]-Main[[#This Row],[Revised Due Date]],"")</f>
        <v/>
      </c>
      <c r="I1037" s="72" t="s">
        <v>2080</v>
      </c>
      <c r="J1037" s="72" t="s">
        <v>21</v>
      </c>
      <c r="K1037" s="72" t="s">
        <v>1946</v>
      </c>
      <c r="L1037" s="74"/>
      <c r="M1037" s="77" t="str">
        <f>IF(Main[[#This Row],[Tech Start Date]]&lt;1/1/1990,"",IF(Main[[#This Row],[Class]]="C",WORKDAY(Main[[#This Row],[Tech Start Date]],9),IF(Main[[#This Row],[Class]]="B", WORKDAY(Main[[#This Row],[Tech Start Date]],6),IF(Main[[#This Row],[Class]]="A",WORKDAY(Main[[#This Row],[Tech Start Date]],2),""))))</f>
        <v/>
      </c>
      <c r="N1037" s="77" t="str">
        <f>IF(Main[[#This Row],[Tech Start Date]]&lt;1/1/1990,"",IF(Main[[#This Row],[Class]]="C",WORKDAY(Main[[#This Row],[Tech Start Date]],19),IF(Main[[#This Row],[Class]]="B", WORKDAY(Main[[#This Row],[Tech Start Date]],12),IF(Main[[#This Row],[Class]]="A",WORKDAY(Main[[#This Row],[Tech Start Date]],4),""))))</f>
        <v/>
      </c>
      <c r="O1037" s="77" t="str">
        <f>IF(Main[[#This Row],[Tech Start Date]]&lt;1/1/1990,"",IF(Main[[#This Row],[Class]]="C",WORKDAY(Main[[#This Row],[Tech Start Date]],23),IF(Main[[#This Row],[Class]]="B", WORKDAY(Main[[#This Row],[Tech Start Date]],15),IF(Main[[#This Row],[Class]]="A",WORKDAY(Main[[#This Row],[Tech Start Date]],5),""))))</f>
        <v/>
      </c>
      <c r="P1037" s="77" t="str">
        <f>IF(Main[[#This Row],[Tech Start Date]]&lt;1/1/1990,"",IF(Main[[#This Row],[Class]]="C",WORKDAY(Main[[#This Row],[Tech Start Date]],28),IF(Main[[#This Row],[Class]]="B", WORKDAY(Main[[#This Row],[Tech Start Date]],19),IF(Main[[#This Row],[Class]]="A",WORKDAY(Main[[#This Row],[Tech Start Date]],9),""))))</f>
        <v/>
      </c>
      <c r="Q1037" s="74">
        <v>40732</v>
      </c>
      <c r="R1037" s="74"/>
      <c r="S1037" s="72" t="s">
        <v>6</v>
      </c>
      <c r="T1037" s="80" t="s">
        <v>4</v>
      </c>
      <c r="U1037" s="72" t="s">
        <v>29</v>
      </c>
      <c r="V1037" s="72" t="s">
        <v>1938</v>
      </c>
      <c r="W1037" s="72" t="s">
        <v>1941</v>
      </c>
      <c r="X1037" s="72" t="s">
        <v>30</v>
      </c>
      <c r="Y1037" s="72" t="s">
        <v>3277</v>
      </c>
      <c r="Z1037" s="72" t="s">
        <v>30</v>
      </c>
    </row>
    <row r="1038" spans="1:26" ht="18.600000000000001" customHeight="1">
      <c r="A1038" s="142" t="str">
        <f>IF(priority(Main[[#This Row],[Comments]])&lt;&gt;0, priority(Main[[#This Row],[Comments]]),"")</f>
        <v/>
      </c>
      <c r="B1038" s="90" t="s">
        <v>2314</v>
      </c>
      <c r="C1038" s="72" t="s">
        <v>2312</v>
      </c>
      <c r="D1038" s="73" t="s">
        <v>2315</v>
      </c>
      <c r="E1038" s="74"/>
      <c r="F1038" s="74">
        <v>40907</v>
      </c>
      <c r="G1038" s="75" t="str">
        <f>IF(stdProdLT(Main[[#This Row],[Comments]])=0.1,"N/A",IF(stdProdLT(Main[[#This Row],[Comments]])=0,"",stdProdLT(Main[[#This Row],[Comments]])))</f>
        <v/>
      </c>
      <c r="H1038" s="76" t="str">
        <f>IF(AND(Main[[#This Row],[In Stock Date]]&lt;&gt;"",Main[[#This Row],[Revised Due Date]]&lt;&gt;""),Main[[#This Row],[In Stock Date]]-Main[[#This Row],[Revised Due Date]],"")</f>
        <v/>
      </c>
      <c r="I1038" s="72" t="s">
        <v>4</v>
      </c>
      <c r="J1038" s="72" t="s">
        <v>4</v>
      </c>
      <c r="K1038" s="72" t="s">
        <v>4</v>
      </c>
      <c r="L1038" s="74"/>
      <c r="M1038" s="77" t="str">
        <f>IF(Main[[#This Row],[Tech Start Date]]&lt;1/1/1990,"",IF(Main[[#This Row],[Class]]="C",WORKDAY(Main[[#This Row],[Tech Start Date]],9),IF(Main[[#This Row],[Class]]="B", WORKDAY(Main[[#This Row],[Tech Start Date]],6),IF(Main[[#This Row],[Class]]="A",WORKDAY(Main[[#This Row],[Tech Start Date]],2),""))))</f>
        <v/>
      </c>
      <c r="N1038" s="77" t="str">
        <f>IF(Main[[#This Row],[Tech Start Date]]&lt;1/1/1990,"",IF(Main[[#This Row],[Class]]="C",WORKDAY(Main[[#This Row],[Tech Start Date]],19),IF(Main[[#This Row],[Class]]="B", WORKDAY(Main[[#This Row],[Tech Start Date]],12),IF(Main[[#This Row],[Class]]="A",WORKDAY(Main[[#This Row],[Tech Start Date]],4),""))))</f>
        <v/>
      </c>
      <c r="O1038" s="77" t="str">
        <f>IF(Main[[#This Row],[Tech Start Date]]&lt;1/1/1990,"",IF(Main[[#This Row],[Class]]="C",WORKDAY(Main[[#This Row],[Tech Start Date]],23),IF(Main[[#This Row],[Class]]="B", WORKDAY(Main[[#This Row],[Tech Start Date]],15),IF(Main[[#This Row],[Class]]="A",WORKDAY(Main[[#This Row],[Tech Start Date]],5),""))))</f>
        <v/>
      </c>
      <c r="P1038" s="77" t="str">
        <f>IF(Main[[#This Row],[Tech Start Date]]&lt;1/1/1990,"",IF(Main[[#This Row],[Class]]="C",WORKDAY(Main[[#This Row],[Tech Start Date]],28),IF(Main[[#This Row],[Class]]="B", WORKDAY(Main[[#This Row],[Tech Start Date]],19),IF(Main[[#This Row],[Class]]="A",WORKDAY(Main[[#This Row],[Tech Start Date]],9),""))))</f>
        <v/>
      </c>
      <c r="Q1038" s="74">
        <v>40816</v>
      </c>
      <c r="R1038" s="74"/>
      <c r="S1038" s="72" t="s">
        <v>301</v>
      </c>
      <c r="T1038" s="80" t="s">
        <v>4</v>
      </c>
      <c r="U1038" s="72" t="s">
        <v>14</v>
      </c>
      <c r="V1038" s="72" t="s">
        <v>1947</v>
      </c>
      <c r="W1038" s="72" t="s">
        <v>1945</v>
      </c>
      <c r="X1038" s="72" t="s">
        <v>3062</v>
      </c>
      <c r="Y1038" s="72" t="s">
        <v>3278</v>
      </c>
      <c r="Z1038" s="72" t="s">
        <v>4</v>
      </c>
    </row>
    <row r="1039" spans="1:26" ht="18.600000000000001" customHeight="1">
      <c r="A1039" s="142" t="str">
        <f>IF(priority(Main[[#This Row],[Comments]])&lt;&gt;0, priority(Main[[#This Row],[Comments]]),"")</f>
        <v/>
      </c>
      <c r="B1039" s="90" t="s">
        <v>2308</v>
      </c>
      <c r="C1039" s="72" t="s">
        <v>524</v>
      </c>
      <c r="D1039" s="73" t="s">
        <v>2309</v>
      </c>
      <c r="E1039" s="74"/>
      <c r="F1039" s="74">
        <v>40854</v>
      </c>
      <c r="G1039" s="75" t="str">
        <f>IF(stdProdLT(Main[[#This Row],[Comments]])=0.1,"N/A",IF(stdProdLT(Main[[#This Row],[Comments]])=0,"",stdProdLT(Main[[#This Row],[Comments]])))</f>
        <v/>
      </c>
      <c r="H1039" s="76" t="str">
        <f>IF(AND(Main[[#This Row],[In Stock Date]]&lt;&gt;"",Main[[#This Row],[Revised Due Date]]&lt;&gt;""),Main[[#This Row],[In Stock Date]]-Main[[#This Row],[Revised Due Date]],"")</f>
        <v/>
      </c>
      <c r="I1039" s="72" t="s">
        <v>4</v>
      </c>
      <c r="J1039" s="72" t="s">
        <v>4</v>
      </c>
      <c r="K1039" s="72" t="s">
        <v>4</v>
      </c>
      <c r="L1039" s="74"/>
      <c r="M1039" s="77" t="str">
        <f>IF(Main[[#This Row],[Tech Start Date]]&lt;1/1/1990,"",IF(Main[[#This Row],[Class]]="C",WORKDAY(Main[[#This Row],[Tech Start Date]],9),IF(Main[[#This Row],[Class]]="B", WORKDAY(Main[[#This Row],[Tech Start Date]],6),IF(Main[[#This Row],[Class]]="A",WORKDAY(Main[[#This Row],[Tech Start Date]],2),""))))</f>
        <v/>
      </c>
      <c r="N1039" s="77" t="str">
        <f>IF(Main[[#This Row],[Tech Start Date]]&lt;1/1/1990,"",IF(Main[[#This Row],[Class]]="C",WORKDAY(Main[[#This Row],[Tech Start Date]],19),IF(Main[[#This Row],[Class]]="B", WORKDAY(Main[[#This Row],[Tech Start Date]],12),IF(Main[[#This Row],[Class]]="A",WORKDAY(Main[[#This Row],[Tech Start Date]],4),""))))</f>
        <v/>
      </c>
      <c r="O1039" s="77" t="str">
        <f>IF(Main[[#This Row],[Tech Start Date]]&lt;1/1/1990,"",IF(Main[[#This Row],[Class]]="C",WORKDAY(Main[[#This Row],[Tech Start Date]],23),IF(Main[[#This Row],[Class]]="B", WORKDAY(Main[[#This Row],[Tech Start Date]],15),IF(Main[[#This Row],[Class]]="A",WORKDAY(Main[[#This Row],[Tech Start Date]],5),""))))</f>
        <v/>
      </c>
      <c r="P1039" s="77" t="str">
        <f>IF(Main[[#This Row],[Tech Start Date]]&lt;1/1/1990,"",IF(Main[[#This Row],[Class]]="C",WORKDAY(Main[[#This Row],[Tech Start Date]],28),IF(Main[[#This Row],[Class]]="B", WORKDAY(Main[[#This Row],[Tech Start Date]],19),IF(Main[[#This Row],[Class]]="A",WORKDAY(Main[[#This Row],[Tech Start Date]],9),""))))</f>
        <v/>
      </c>
      <c r="Q1039" s="74">
        <v>40816</v>
      </c>
      <c r="R1039" s="74"/>
      <c r="S1039" s="72" t="s">
        <v>301</v>
      </c>
      <c r="T1039" s="80" t="s">
        <v>4</v>
      </c>
      <c r="U1039" s="72" t="s">
        <v>14</v>
      </c>
      <c r="V1039" s="72" t="s">
        <v>1947</v>
      </c>
      <c r="W1039" s="72" t="s">
        <v>1945</v>
      </c>
      <c r="X1039" s="72" t="s">
        <v>3062</v>
      </c>
      <c r="Y1039" s="72" t="s">
        <v>3279</v>
      </c>
      <c r="Z1039" s="72" t="s">
        <v>4</v>
      </c>
    </row>
    <row r="1040" spans="1:26" ht="18.600000000000001" customHeight="1">
      <c r="A1040" s="142" t="str">
        <f>IF(priority(Main[[#This Row],[Comments]])&lt;&gt;0, priority(Main[[#This Row],[Comments]]),"")</f>
        <v/>
      </c>
      <c r="B1040" s="90" t="s">
        <v>2269</v>
      </c>
      <c r="C1040" s="72" t="s">
        <v>4</v>
      </c>
      <c r="D1040" s="73" t="s">
        <v>2270</v>
      </c>
      <c r="E1040" s="74"/>
      <c r="F1040" s="74"/>
      <c r="G1040" s="75" t="str">
        <f>IF(stdProdLT(Main[[#This Row],[Comments]])=0.1,"N/A",IF(stdProdLT(Main[[#This Row],[Comments]])=0,"",stdProdLT(Main[[#This Row],[Comments]])))</f>
        <v/>
      </c>
      <c r="H1040" s="76" t="str">
        <f>IF(AND(Main[[#This Row],[In Stock Date]]&lt;&gt;"",Main[[#This Row],[Revised Due Date]]&lt;&gt;""),Main[[#This Row],[In Stock Date]]-Main[[#This Row],[Revised Due Date]],"")</f>
        <v/>
      </c>
      <c r="I1040" s="72" t="s">
        <v>4</v>
      </c>
      <c r="J1040" s="72" t="s">
        <v>4</v>
      </c>
      <c r="K1040" s="72" t="s">
        <v>4</v>
      </c>
      <c r="L1040" s="74"/>
      <c r="M1040" s="77" t="str">
        <f>IF(Main[[#This Row],[Tech Start Date]]&lt;1/1/1990,"",IF(Main[[#This Row],[Class]]="C",WORKDAY(Main[[#This Row],[Tech Start Date]],9),IF(Main[[#This Row],[Class]]="B", WORKDAY(Main[[#This Row],[Tech Start Date]],6),IF(Main[[#This Row],[Class]]="A",WORKDAY(Main[[#This Row],[Tech Start Date]],2),""))))</f>
        <v/>
      </c>
      <c r="N1040" s="77" t="str">
        <f>IF(Main[[#This Row],[Tech Start Date]]&lt;1/1/1990,"",IF(Main[[#This Row],[Class]]="C",WORKDAY(Main[[#This Row],[Tech Start Date]],19),IF(Main[[#This Row],[Class]]="B", WORKDAY(Main[[#This Row],[Tech Start Date]],12),IF(Main[[#This Row],[Class]]="A",WORKDAY(Main[[#This Row],[Tech Start Date]],4),""))))</f>
        <v/>
      </c>
      <c r="O1040" s="77" t="str">
        <f>IF(Main[[#This Row],[Tech Start Date]]&lt;1/1/1990,"",IF(Main[[#This Row],[Class]]="C",WORKDAY(Main[[#This Row],[Tech Start Date]],23),IF(Main[[#This Row],[Class]]="B", WORKDAY(Main[[#This Row],[Tech Start Date]],15),IF(Main[[#This Row],[Class]]="A",WORKDAY(Main[[#This Row],[Tech Start Date]],5),""))))</f>
        <v/>
      </c>
      <c r="P1040" s="77" t="str">
        <f>IF(Main[[#This Row],[Tech Start Date]]&lt;1/1/1990,"",IF(Main[[#This Row],[Class]]="C",WORKDAY(Main[[#This Row],[Tech Start Date]],28),IF(Main[[#This Row],[Class]]="B", WORKDAY(Main[[#This Row],[Tech Start Date]],19),IF(Main[[#This Row],[Class]]="A",WORKDAY(Main[[#This Row],[Tech Start Date]],9),""))))</f>
        <v/>
      </c>
      <c r="Q1040" s="74"/>
      <c r="R1040" s="74"/>
      <c r="S1040" s="72" t="s">
        <v>49</v>
      </c>
      <c r="T1040" s="80" t="s">
        <v>4</v>
      </c>
      <c r="U1040" s="72" t="s">
        <v>14</v>
      </c>
      <c r="V1040" s="72" t="s">
        <v>1937</v>
      </c>
      <c r="W1040" s="72" t="s">
        <v>1941</v>
      </c>
      <c r="X1040" s="72" t="s">
        <v>311</v>
      </c>
      <c r="Y1040" s="72" t="s">
        <v>4</v>
      </c>
      <c r="Z1040" s="72" t="s">
        <v>4</v>
      </c>
    </row>
    <row r="1041" spans="1:26" ht="18.600000000000001" customHeight="1">
      <c r="A1041" s="142" t="str">
        <f>IF(priority(Main[[#This Row],[Comments]])&lt;&gt;0, priority(Main[[#This Row],[Comments]]),"")</f>
        <v/>
      </c>
      <c r="B1041" s="90" t="s">
        <v>1364</v>
      </c>
      <c r="C1041" s="72" t="s">
        <v>439</v>
      </c>
      <c r="D1041" s="73" t="s">
        <v>440</v>
      </c>
      <c r="E1041" s="74">
        <v>40505.653032407405</v>
      </c>
      <c r="F1041" s="74"/>
      <c r="G1041" s="75" t="str">
        <f>IF(stdProdLT(Main[[#This Row],[Comments]])=0.1,"N/A",IF(stdProdLT(Main[[#This Row],[Comments]])=0,"",stdProdLT(Main[[#This Row],[Comments]])))</f>
        <v/>
      </c>
      <c r="H1041" s="76" t="str">
        <f>IF(AND(Main[[#This Row],[In Stock Date]]&lt;&gt;"",Main[[#This Row],[Revised Due Date]]&lt;&gt;""),Main[[#This Row],[In Stock Date]]-Main[[#This Row],[Revised Due Date]],"")</f>
        <v/>
      </c>
      <c r="I1041" s="72" t="s">
        <v>30</v>
      </c>
      <c r="J1041" s="72" t="s">
        <v>28</v>
      </c>
      <c r="K1041" s="72" t="s">
        <v>1949</v>
      </c>
      <c r="L1041" s="74"/>
      <c r="M1041" s="77" t="str">
        <f>IF(Main[[#This Row],[Tech Start Date]]&lt;1/1/1990,"",IF(Main[[#This Row],[Class]]="C",WORKDAY(Main[[#This Row],[Tech Start Date]],9),IF(Main[[#This Row],[Class]]="B", WORKDAY(Main[[#This Row],[Tech Start Date]],6),IF(Main[[#This Row],[Class]]="A",WORKDAY(Main[[#This Row],[Tech Start Date]],2),""))))</f>
        <v/>
      </c>
      <c r="N1041" s="77" t="str">
        <f>IF(Main[[#This Row],[Tech Start Date]]&lt;1/1/1990,"",IF(Main[[#This Row],[Class]]="C",WORKDAY(Main[[#This Row],[Tech Start Date]],19),IF(Main[[#This Row],[Class]]="B", WORKDAY(Main[[#This Row],[Tech Start Date]],12),IF(Main[[#This Row],[Class]]="A",WORKDAY(Main[[#This Row],[Tech Start Date]],4),""))))</f>
        <v/>
      </c>
      <c r="O1041" s="77" t="str">
        <f>IF(Main[[#This Row],[Tech Start Date]]&lt;1/1/1990,"",IF(Main[[#This Row],[Class]]="C",WORKDAY(Main[[#This Row],[Tech Start Date]],23),IF(Main[[#This Row],[Class]]="B", WORKDAY(Main[[#This Row],[Tech Start Date]],15),IF(Main[[#This Row],[Class]]="A",WORKDAY(Main[[#This Row],[Tech Start Date]],5),""))))</f>
        <v/>
      </c>
      <c r="P1041" s="77" t="str">
        <f>IF(Main[[#This Row],[Tech Start Date]]&lt;1/1/1990,"",IF(Main[[#This Row],[Class]]="C",WORKDAY(Main[[#This Row],[Tech Start Date]],28),IF(Main[[#This Row],[Class]]="B", WORKDAY(Main[[#This Row],[Tech Start Date]],19),IF(Main[[#This Row],[Class]]="A",WORKDAY(Main[[#This Row],[Tech Start Date]],9),""))))</f>
        <v/>
      </c>
      <c r="Q1041" s="74">
        <v>40620</v>
      </c>
      <c r="R1041" s="74"/>
      <c r="S1041" s="72" t="s">
        <v>17</v>
      </c>
      <c r="T1041" s="80" t="s">
        <v>4</v>
      </c>
      <c r="U1041" s="72" t="s">
        <v>29</v>
      </c>
      <c r="V1041" s="72" t="s">
        <v>1940</v>
      </c>
      <c r="W1041" s="72" t="s">
        <v>1942</v>
      </c>
      <c r="X1041" s="72" t="s">
        <v>777</v>
      </c>
      <c r="Y1041" s="72" t="s">
        <v>3280</v>
      </c>
      <c r="Z1041" s="72" t="s">
        <v>30</v>
      </c>
    </row>
    <row r="1042" spans="1:26" ht="18.600000000000001" customHeight="1">
      <c r="A1042" s="142" t="str">
        <f>IF(priority(Main[[#This Row],[Comments]])&lt;&gt;0, priority(Main[[#This Row],[Comments]]),"")</f>
        <v/>
      </c>
      <c r="B1042" s="90" t="s">
        <v>1493</v>
      </c>
      <c r="C1042" s="72" t="s">
        <v>4</v>
      </c>
      <c r="D1042" s="73" t="s">
        <v>2450</v>
      </c>
      <c r="E1042" s="74">
        <v>40627.399282407408</v>
      </c>
      <c r="F1042" s="74"/>
      <c r="G1042" s="75" t="str">
        <f>IF(stdProdLT(Main[[#This Row],[Comments]])=0.1,"N/A",IF(stdProdLT(Main[[#This Row],[Comments]])=0,"",stdProdLT(Main[[#This Row],[Comments]])))</f>
        <v/>
      </c>
      <c r="H1042" s="76" t="str">
        <f>IF(AND(Main[[#This Row],[In Stock Date]]&lt;&gt;"",Main[[#This Row],[Revised Due Date]]&lt;&gt;""),Main[[#This Row],[In Stock Date]]-Main[[#This Row],[Revised Due Date]],"")</f>
        <v/>
      </c>
      <c r="I1042" s="72" t="s">
        <v>927</v>
      </c>
      <c r="J1042" s="72" t="s">
        <v>52</v>
      </c>
      <c r="K1042" s="72" t="s">
        <v>1946</v>
      </c>
      <c r="L1042" s="74"/>
      <c r="M1042" s="77" t="str">
        <f>IF(Main[[#This Row],[Tech Start Date]]&lt;1/1/1990,"",IF(Main[[#This Row],[Class]]="C",WORKDAY(Main[[#This Row],[Tech Start Date]],9),IF(Main[[#This Row],[Class]]="B", WORKDAY(Main[[#This Row],[Tech Start Date]],6),IF(Main[[#This Row],[Class]]="A",WORKDAY(Main[[#This Row],[Tech Start Date]],2),""))))</f>
        <v/>
      </c>
      <c r="N1042" s="77" t="str">
        <f>IF(Main[[#This Row],[Tech Start Date]]&lt;1/1/1990,"",IF(Main[[#This Row],[Class]]="C",WORKDAY(Main[[#This Row],[Tech Start Date]],19),IF(Main[[#This Row],[Class]]="B", WORKDAY(Main[[#This Row],[Tech Start Date]],12),IF(Main[[#This Row],[Class]]="A",WORKDAY(Main[[#This Row],[Tech Start Date]],4),""))))</f>
        <v/>
      </c>
      <c r="O1042" s="77" t="str">
        <f>IF(Main[[#This Row],[Tech Start Date]]&lt;1/1/1990,"",IF(Main[[#This Row],[Class]]="C",WORKDAY(Main[[#This Row],[Tech Start Date]],23),IF(Main[[#This Row],[Class]]="B", WORKDAY(Main[[#This Row],[Tech Start Date]],15),IF(Main[[#This Row],[Class]]="A",WORKDAY(Main[[#This Row],[Tech Start Date]],5),""))))</f>
        <v/>
      </c>
      <c r="P1042" s="77" t="str">
        <f>IF(Main[[#This Row],[Tech Start Date]]&lt;1/1/1990,"",IF(Main[[#This Row],[Class]]="C",WORKDAY(Main[[#This Row],[Tech Start Date]],28),IF(Main[[#This Row],[Class]]="B", WORKDAY(Main[[#This Row],[Tech Start Date]],19),IF(Main[[#This Row],[Class]]="A",WORKDAY(Main[[#This Row],[Tech Start Date]],9),""))))</f>
        <v/>
      </c>
      <c r="Q1042" s="74">
        <v>40632</v>
      </c>
      <c r="R1042" s="74"/>
      <c r="S1042" s="72" t="s">
        <v>6</v>
      </c>
      <c r="T1042" s="80" t="s">
        <v>4</v>
      </c>
      <c r="U1042" s="72" t="s">
        <v>29</v>
      </c>
      <c r="V1042" s="72" t="s">
        <v>1937</v>
      </c>
      <c r="W1042" s="72" t="s">
        <v>1941</v>
      </c>
      <c r="X1042" s="72" t="s">
        <v>953</v>
      </c>
      <c r="Y1042" s="72" t="s">
        <v>3142</v>
      </c>
      <c r="Z1042" s="72" t="s">
        <v>129</v>
      </c>
    </row>
    <row r="1043" spans="1:26" ht="18.600000000000001" customHeight="1">
      <c r="A1043" s="142" t="str">
        <f>IF(priority(Main[[#This Row],[Comments]])&lt;&gt;0, priority(Main[[#This Row],[Comments]]),"")</f>
        <v/>
      </c>
      <c r="B1043" s="90" t="s">
        <v>1401</v>
      </c>
      <c r="C1043" s="72" t="s">
        <v>4</v>
      </c>
      <c r="D1043" s="73" t="s">
        <v>2451</v>
      </c>
      <c r="E1043" s="74">
        <v>40555.34138888889</v>
      </c>
      <c r="F1043" s="74">
        <v>40592</v>
      </c>
      <c r="G1043" s="75" t="str">
        <f>IF(stdProdLT(Main[[#This Row],[Comments]])=0.1,"N/A",IF(stdProdLT(Main[[#This Row],[Comments]])=0,"",stdProdLT(Main[[#This Row],[Comments]])))</f>
        <v/>
      </c>
      <c r="H1043" s="76" t="str">
        <f>IF(AND(Main[[#This Row],[In Stock Date]]&lt;&gt;"",Main[[#This Row],[Revised Due Date]]&lt;&gt;""),Main[[#This Row],[In Stock Date]]-Main[[#This Row],[Revised Due Date]],"")</f>
        <v/>
      </c>
      <c r="I1043" s="72" t="s">
        <v>927</v>
      </c>
      <c r="J1043" s="72" t="s">
        <v>52</v>
      </c>
      <c r="K1043" s="81" t="s">
        <v>1944</v>
      </c>
      <c r="L1043" s="74"/>
      <c r="M1043" s="77" t="str">
        <f>IF(Main[[#This Row],[Tech Start Date]]&lt;1/1/1990,"",IF(Main[[#This Row],[Class]]="C",WORKDAY(Main[[#This Row],[Tech Start Date]],9),IF(Main[[#This Row],[Class]]="B", WORKDAY(Main[[#This Row],[Tech Start Date]],6),IF(Main[[#This Row],[Class]]="A",WORKDAY(Main[[#This Row],[Tech Start Date]],2),""))))</f>
        <v/>
      </c>
      <c r="N1043" s="77" t="str">
        <f>IF(Main[[#This Row],[Tech Start Date]]&lt;1/1/1990,"",IF(Main[[#This Row],[Class]]="C",WORKDAY(Main[[#This Row],[Tech Start Date]],19),IF(Main[[#This Row],[Class]]="B", WORKDAY(Main[[#This Row],[Tech Start Date]],12),IF(Main[[#This Row],[Class]]="A",WORKDAY(Main[[#This Row],[Tech Start Date]],4),""))))</f>
        <v/>
      </c>
      <c r="O1043" s="77" t="str">
        <f>IF(Main[[#This Row],[Tech Start Date]]&lt;1/1/1990,"",IF(Main[[#This Row],[Class]]="C",WORKDAY(Main[[#This Row],[Tech Start Date]],23),IF(Main[[#This Row],[Class]]="B", WORKDAY(Main[[#This Row],[Tech Start Date]],15),IF(Main[[#This Row],[Class]]="A",WORKDAY(Main[[#This Row],[Tech Start Date]],5),""))))</f>
        <v/>
      </c>
      <c r="P1043" s="77" t="str">
        <f>IF(Main[[#This Row],[Tech Start Date]]&lt;1/1/1990,"",IF(Main[[#This Row],[Class]]="C",WORKDAY(Main[[#This Row],[Tech Start Date]],28),IF(Main[[#This Row],[Class]]="B", WORKDAY(Main[[#This Row],[Tech Start Date]],19),IF(Main[[#This Row],[Class]]="A",WORKDAY(Main[[#This Row],[Tech Start Date]],9),""))))</f>
        <v/>
      </c>
      <c r="Q1043" s="74">
        <v>40592</v>
      </c>
      <c r="R1043" s="74"/>
      <c r="S1043" s="72" t="s">
        <v>6</v>
      </c>
      <c r="T1043" s="80" t="s">
        <v>4</v>
      </c>
      <c r="U1043" s="72" t="s">
        <v>29</v>
      </c>
      <c r="V1043" s="72" t="s">
        <v>1937</v>
      </c>
      <c r="W1043" s="72" t="s">
        <v>1939</v>
      </c>
      <c r="X1043" s="72" t="s">
        <v>2970</v>
      </c>
      <c r="Y1043" s="72" t="s">
        <v>3087</v>
      </c>
      <c r="Z1043" s="72" t="s">
        <v>129</v>
      </c>
    </row>
    <row r="1044" spans="1:26" ht="18.600000000000001" customHeight="1">
      <c r="A1044" s="142" t="str">
        <f>IF(priority(Main[[#This Row],[Comments]])&lt;&gt;0, priority(Main[[#This Row],[Comments]]),"")</f>
        <v/>
      </c>
      <c r="B1044" s="90" t="s">
        <v>2088</v>
      </c>
      <c r="C1044" s="72" t="s">
        <v>4</v>
      </c>
      <c r="D1044" s="73" t="s">
        <v>2335</v>
      </c>
      <c r="E1044" s="74">
        <v>40758.6172337963</v>
      </c>
      <c r="F1044" s="74"/>
      <c r="G1044" s="75" t="str">
        <f>IF(stdProdLT(Main[[#This Row],[Comments]])=0.1,"N/A",IF(stdProdLT(Main[[#This Row],[Comments]])=0,"",stdProdLT(Main[[#This Row],[Comments]])))</f>
        <v/>
      </c>
      <c r="H1044" s="76" t="str">
        <f>IF(AND(Main[[#This Row],[In Stock Date]]&lt;&gt;"",Main[[#This Row],[Revised Due Date]]&lt;&gt;""),Main[[#This Row],[In Stock Date]]-Main[[#This Row],[Revised Due Date]],"")</f>
        <v/>
      </c>
      <c r="I1044" s="72" t="s">
        <v>536</v>
      </c>
      <c r="J1044" s="72" t="s">
        <v>21</v>
      </c>
      <c r="K1044" s="72" t="s">
        <v>1946</v>
      </c>
      <c r="L1044" s="74"/>
      <c r="M1044" s="77" t="str">
        <f>IF(Main[[#This Row],[Tech Start Date]]&lt;1/1/1990,"",IF(Main[[#This Row],[Class]]="C",WORKDAY(Main[[#This Row],[Tech Start Date]],9),IF(Main[[#This Row],[Class]]="B", WORKDAY(Main[[#This Row],[Tech Start Date]],6),IF(Main[[#This Row],[Class]]="A",WORKDAY(Main[[#This Row],[Tech Start Date]],2),""))))</f>
        <v/>
      </c>
      <c r="N1044" s="77" t="str">
        <f>IF(Main[[#This Row],[Tech Start Date]]&lt;1/1/1990,"",IF(Main[[#This Row],[Class]]="C",WORKDAY(Main[[#This Row],[Tech Start Date]],19),IF(Main[[#This Row],[Class]]="B", WORKDAY(Main[[#This Row],[Tech Start Date]],12),IF(Main[[#This Row],[Class]]="A",WORKDAY(Main[[#This Row],[Tech Start Date]],4),""))))</f>
        <v/>
      </c>
      <c r="O1044" s="77" t="str">
        <f>IF(Main[[#This Row],[Tech Start Date]]&lt;1/1/1990,"",IF(Main[[#This Row],[Class]]="C",WORKDAY(Main[[#This Row],[Tech Start Date]],23),IF(Main[[#This Row],[Class]]="B", WORKDAY(Main[[#This Row],[Tech Start Date]],15),IF(Main[[#This Row],[Class]]="A",WORKDAY(Main[[#This Row],[Tech Start Date]],5),""))))</f>
        <v/>
      </c>
      <c r="P1044" s="77" t="str">
        <f>IF(Main[[#This Row],[Tech Start Date]]&lt;1/1/1990,"",IF(Main[[#This Row],[Class]]="C",WORKDAY(Main[[#This Row],[Tech Start Date]],28),IF(Main[[#This Row],[Class]]="B", WORKDAY(Main[[#This Row],[Tech Start Date]],19),IF(Main[[#This Row],[Class]]="A",WORKDAY(Main[[#This Row],[Tech Start Date]],9),""))))</f>
        <v/>
      </c>
      <c r="Q1044" s="74"/>
      <c r="R1044" s="74"/>
      <c r="S1044" s="72" t="s">
        <v>6</v>
      </c>
      <c r="T1044" s="80" t="s">
        <v>4</v>
      </c>
      <c r="U1044" s="72" t="s">
        <v>29</v>
      </c>
      <c r="V1044" s="72" t="s">
        <v>1940</v>
      </c>
      <c r="W1044" s="72" t="s">
        <v>1941</v>
      </c>
      <c r="X1044" s="72" t="s">
        <v>102</v>
      </c>
      <c r="Y1044" s="72" t="s">
        <v>3282</v>
      </c>
      <c r="Z1044" s="72" t="s">
        <v>536</v>
      </c>
    </row>
    <row r="1045" spans="1:26" ht="18.600000000000001" customHeight="1">
      <c r="A1045" s="142" t="str">
        <f>IF(priority(Main[[#This Row],[Comments]])&lt;&gt;0, priority(Main[[#This Row],[Comments]]),"")</f>
        <v/>
      </c>
      <c r="B1045" s="90" t="s">
        <v>2251</v>
      </c>
      <c r="C1045" s="72" t="s">
        <v>4</v>
      </c>
      <c r="D1045" s="73" t="s">
        <v>2452</v>
      </c>
      <c r="E1045" s="74">
        <v>40798.679803240739</v>
      </c>
      <c r="F1045" s="74"/>
      <c r="G1045" s="75" t="str">
        <f>IF(stdProdLT(Main[[#This Row],[Comments]])=0.1,"N/A",IF(stdProdLT(Main[[#This Row],[Comments]])=0,"",stdProdLT(Main[[#This Row],[Comments]])))</f>
        <v/>
      </c>
      <c r="H1045" s="76" t="str">
        <f>IF(AND(Main[[#This Row],[In Stock Date]]&lt;&gt;"",Main[[#This Row],[Revised Due Date]]&lt;&gt;""),Main[[#This Row],[In Stock Date]]-Main[[#This Row],[Revised Due Date]],"")</f>
        <v/>
      </c>
      <c r="I1045" s="72" t="s">
        <v>777</v>
      </c>
      <c r="J1045" s="72" t="s">
        <v>52</v>
      </c>
      <c r="K1045" s="72" t="s">
        <v>1946</v>
      </c>
      <c r="L1045" s="74"/>
      <c r="M1045" s="77" t="str">
        <f>IF(Main[[#This Row],[Tech Start Date]]&lt;1/1/1990,"",IF(Main[[#This Row],[Class]]="C",WORKDAY(Main[[#This Row],[Tech Start Date]],9),IF(Main[[#This Row],[Class]]="B", WORKDAY(Main[[#This Row],[Tech Start Date]],6),IF(Main[[#This Row],[Class]]="A",WORKDAY(Main[[#This Row],[Tech Start Date]],2),""))))</f>
        <v/>
      </c>
      <c r="N1045" s="77" t="str">
        <f>IF(Main[[#This Row],[Tech Start Date]]&lt;1/1/1990,"",IF(Main[[#This Row],[Class]]="C",WORKDAY(Main[[#This Row],[Tech Start Date]],19),IF(Main[[#This Row],[Class]]="B", WORKDAY(Main[[#This Row],[Tech Start Date]],12),IF(Main[[#This Row],[Class]]="A",WORKDAY(Main[[#This Row],[Tech Start Date]],4),""))))</f>
        <v/>
      </c>
      <c r="O1045" s="77" t="str">
        <f>IF(Main[[#This Row],[Tech Start Date]]&lt;1/1/1990,"",IF(Main[[#This Row],[Class]]="C",WORKDAY(Main[[#This Row],[Tech Start Date]],23),IF(Main[[#This Row],[Class]]="B", WORKDAY(Main[[#This Row],[Tech Start Date]],15),IF(Main[[#This Row],[Class]]="A",WORKDAY(Main[[#This Row],[Tech Start Date]],5),""))))</f>
        <v/>
      </c>
      <c r="P1045" s="77" t="str">
        <f>IF(Main[[#This Row],[Tech Start Date]]&lt;1/1/1990,"",IF(Main[[#This Row],[Class]]="C",WORKDAY(Main[[#This Row],[Tech Start Date]],28),IF(Main[[#This Row],[Class]]="B", WORKDAY(Main[[#This Row],[Tech Start Date]],19),IF(Main[[#This Row],[Class]]="A",WORKDAY(Main[[#This Row],[Tech Start Date]],9),""))))</f>
        <v/>
      </c>
      <c r="Q1045" s="74">
        <v>40847</v>
      </c>
      <c r="R1045" s="74"/>
      <c r="S1045" s="72" t="s">
        <v>6</v>
      </c>
      <c r="T1045" s="80" t="s">
        <v>4</v>
      </c>
      <c r="U1045" s="72" t="s">
        <v>29</v>
      </c>
      <c r="V1045" s="72" t="s">
        <v>1940</v>
      </c>
      <c r="W1045" s="72" t="s">
        <v>1941</v>
      </c>
      <c r="X1045" s="72" t="s">
        <v>30</v>
      </c>
      <c r="Y1045" s="72" t="s">
        <v>3098</v>
      </c>
      <c r="Z1045" s="72" t="s">
        <v>30</v>
      </c>
    </row>
    <row r="1046" spans="1:26" ht="18.600000000000001" customHeight="1">
      <c r="A1046" s="142" t="str">
        <f>IF(priority(Main[[#This Row],[Comments]])&lt;&gt;0, priority(Main[[#This Row],[Comments]]),"")</f>
        <v/>
      </c>
      <c r="B1046" s="90" t="s">
        <v>2453</v>
      </c>
      <c r="C1046" s="72" t="s">
        <v>4</v>
      </c>
      <c r="D1046" s="73" t="s">
        <v>2454</v>
      </c>
      <c r="E1046" s="74">
        <v>40843.719166666669</v>
      </c>
      <c r="F1046" s="74"/>
      <c r="G1046" s="75" t="str">
        <f>IF(stdProdLT(Main[[#This Row],[Comments]])=0.1,"N/A",IF(stdProdLT(Main[[#This Row],[Comments]])=0,"",stdProdLT(Main[[#This Row],[Comments]])))</f>
        <v/>
      </c>
      <c r="H1046" s="76" t="str">
        <f>IF(AND(Main[[#This Row],[In Stock Date]]&lt;&gt;"",Main[[#This Row],[Revised Due Date]]&lt;&gt;""),Main[[#This Row],[In Stock Date]]-Main[[#This Row],[Revised Due Date]],"")</f>
        <v/>
      </c>
      <c r="I1046" s="72" t="s">
        <v>4</v>
      </c>
      <c r="J1046" s="72" t="s">
        <v>51</v>
      </c>
      <c r="K1046" s="72" t="s">
        <v>4</v>
      </c>
      <c r="L1046" s="74"/>
      <c r="M1046" s="77" t="str">
        <f>IF(Main[[#This Row],[Tech Start Date]]&lt;1/1/1990,"",IF(Main[[#This Row],[Class]]="C",WORKDAY(Main[[#This Row],[Tech Start Date]],9),IF(Main[[#This Row],[Class]]="B", WORKDAY(Main[[#This Row],[Tech Start Date]],6),IF(Main[[#This Row],[Class]]="A",WORKDAY(Main[[#This Row],[Tech Start Date]],2),""))))</f>
        <v/>
      </c>
      <c r="N1046" s="77" t="str">
        <f>IF(Main[[#This Row],[Tech Start Date]]&lt;1/1/1990,"",IF(Main[[#This Row],[Class]]="C",WORKDAY(Main[[#This Row],[Tech Start Date]],19),IF(Main[[#This Row],[Class]]="B", WORKDAY(Main[[#This Row],[Tech Start Date]],12),IF(Main[[#This Row],[Class]]="A",WORKDAY(Main[[#This Row],[Tech Start Date]],4),""))))</f>
        <v/>
      </c>
      <c r="O1046" s="77" t="str">
        <f>IF(Main[[#This Row],[Tech Start Date]]&lt;1/1/1990,"",IF(Main[[#This Row],[Class]]="C",WORKDAY(Main[[#This Row],[Tech Start Date]],23),IF(Main[[#This Row],[Class]]="B", WORKDAY(Main[[#This Row],[Tech Start Date]],15),IF(Main[[#This Row],[Class]]="A",WORKDAY(Main[[#This Row],[Tech Start Date]],5),""))))</f>
        <v/>
      </c>
      <c r="P1046" s="77" t="str">
        <f>IF(Main[[#This Row],[Tech Start Date]]&lt;1/1/1990,"",IF(Main[[#This Row],[Class]]="C",WORKDAY(Main[[#This Row],[Tech Start Date]],28),IF(Main[[#This Row],[Class]]="B", WORKDAY(Main[[#This Row],[Tech Start Date]],19),IF(Main[[#This Row],[Class]]="A",WORKDAY(Main[[#This Row],[Tech Start Date]],9),""))))</f>
        <v/>
      </c>
      <c r="Q1046" s="74"/>
      <c r="R1046" s="74"/>
      <c r="S1046" s="72" t="s">
        <v>6</v>
      </c>
      <c r="T1046" s="80" t="s">
        <v>2455</v>
      </c>
      <c r="U1046" s="72" t="s">
        <v>540</v>
      </c>
      <c r="V1046" s="72" t="s">
        <v>1937</v>
      </c>
      <c r="W1046" s="72" t="s">
        <v>1943</v>
      </c>
      <c r="X1046" s="72" t="s">
        <v>311</v>
      </c>
      <c r="Y1046" s="72" t="s">
        <v>4</v>
      </c>
      <c r="Z1046" s="72" t="s">
        <v>4</v>
      </c>
    </row>
    <row r="1047" spans="1:26" ht="18.600000000000001" customHeight="1">
      <c r="A1047" s="142" t="str">
        <f>IF(priority(Main[[#This Row],[Comments]])&lt;&gt;0, priority(Main[[#This Row],[Comments]]),"")</f>
        <v/>
      </c>
      <c r="B1047" s="90" t="s">
        <v>2105</v>
      </c>
      <c r="C1047" s="72" t="s">
        <v>4</v>
      </c>
      <c r="D1047" s="73" t="s">
        <v>2106</v>
      </c>
      <c r="E1047" s="74"/>
      <c r="F1047" s="74"/>
      <c r="G1047" s="75" t="str">
        <f>IF(stdProdLT(Main[[#This Row],[Comments]])=0.1,"N/A",IF(stdProdLT(Main[[#This Row],[Comments]])=0,"",stdProdLT(Main[[#This Row],[Comments]])))</f>
        <v/>
      </c>
      <c r="H1047" s="76" t="str">
        <f>IF(AND(Main[[#This Row],[In Stock Date]]&lt;&gt;"",Main[[#This Row],[Revised Due Date]]&lt;&gt;""),Main[[#This Row],[In Stock Date]]-Main[[#This Row],[Revised Due Date]],"")</f>
        <v/>
      </c>
      <c r="I1047" s="72" t="s">
        <v>4</v>
      </c>
      <c r="J1047" s="72" t="s">
        <v>4</v>
      </c>
      <c r="K1047" s="72" t="s">
        <v>4</v>
      </c>
      <c r="L1047" s="74"/>
      <c r="M1047" s="77" t="str">
        <f>IF(Main[[#This Row],[Tech Start Date]]&lt;1/1/1990,"",IF(Main[[#This Row],[Class]]="C",WORKDAY(Main[[#This Row],[Tech Start Date]],9),IF(Main[[#This Row],[Class]]="B", WORKDAY(Main[[#This Row],[Tech Start Date]],6),IF(Main[[#This Row],[Class]]="A",WORKDAY(Main[[#This Row],[Tech Start Date]],2),""))))</f>
        <v/>
      </c>
      <c r="N1047" s="77" t="str">
        <f>IF(Main[[#This Row],[Tech Start Date]]&lt;1/1/1990,"",IF(Main[[#This Row],[Class]]="C",WORKDAY(Main[[#This Row],[Tech Start Date]],19),IF(Main[[#This Row],[Class]]="B", WORKDAY(Main[[#This Row],[Tech Start Date]],12),IF(Main[[#This Row],[Class]]="A",WORKDAY(Main[[#This Row],[Tech Start Date]],4),""))))</f>
        <v/>
      </c>
      <c r="O1047" s="77" t="str">
        <f>IF(Main[[#This Row],[Tech Start Date]]&lt;1/1/1990,"",IF(Main[[#This Row],[Class]]="C",WORKDAY(Main[[#This Row],[Tech Start Date]],23),IF(Main[[#This Row],[Class]]="B", WORKDAY(Main[[#This Row],[Tech Start Date]],15),IF(Main[[#This Row],[Class]]="A",WORKDAY(Main[[#This Row],[Tech Start Date]],5),""))))</f>
        <v/>
      </c>
      <c r="P1047" s="77" t="str">
        <f>IF(Main[[#This Row],[Tech Start Date]]&lt;1/1/1990,"",IF(Main[[#This Row],[Class]]="C",WORKDAY(Main[[#This Row],[Tech Start Date]],28),IF(Main[[#This Row],[Class]]="B", WORKDAY(Main[[#This Row],[Tech Start Date]],19),IF(Main[[#This Row],[Class]]="A",WORKDAY(Main[[#This Row],[Tech Start Date]],9),""))))</f>
        <v/>
      </c>
      <c r="Q1047" s="74"/>
      <c r="R1047" s="74"/>
      <c r="S1047" s="72" t="s">
        <v>6</v>
      </c>
      <c r="T1047" s="80" t="s">
        <v>4</v>
      </c>
      <c r="U1047" s="72" t="s">
        <v>14</v>
      </c>
      <c r="V1047" s="72" t="s">
        <v>1937</v>
      </c>
      <c r="W1047" s="72" t="s">
        <v>1941</v>
      </c>
      <c r="X1047" s="72" t="s">
        <v>311</v>
      </c>
      <c r="Y1047" s="72" t="s">
        <v>4</v>
      </c>
      <c r="Z1047" s="72" t="s">
        <v>4</v>
      </c>
    </row>
    <row r="1048" spans="1:26" ht="18.600000000000001" customHeight="1">
      <c r="A1048" s="142" t="str">
        <f>IF(priority(Main[[#This Row],[Comments]])&lt;&gt;0, priority(Main[[#This Row],[Comments]]),"")</f>
        <v/>
      </c>
      <c r="B1048" s="90" t="s">
        <v>1779</v>
      </c>
      <c r="C1048" s="72" t="s">
        <v>4</v>
      </c>
      <c r="D1048" s="73" t="s">
        <v>2456</v>
      </c>
      <c r="E1048" s="74">
        <v>40616.425347222219</v>
      </c>
      <c r="F1048" s="74"/>
      <c r="G1048" s="75" t="str">
        <f>IF(stdProdLT(Main[[#This Row],[Comments]])=0.1,"N/A",IF(stdProdLT(Main[[#This Row],[Comments]])=0,"",stdProdLT(Main[[#This Row],[Comments]])))</f>
        <v/>
      </c>
      <c r="H1048" s="76" t="str">
        <f>IF(AND(Main[[#This Row],[In Stock Date]]&lt;&gt;"",Main[[#This Row],[Revised Due Date]]&lt;&gt;""),Main[[#This Row],[In Stock Date]]-Main[[#This Row],[Revised Due Date]],"")</f>
        <v/>
      </c>
      <c r="I1048" s="72" t="s">
        <v>927</v>
      </c>
      <c r="J1048" s="72" t="s">
        <v>52</v>
      </c>
      <c r="K1048" s="72" t="s">
        <v>1946</v>
      </c>
      <c r="L1048" s="74"/>
      <c r="M1048" s="77" t="str">
        <f>IF(Main[[#This Row],[Tech Start Date]]&lt;1/1/1990,"",IF(Main[[#This Row],[Class]]="C",WORKDAY(Main[[#This Row],[Tech Start Date]],9),IF(Main[[#This Row],[Class]]="B", WORKDAY(Main[[#This Row],[Tech Start Date]],6),IF(Main[[#This Row],[Class]]="A",WORKDAY(Main[[#This Row],[Tech Start Date]],2),""))))</f>
        <v/>
      </c>
      <c r="N1048" s="77" t="str">
        <f>IF(Main[[#This Row],[Tech Start Date]]&lt;1/1/1990,"",IF(Main[[#This Row],[Class]]="C",WORKDAY(Main[[#This Row],[Tech Start Date]],19),IF(Main[[#This Row],[Class]]="B", WORKDAY(Main[[#This Row],[Tech Start Date]],12),IF(Main[[#This Row],[Class]]="A",WORKDAY(Main[[#This Row],[Tech Start Date]],4),""))))</f>
        <v/>
      </c>
      <c r="O1048" s="77" t="str">
        <f>IF(Main[[#This Row],[Tech Start Date]]&lt;1/1/1990,"",IF(Main[[#This Row],[Class]]="C",WORKDAY(Main[[#This Row],[Tech Start Date]],23),IF(Main[[#This Row],[Class]]="B", WORKDAY(Main[[#This Row],[Tech Start Date]],15),IF(Main[[#This Row],[Class]]="A",WORKDAY(Main[[#This Row],[Tech Start Date]],5),""))))</f>
        <v/>
      </c>
      <c r="P1048" s="77" t="str">
        <f>IF(Main[[#This Row],[Tech Start Date]]&lt;1/1/1990,"",IF(Main[[#This Row],[Class]]="C",WORKDAY(Main[[#This Row],[Tech Start Date]],28),IF(Main[[#This Row],[Class]]="B", WORKDAY(Main[[#This Row],[Tech Start Date]],19),IF(Main[[#This Row],[Class]]="A",WORKDAY(Main[[#This Row],[Tech Start Date]],9),""))))</f>
        <v/>
      </c>
      <c r="Q1048" s="74"/>
      <c r="R1048" s="74"/>
      <c r="S1048" s="72" t="s">
        <v>6</v>
      </c>
      <c r="T1048" s="80" t="s">
        <v>4</v>
      </c>
      <c r="U1048" s="72" t="s">
        <v>29</v>
      </c>
      <c r="V1048" s="72" t="s">
        <v>1937</v>
      </c>
      <c r="W1048" s="72" t="s">
        <v>1941</v>
      </c>
      <c r="X1048" s="72" t="s">
        <v>3055</v>
      </c>
      <c r="Y1048" s="72" t="s">
        <v>3241</v>
      </c>
      <c r="Z1048" s="72" t="s">
        <v>536</v>
      </c>
    </row>
    <row r="1049" spans="1:26" ht="18.600000000000001" customHeight="1">
      <c r="A1049" s="142" t="str">
        <f>IF(priority(Main[[#This Row],[Comments]])&lt;&gt;0, priority(Main[[#This Row],[Comments]]),"")</f>
        <v/>
      </c>
      <c r="B1049" s="90" t="s">
        <v>2300</v>
      </c>
      <c r="C1049" s="72" t="s">
        <v>4</v>
      </c>
      <c r="D1049" s="73" t="s">
        <v>2301</v>
      </c>
      <c r="E1049" s="74">
        <v>40808.345057870371</v>
      </c>
      <c r="F1049" s="74"/>
      <c r="G1049" s="75" t="str">
        <f>IF(stdProdLT(Main[[#This Row],[Comments]])=0.1,"N/A",IF(stdProdLT(Main[[#This Row],[Comments]])=0,"",stdProdLT(Main[[#This Row],[Comments]])))</f>
        <v/>
      </c>
      <c r="H1049" s="76" t="str">
        <f>IF(AND(Main[[#This Row],[In Stock Date]]&lt;&gt;"",Main[[#This Row],[Revised Due Date]]&lt;&gt;""),Main[[#This Row],[In Stock Date]]-Main[[#This Row],[Revised Due Date]],"")</f>
        <v/>
      </c>
      <c r="I1049" s="72" t="s">
        <v>4</v>
      </c>
      <c r="J1049" s="72" t="s">
        <v>4</v>
      </c>
      <c r="K1049" s="72" t="s">
        <v>4</v>
      </c>
      <c r="L1049" s="74"/>
      <c r="M1049" s="77" t="str">
        <f>IF(Main[[#This Row],[Tech Start Date]]&lt;1/1/1990,"",IF(Main[[#This Row],[Class]]="C",WORKDAY(Main[[#This Row],[Tech Start Date]],9),IF(Main[[#This Row],[Class]]="B", WORKDAY(Main[[#This Row],[Tech Start Date]],6),IF(Main[[#This Row],[Class]]="A",WORKDAY(Main[[#This Row],[Tech Start Date]],2),""))))</f>
        <v/>
      </c>
      <c r="N1049" s="77" t="str">
        <f>IF(Main[[#This Row],[Tech Start Date]]&lt;1/1/1990,"",IF(Main[[#This Row],[Class]]="C",WORKDAY(Main[[#This Row],[Tech Start Date]],19),IF(Main[[#This Row],[Class]]="B", WORKDAY(Main[[#This Row],[Tech Start Date]],12),IF(Main[[#This Row],[Class]]="A",WORKDAY(Main[[#This Row],[Tech Start Date]],4),""))))</f>
        <v/>
      </c>
      <c r="O1049" s="77" t="str">
        <f>IF(Main[[#This Row],[Tech Start Date]]&lt;1/1/1990,"",IF(Main[[#This Row],[Class]]="C",WORKDAY(Main[[#This Row],[Tech Start Date]],23),IF(Main[[#This Row],[Class]]="B", WORKDAY(Main[[#This Row],[Tech Start Date]],15),IF(Main[[#This Row],[Class]]="A",WORKDAY(Main[[#This Row],[Tech Start Date]],5),""))))</f>
        <v/>
      </c>
      <c r="P1049" s="77" t="str">
        <f>IF(Main[[#This Row],[Tech Start Date]]&lt;1/1/1990,"",IF(Main[[#This Row],[Class]]="C",WORKDAY(Main[[#This Row],[Tech Start Date]],28),IF(Main[[#This Row],[Class]]="B", WORKDAY(Main[[#This Row],[Tech Start Date]],19),IF(Main[[#This Row],[Class]]="A",WORKDAY(Main[[#This Row],[Tech Start Date]],9),""))))</f>
        <v/>
      </c>
      <c r="Q1049" s="74"/>
      <c r="R1049" s="74"/>
      <c r="S1049" s="72" t="s">
        <v>17</v>
      </c>
      <c r="T1049" s="80" t="s">
        <v>4</v>
      </c>
      <c r="U1049" s="72" t="s">
        <v>7</v>
      </c>
      <c r="V1049" s="72" t="s">
        <v>1947</v>
      </c>
      <c r="W1049" s="72" t="s">
        <v>1939</v>
      </c>
      <c r="X1049" s="72" t="s">
        <v>3018</v>
      </c>
      <c r="Y1049" s="72" t="s">
        <v>3158</v>
      </c>
      <c r="Z1049" s="72" t="s">
        <v>4</v>
      </c>
    </row>
    <row r="1050" spans="1:26" ht="18.600000000000001" customHeight="1">
      <c r="A1050" s="142" t="str">
        <f>IF(priority(Main[[#This Row],[Comments]])&lt;&gt;0, priority(Main[[#This Row],[Comments]]),"")</f>
        <v/>
      </c>
      <c r="B1050" s="90" t="s">
        <v>2271</v>
      </c>
      <c r="C1050" s="72" t="s">
        <v>4</v>
      </c>
      <c r="D1050" s="73" t="s">
        <v>2272</v>
      </c>
      <c r="E1050" s="74"/>
      <c r="F1050" s="74"/>
      <c r="G1050" s="75" t="str">
        <f>IF(stdProdLT(Main[[#This Row],[Comments]])=0.1,"N/A",IF(stdProdLT(Main[[#This Row],[Comments]])=0,"",stdProdLT(Main[[#This Row],[Comments]])))</f>
        <v/>
      </c>
      <c r="H1050" s="76" t="str">
        <f>IF(AND(Main[[#This Row],[In Stock Date]]&lt;&gt;"",Main[[#This Row],[Revised Due Date]]&lt;&gt;""),Main[[#This Row],[In Stock Date]]-Main[[#This Row],[Revised Due Date]],"")</f>
        <v/>
      </c>
      <c r="I1050" s="72" t="s">
        <v>4</v>
      </c>
      <c r="J1050" s="72" t="s">
        <v>4</v>
      </c>
      <c r="K1050" s="72" t="s">
        <v>4</v>
      </c>
      <c r="L1050" s="74"/>
      <c r="M1050" s="77" t="str">
        <f>IF(Main[[#This Row],[Tech Start Date]]&lt;1/1/1990,"",IF(Main[[#This Row],[Class]]="C",WORKDAY(Main[[#This Row],[Tech Start Date]],9),IF(Main[[#This Row],[Class]]="B", WORKDAY(Main[[#This Row],[Tech Start Date]],6),IF(Main[[#This Row],[Class]]="A",WORKDAY(Main[[#This Row],[Tech Start Date]],2),""))))</f>
        <v/>
      </c>
      <c r="N1050" s="77" t="str">
        <f>IF(Main[[#This Row],[Tech Start Date]]&lt;1/1/1990,"",IF(Main[[#This Row],[Class]]="C",WORKDAY(Main[[#This Row],[Tech Start Date]],19),IF(Main[[#This Row],[Class]]="B", WORKDAY(Main[[#This Row],[Tech Start Date]],12),IF(Main[[#This Row],[Class]]="A",WORKDAY(Main[[#This Row],[Tech Start Date]],4),""))))</f>
        <v/>
      </c>
      <c r="O1050" s="77" t="str">
        <f>IF(Main[[#This Row],[Tech Start Date]]&lt;1/1/1990,"",IF(Main[[#This Row],[Class]]="C",WORKDAY(Main[[#This Row],[Tech Start Date]],23),IF(Main[[#This Row],[Class]]="B", WORKDAY(Main[[#This Row],[Tech Start Date]],15),IF(Main[[#This Row],[Class]]="A",WORKDAY(Main[[#This Row],[Tech Start Date]],5),""))))</f>
        <v/>
      </c>
      <c r="P1050" s="77" t="str">
        <f>IF(Main[[#This Row],[Tech Start Date]]&lt;1/1/1990,"",IF(Main[[#This Row],[Class]]="C",WORKDAY(Main[[#This Row],[Tech Start Date]],28),IF(Main[[#This Row],[Class]]="B", WORKDAY(Main[[#This Row],[Tech Start Date]],19),IF(Main[[#This Row],[Class]]="A",WORKDAY(Main[[#This Row],[Tech Start Date]],9),""))))</f>
        <v/>
      </c>
      <c r="Q1050" s="74"/>
      <c r="R1050" s="74"/>
      <c r="S1050" s="72" t="s">
        <v>6</v>
      </c>
      <c r="T1050" s="80" t="s">
        <v>4</v>
      </c>
      <c r="U1050" s="72" t="s">
        <v>14</v>
      </c>
      <c r="V1050" s="72" t="s">
        <v>1940</v>
      </c>
      <c r="W1050" s="72" t="s">
        <v>1941</v>
      </c>
      <c r="X1050" s="72" t="s">
        <v>102</v>
      </c>
      <c r="Y1050" s="72" t="s">
        <v>4</v>
      </c>
      <c r="Z1050" s="72" t="s">
        <v>4</v>
      </c>
    </row>
    <row r="1051" spans="1:26" ht="18.600000000000001" customHeight="1">
      <c r="A1051" s="142" t="str">
        <f>IF(priority(Main[[#This Row],[Comments]])&lt;&gt;0, priority(Main[[#This Row],[Comments]]),"")</f>
        <v/>
      </c>
      <c r="B1051" s="90" t="s">
        <v>2273</v>
      </c>
      <c r="C1051" s="72" t="s">
        <v>4</v>
      </c>
      <c r="D1051" s="73" t="s">
        <v>2274</v>
      </c>
      <c r="E1051" s="74">
        <v>40801.476770833331</v>
      </c>
      <c r="F1051" s="74"/>
      <c r="G1051" s="75" t="str">
        <f>IF(stdProdLT(Main[[#This Row],[Comments]])=0.1,"N/A",IF(stdProdLT(Main[[#This Row],[Comments]])=0,"",stdProdLT(Main[[#This Row],[Comments]])))</f>
        <v/>
      </c>
      <c r="H1051" s="76" t="str">
        <f>IF(AND(Main[[#This Row],[In Stock Date]]&lt;&gt;"",Main[[#This Row],[Revised Due Date]]&lt;&gt;""),Main[[#This Row],[In Stock Date]]-Main[[#This Row],[Revised Due Date]],"")</f>
        <v/>
      </c>
      <c r="I1051" s="72" t="s">
        <v>4</v>
      </c>
      <c r="J1051" s="72" t="s">
        <v>4</v>
      </c>
      <c r="K1051" s="72" t="s">
        <v>4</v>
      </c>
      <c r="L1051" s="74"/>
      <c r="M1051" s="77" t="str">
        <f>IF(Main[[#This Row],[Tech Start Date]]&lt;1/1/1990,"",IF(Main[[#This Row],[Class]]="C",WORKDAY(Main[[#This Row],[Tech Start Date]],9),IF(Main[[#This Row],[Class]]="B", WORKDAY(Main[[#This Row],[Tech Start Date]],6),IF(Main[[#This Row],[Class]]="A",WORKDAY(Main[[#This Row],[Tech Start Date]],2),""))))</f>
        <v/>
      </c>
      <c r="N1051" s="77" t="str">
        <f>IF(Main[[#This Row],[Tech Start Date]]&lt;1/1/1990,"",IF(Main[[#This Row],[Class]]="C",WORKDAY(Main[[#This Row],[Tech Start Date]],19),IF(Main[[#This Row],[Class]]="B", WORKDAY(Main[[#This Row],[Tech Start Date]],12),IF(Main[[#This Row],[Class]]="A",WORKDAY(Main[[#This Row],[Tech Start Date]],4),""))))</f>
        <v/>
      </c>
      <c r="O1051" s="77" t="str">
        <f>IF(Main[[#This Row],[Tech Start Date]]&lt;1/1/1990,"",IF(Main[[#This Row],[Class]]="C",WORKDAY(Main[[#This Row],[Tech Start Date]],23),IF(Main[[#This Row],[Class]]="B", WORKDAY(Main[[#This Row],[Tech Start Date]],15),IF(Main[[#This Row],[Class]]="A",WORKDAY(Main[[#This Row],[Tech Start Date]],5),""))))</f>
        <v/>
      </c>
      <c r="P1051" s="77" t="str">
        <f>IF(Main[[#This Row],[Tech Start Date]]&lt;1/1/1990,"",IF(Main[[#This Row],[Class]]="C",WORKDAY(Main[[#This Row],[Tech Start Date]],28),IF(Main[[#This Row],[Class]]="B", WORKDAY(Main[[#This Row],[Tech Start Date]],19),IF(Main[[#This Row],[Class]]="A",WORKDAY(Main[[#This Row],[Tech Start Date]],9),""))))</f>
        <v/>
      </c>
      <c r="Q1051" s="74">
        <v>40828</v>
      </c>
      <c r="R1051" s="74"/>
      <c r="S1051" s="72" t="s">
        <v>6</v>
      </c>
      <c r="T1051" s="80" t="s">
        <v>4</v>
      </c>
      <c r="U1051" s="72" t="s">
        <v>7</v>
      </c>
      <c r="V1051" s="72" t="s">
        <v>1937</v>
      </c>
      <c r="W1051" s="72" t="s">
        <v>1945</v>
      </c>
      <c r="X1051" s="72" t="s">
        <v>2973</v>
      </c>
      <c r="Y1051" s="72" t="s">
        <v>3094</v>
      </c>
      <c r="Z1051" s="72" t="s">
        <v>4</v>
      </c>
    </row>
    <row r="1052" spans="1:26" ht="18.600000000000001" customHeight="1">
      <c r="A1052" s="142" t="str">
        <f>IF(priority(Main[[#This Row],[Comments]])&lt;&gt;0, priority(Main[[#This Row],[Comments]]),"")</f>
        <v/>
      </c>
      <c r="B1052" s="90" t="s">
        <v>1192</v>
      </c>
      <c r="C1052" s="72" t="s">
        <v>4</v>
      </c>
      <c r="D1052" s="73" t="s">
        <v>232</v>
      </c>
      <c r="E1052" s="74">
        <v>40847.6950462963</v>
      </c>
      <c r="F1052" s="74"/>
      <c r="G1052" s="75" t="str">
        <f>IF(stdProdLT(Main[[#This Row],[Comments]])=0.1,"N/A",IF(stdProdLT(Main[[#This Row],[Comments]])=0,"",stdProdLT(Main[[#This Row],[Comments]])))</f>
        <v/>
      </c>
      <c r="H1052" s="76" t="str">
        <f>IF(AND(Main[[#This Row],[In Stock Date]]&lt;&gt;"",Main[[#This Row],[Revised Due Date]]&lt;&gt;""),Main[[#This Row],[In Stock Date]]-Main[[#This Row],[Revised Due Date]],"")</f>
        <v/>
      </c>
      <c r="I1052" s="72" t="s">
        <v>4</v>
      </c>
      <c r="J1052" s="72" t="s">
        <v>4</v>
      </c>
      <c r="K1052" s="81" t="s">
        <v>4</v>
      </c>
      <c r="L1052" s="74"/>
      <c r="M1052" s="77" t="str">
        <f>IF(Main[[#This Row],[Tech Start Date]]&lt;1/1/1990,"",IF(Main[[#This Row],[Class]]="C",WORKDAY(Main[[#This Row],[Tech Start Date]],9),IF(Main[[#This Row],[Class]]="B", WORKDAY(Main[[#This Row],[Tech Start Date]],6),IF(Main[[#This Row],[Class]]="A",WORKDAY(Main[[#This Row],[Tech Start Date]],2),""))))</f>
        <v/>
      </c>
      <c r="N1052" s="77" t="str">
        <f>IF(Main[[#This Row],[Tech Start Date]]&lt;1/1/1990,"",IF(Main[[#This Row],[Class]]="C",WORKDAY(Main[[#This Row],[Tech Start Date]],19),IF(Main[[#This Row],[Class]]="B", WORKDAY(Main[[#This Row],[Tech Start Date]],12),IF(Main[[#This Row],[Class]]="A",WORKDAY(Main[[#This Row],[Tech Start Date]],4),""))))</f>
        <v/>
      </c>
      <c r="O1052" s="77" t="str">
        <f>IF(Main[[#This Row],[Tech Start Date]]&lt;1/1/1990,"",IF(Main[[#This Row],[Class]]="C",WORKDAY(Main[[#This Row],[Tech Start Date]],23),IF(Main[[#This Row],[Class]]="B", WORKDAY(Main[[#This Row],[Tech Start Date]],15),IF(Main[[#This Row],[Class]]="A",WORKDAY(Main[[#This Row],[Tech Start Date]],5),""))))</f>
        <v/>
      </c>
      <c r="P1052" s="77" t="str">
        <f>IF(Main[[#This Row],[Tech Start Date]]&lt;1/1/1990,"",IF(Main[[#This Row],[Class]]="C",WORKDAY(Main[[#This Row],[Tech Start Date]],28),IF(Main[[#This Row],[Class]]="B", WORKDAY(Main[[#This Row],[Tech Start Date]],19),IF(Main[[#This Row],[Class]]="A",WORKDAY(Main[[#This Row],[Tech Start Date]],9),""))))</f>
        <v/>
      </c>
      <c r="Q1052" s="74"/>
      <c r="R1052" s="74"/>
      <c r="S1052" s="72" t="s">
        <v>49</v>
      </c>
      <c r="T1052" s="80" t="s">
        <v>4</v>
      </c>
      <c r="U1052" s="72" t="s">
        <v>7</v>
      </c>
      <c r="V1052" s="72" t="s">
        <v>1937</v>
      </c>
      <c r="W1052" s="72" t="s">
        <v>1941</v>
      </c>
      <c r="X1052" s="72" t="s">
        <v>922</v>
      </c>
      <c r="Y1052" s="72" t="s">
        <v>3175</v>
      </c>
      <c r="Z1052" s="72" t="s">
        <v>4</v>
      </c>
    </row>
    <row r="1053" spans="1:26" ht="18.600000000000001" customHeight="1">
      <c r="A1053" s="142" t="str">
        <f>IF(priority(Main[[#This Row],[Comments]])&lt;&gt;0, priority(Main[[#This Row],[Comments]]),"")</f>
        <v/>
      </c>
      <c r="B1053" s="90" t="s">
        <v>2257</v>
      </c>
      <c r="C1053" s="72" t="s">
        <v>4</v>
      </c>
      <c r="D1053" s="73" t="s">
        <v>2258</v>
      </c>
      <c r="E1053" s="74">
        <v>40802.356851851851</v>
      </c>
      <c r="F1053" s="74"/>
      <c r="G1053" s="75" t="str">
        <f>IF(stdProdLT(Main[[#This Row],[Comments]])=0.1,"N/A",IF(stdProdLT(Main[[#This Row],[Comments]])=0,"",stdProdLT(Main[[#This Row],[Comments]])))</f>
        <v/>
      </c>
      <c r="H1053" s="76" t="str">
        <f>IF(AND(Main[[#This Row],[In Stock Date]]&lt;&gt;"",Main[[#This Row],[Revised Due Date]]&lt;&gt;""),Main[[#This Row],[In Stock Date]]-Main[[#This Row],[Revised Due Date]],"")</f>
        <v/>
      </c>
      <c r="I1053" s="72" t="s">
        <v>102</v>
      </c>
      <c r="J1053" s="72" t="s">
        <v>75</v>
      </c>
      <c r="K1053" s="72" t="s">
        <v>1950</v>
      </c>
      <c r="L1053" s="74"/>
      <c r="M1053" s="77" t="str">
        <f>IF(Main[[#This Row],[Tech Start Date]]&lt;1/1/1990,"",IF(Main[[#This Row],[Class]]="C",WORKDAY(Main[[#This Row],[Tech Start Date]],9),IF(Main[[#This Row],[Class]]="B", WORKDAY(Main[[#This Row],[Tech Start Date]],6),IF(Main[[#This Row],[Class]]="A",WORKDAY(Main[[#This Row],[Tech Start Date]],2),""))))</f>
        <v/>
      </c>
      <c r="N1053" s="77" t="str">
        <f>IF(Main[[#This Row],[Tech Start Date]]&lt;1/1/1990,"",IF(Main[[#This Row],[Class]]="C",WORKDAY(Main[[#This Row],[Tech Start Date]],19),IF(Main[[#This Row],[Class]]="B", WORKDAY(Main[[#This Row],[Tech Start Date]],12),IF(Main[[#This Row],[Class]]="A",WORKDAY(Main[[#This Row],[Tech Start Date]],4),""))))</f>
        <v/>
      </c>
      <c r="O1053" s="77" t="str">
        <f>IF(Main[[#This Row],[Tech Start Date]]&lt;1/1/1990,"",IF(Main[[#This Row],[Class]]="C",WORKDAY(Main[[#This Row],[Tech Start Date]],23),IF(Main[[#This Row],[Class]]="B", WORKDAY(Main[[#This Row],[Tech Start Date]],15),IF(Main[[#This Row],[Class]]="A",WORKDAY(Main[[#This Row],[Tech Start Date]],5),""))))</f>
        <v/>
      </c>
      <c r="P1053" s="77" t="str">
        <f>IF(Main[[#This Row],[Tech Start Date]]&lt;1/1/1990,"",IF(Main[[#This Row],[Class]]="C",WORKDAY(Main[[#This Row],[Tech Start Date]],28),IF(Main[[#This Row],[Class]]="B", WORKDAY(Main[[#This Row],[Tech Start Date]],19),IF(Main[[#This Row],[Class]]="A",WORKDAY(Main[[#This Row],[Tech Start Date]],9),""))))</f>
        <v/>
      </c>
      <c r="Q1053" s="74"/>
      <c r="R1053" s="74"/>
      <c r="S1053" s="72" t="s">
        <v>6</v>
      </c>
      <c r="T1053" s="80" t="s">
        <v>4</v>
      </c>
      <c r="U1053" s="72" t="s">
        <v>29</v>
      </c>
      <c r="V1053" s="72" t="s">
        <v>1940</v>
      </c>
      <c r="W1053" s="72" t="s">
        <v>1941</v>
      </c>
      <c r="X1053" s="72" t="s">
        <v>102</v>
      </c>
      <c r="Y1053" s="72" t="s">
        <v>3283</v>
      </c>
      <c r="Z1053" s="72" t="s">
        <v>311</v>
      </c>
    </row>
    <row r="1054" spans="1:26" ht="18.600000000000001" customHeight="1">
      <c r="A1054" s="142" t="str">
        <f>IF(priority(Main[[#This Row],[Comments]])&lt;&gt;0, priority(Main[[#This Row],[Comments]]),"")</f>
        <v/>
      </c>
      <c r="B1054" s="90" t="s">
        <v>2139</v>
      </c>
      <c r="C1054" s="72" t="s">
        <v>4</v>
      </c>
      <c r="D1054" s="73" t="s">
        <v>2140</v>
      </c>
      <c r="E1054" s="74">
        <v>40777.376608796294</v>
      </c>
      <c r="F1054" s="74"/>
      <c r="G1054" s="75" t="str">
        <f>IF(stdProdLT(Main[[#This Row],[Comments]])=0.1,"N/A",IF(stdProdLT(Main[[#This Row],[Comments]])=0,"",stdProdLT(Main[[#This Row],[Comments]])))</f>
        <v/>
      </c>
      <c r="H1054" s="76" t="str">
        <f>IF(AND(Main[[#This Row],[In Stock Date]]&lt;&gt;"",Main[[#This Row],[Revised Due Date]]&lt;&gt;""),Main[[#This Row],[In Stock Date]]-Main[[#This Row],[Revised Due Date]],"")</f>
        <v/>
      </c>
      <c r="I1054" s="72" t="s">
        <v>2457</v>
      </c>
      <c r="J1054" s="72" t="s">
        <v>70</v>
      </c>
      <c r="K1054" s="72" t="s">
        <v>1946</v>
      </c>
      <c r="L1054" s="74"/>
      <c r="M1054" s="77" t="str">
        <f>IF(Main[[#This Row],[Tech Start Date]]&lt;1/1/1990,"",IF(Main[[#This Row],[Class]]="C",WORKDAY(Main[[#This Row],[Tech Start Date]],9),IF(Main[[#This Row],[Class]]="B", WORKDAY(Main[[#This Row],[Tech Start Date]],6),IF(Main[[#This Row],[Class]]="A",WORKDAY(Main[[#This Row],[Tech Start Date]],2),""))))</f>
        <v/>
      </c>
      <c r="N1054" s="77" t="str">
        <f>IF(Main[[#This Row],[Tech Start Date]]&lt;1/1/1990,"",IF(Main[[#This Row],[Class]]="C",WORKDAY(Main[[#This Row],[Tech Start Date]],19),IF(Main[[#This Row],[Class]]="B", WORKDAY(Main[[#This Row],[Tech Start Date]],12),IF(Main[[#This Row],[Class]]="A",WORKDAY(Main[[#This Row],[Tech Start Date]],4),""))))</f>
        <v/>
      </c>
      <c r="O1054" s="77" t="str">
        <f>IF(Main[[#This Row],[Tech Start Date]]&lt;1/1/1990,"",IF(Main[[#This Row],[Class]]="C",WORKDAY(Main[[#This Row],[Tech Start Date]],23),IF(Main[[#This Row],[Class]]="B", WORKDAY(Main[[#This Row],[Tech Start Date]],15),IF(Main[[#This Row],[Class]]="A",WORKDAY(Main[[#This Row],[Tech Start Date]],5),""))))</f>
        <v/>
      </c>
      <c r="P1054" s="77" t="str">
        <f>IF(Main[[#This Row],[Tech Start Date]]&lt;1/1/1990,"",IF(Main[[#This Row],[Class]]="C",WORKDAY(Main[[#This Row],[Tech Start Date]],28),IF(Main[[#This Row],[Class]]="B", WORKDAY(Main[[#This Row],[Tech Start Date]],19),IF(Main[[#This Row],[Class]]="A",WORKDAY(Main[[#This Row],[Tech Start Date]],9),""))))</f>
        <v/>
      </c>
      <c r="Q1054" s="74">
        <v>40816</v>
      </c>
      <c r="R1054" s="74"/>
      <c r="S1054" s="72" t="s">
        <v>6</v>
      </c>
      <c r="T1054" s="80" t="s">
        <v>4</v>
      </c>
      <c r="U1054" s="72" t="s">
        <v>29</v>
      </c>
      <c r="V1054" s="72" t="s">
        <v>1940</v>
      </c>
      <c r="W1054" s="72" t="s">
        <v>1941</v>
      </c>
      <c r="X1054" s="72" t="s">
        <v>2970</v>
      </c>
      <c r="Y1054" s="72" t="s">
        <v>3087</v>
      </c>
      <c r="Z1054" s="72" t="s">
        <v>30</v>
      </c>
    </row>
    <row r="1055" spans="1:26" ht="18.600000000000001" customHeight="1">
      <c r="A1055" s="142" t="str">
        <f>IF(priority(Main[[#This Row],[Comments]])&lt;&gt;0, priority(Main[[#This Row],[Comments]]),"")</f>
        <v/>
      </c>
      <c r="B1055" s="90" t="s">
        <v>2147</v>
      </c>
      <c r="C1055" s="72" t="s">
        <v>4</v>
      </c>
      <c r="D1055" s="73" t="s">
        <v>2458</v>
      </c>
      <c r="E1055" s="74">
        <v>40780.253831018519</v>
      </c>
      <c r="F1055" s="74"/>
      <c r="G1055" s="75" t="str">
        <f>IF(stdProdLT(Main[[#This Row],[Comments]])=0.1,"N/A",IF(stdProdLT(Main[[#This Row],[Comments]])=0,"",stdProdLT(Main[[#This Row],[Comments]])))</f>
        <v/>
      </c>
      <c r="H1055" s="76" t="str">
        <f>IF(AND(Main[[#This Row],[In Stock Date]]&lt;&gt;"",Main[[#This Row],[Revised Due Date]]&lt;&gt;""),Main[[#This Row],[In Stock Date]]-Main[[#This Row],[Revised Due Date]],"")</f>
        <v/>
      </c>
      <c r="I1055" s="72" t="s">
        <v>2078</v>
      </c>
      <c r="J1055" s="72" t="s">
        <v>28</v>
      </c>
      <c r="K1055" s="72" t="s">
        <v>1946</v>
      </c>
      <c r="L1055" s="74"/>
      <c r="M1055" s="77" t="str">
        <f>IF(Main[[#This Row],[Tech Start Date]]&lt;1/1/1990,"",IF(Main[[#This Row],[Class]]="C",WORKDAY(Main[[#This Row],[Tech Start Date]],9),IF(Main[[#This Row],[Class]]="B", WORKDAY(Main[[#This Row],[Tech Start Date]],6),IF(Main[[#This Row],[Class]]="A",WORKDAY(Main[[#This Row],[Tech Start Date]],2),""))))</f>
        <v/>
      </c>
      <c r="N1055" s="77" t="str">
        <f>IF(Main[[#This Row],[Tech Start Date]]&lt;1/1/1990,"",IF(Main[[#This Row],[Class]]="C",WORKDAY(Main[[#This Row],[Tech Start Date]],19),IF(Main[[#This Row],[Class]]="B", WORKDAY(Main[[#This Row],[Tech Start Date]],12),IF(Main[[#This Row],[Class]]="A",WORKDAY(Main[[#This Row],[Tech Start Date]],4),""))))</f>
        <v/>
      </c>
      <c r="O1055" s="77" t="str">
        <f>IF(Main[[#This Row],[Tech Start Date]]&lt;1/1/1990,"",IF(Main[[#This Row],[Class]]="C",WORKDAY(Main[[#This Row],[Tech Start Date]],23),IF(Main[[#This Row],[Class]]="B", WORKDAY(Main[[#This Row],[Tech Start Date]],15),IF(Main[[#This Row],[Class]]="A",WORKDAY(Main[[#This Row],[Tech Start Date]],5),""))))</f>
        <v/>
      </c>
      <c r="P1055" s="77" t="str">
        <f>IF(Main[[#This Row],[Tech Start Date]]&lt;1/1/1990,"",IF(Main[[#This Row],[Class]]="C",WORKDAY(Main[[#This Row],[Tech Start Date]],28),IF(Main[[#This Row],[Class]]="B", WORKDAY(Main[[#This Row],[Tech Start Date]],19),IF(Main[[#This Row],[Class]]="A",WORKDAY(Main[[#This Row],[Tech Start Date]],9),""))))</f>
        <v/>
      </c>
      <c r="Q1055" s="74">
        <v>40800</v>
      </c>
      <c r="R1055" s="74"/>
      <c r="S1055" s="72" t="s">
        <v>6</v>
      </c>
      <c r="T1055" s="80" t="s">
        <v>4</v>
      </c>
      <c r="U1055" s="72" t="s">
        <v>29</v>
      </c>
      <c r="V1055" s="72" t="s">
        <v>1940</v>
      </c>
      <c r="W1055" s="72" t="s">
        <v>1941</v>
      </c>
      <c r="X1055" s="72" t="s">
        <v>2974</v>
      </c>
      <c r="Y1055" s="72" t="s">
        <v>3096</v>
      </c>
      <c r="Z1055" s="72" t="s">
        <v>30</v>
      </c>
    </row>
    <row r="1056" spans="1:26" ht="18.600000000000001" customHeight="1">
      <c r="A1056" s="142" t="str">
        <f>IF(priority(Main[[#This Row],[Comments]])&lt;&gt;0, priority(Main[[#This Row],[Comments]]),"")</f>
        <v/>
      </c>
      <c r="B1056" s="90" t="s">
        <v>1864</v>
      </c>
      <c r="C1056" s="72" t="s">
        <v>4</v>
      </c>
      <c r="D1056" s="73" t="s">
        <v>912</v>
      </c>
      <c r="E1056" s="74">
        <v>40080.410775462966</v>
      </c>
      <c r="F1056" s="74"/>
      <c r="G1056" s="75" t="str">
        <f>IF(stdProdLT(Main[[#This Row],[Comments]])=0.1,"N/A",IF(stdProdLT(Main[[#This Row],[Comments]])=0,"",stdProdLT(Main[[#This Row],[Comments]])))</f>
        <v/>
      </c>
      <c r="H1056" s="76" t="str">
        <f>IF(AND(Main[[#This Row],[In Stock Date]]&lt;&gt;"",Main[[#This Row],[Revised Due Date]]&lt;&gt;""),Main[[#This Row],[In Stock Date]]-Main[[#This Row],[Revised Due Date]],"")</f>
        <v/>
      </c>
      <c r="I1056" s="72" t="s">
        <v>913</v>
      </c>
      <c r="J1056" s="72" t="s">
        <v>28</v>
      </c>
      <c r="K1056" s="81" t="s">
        <v>1946</v>
      </c>
      <c r="L1056" s="74"/>
      <c r="M1056" s="77" t="str">
        <f>IF(Main[[#This Row],[Tech Start Date]]&lt;1/1/1990,"",IF(Main[[#This Row],[Class]]="C",WORKDAY(Main[[#This Row],[Tech Start Date]],9),IF(Main[[#This Row],[Class]]="B", WORKDAY(Main[[#This Row],[Tech Start Date]],6),IF(Main[[#This Row],[Class]]="A",WORKDAY(Main[[#This Row],[Tech Start Date]],2),""))))</f>
        <v/>
      </c>
      <c r="N1056" s="77" t="str">
        <f>IF(Main[[#This Row],[Tech Start Date]]&lt;1/1/1990,"",IF(Main[[#This Row],[Class]]="C",WORKDAY(Main[[#This Row],[Tech Start Date]],19),IF(Main[[#This Row],[Class]]="B", WORKDAY(Main[[#This Row],[Tech Start Date]],12),IF(Main[[#This Row],[Class]]="A",WORKDAY(Main[[#This Row],[Tech Start Date]],4),""))))</f>
        <v/>
      </c>
      <c r="O1056" s="77" t="str">
        <f>IF(Main[[#This Row],[Tech Start Date]]&lt;1/1/1990,"",IF(Main[[#This Row],[Class]]="C",WORKDAY(Main[[#This Row],[Tech Start Date]],23),IF(Main[[#This Row],[Class]]="B", WORKDAY(Main[[#This Row],[Tech Start Date]],15),IF(Main[[#This Row],[Class]]="A",WORKDAY(Main[[#This Row],[Tech Start Date]],5),""))))</f>
        <v/>
      </c>
      <c r="P1056" s="77" t="str">
        <f>IF(Main[[#This Row],[Tech Start Date]]&lt;1/1/1990,"",IF(Main[[#This Row],[Class]]="C",WORKDAY(Main[[#This Row],[Tech Start Date]],28),IF(Main[[#This Row],[Class]]="B", WORKDAY(Main[[#This Row],[Tech Start Date]],19),IF(Main[[#This Row],[Class]]="A",WORKDAY(Main[[#This Row],[Tech Start Date]],9),""))))</f>
        <v/>
      </c>
      <c r="Q1056" s="74"/>
      <c r="R1056" s="74">
        <v>40494</v>
      </c>
      <c r="S1056" s="72" t="s">
        <v>6</v>
      </c>
      <c r="T1056" s="80" t="s">
        <v>4</v>
      </c>
      <c r="U1056" s="72" t="s">
        <v>29</v>
      </c>
      <c r="V1056" s="72" t="s">
        <v>1940</v>
      </c>
      <c r="W1056" s="72" t="s">
        <v>1941</v>
      </c>
      <c r="X1056" s="72" t="s">
        <v>3039</v>
      </c>
      <c r="Y1056" s="72" t="s">
        <v>3201</v>
      </c>
      <c r="Z1056" s="72" t="s">
        <v>421</v>
      </c>
    </row>
    <row r="1057" spans="1:26" ht="18.600000000000001" customHeight="1">
      <c r="A1057" s="142" t="str">
        <f>IF(priority(Main[[#This Row],[Comments]])&lt;&gt;0, priority(Main[[#This Row],[Comments]]),"")</f>
        <v/>
      </c>
      <c r="B1057" s="90" t="s">
        <v>1817</v>
      </c>
      <c r="C1057" s="72" t="s">
        <v>4</v>
      </c>
      <c r="D1057" s="73" t="s">
        <v>853</v>
      </c>
      <c r="E1057" s="74">
        <v>40639.681793981479</v>
      </c>
      <c r="F1057" s="74"/>
      <c r="G1057" s="75" t="str">
        <f>IF(stdProdLT(Main[[#This Row],[Comments]])=0.1,"N/A",IF(stdProdLT(Main[[#This Row],[Comments]])=0,"",stdProdLT(Main[[#This Row],[Comments]])))</f>
        <v/>
      </c>
      <c r="H1057" s="76" t="str">
        <f>IF(AND(Main[[#This Row],[In Stock Date]]&lt;&gt;"",Main[[#This Row],[Revised Due Date]]&lt;&gt;""),Main[[#This Row],[In Stock Date]]-Main[[#This Row],[Revised Due Date]],"")</f>
        <v/>
      </c>
      <c r="I1057" s="72" t="s">
        <v>131</v>
      </c>
      <c r="J1057" s="72" t="s">
        <v>70</v>
      </c>
      <c r="K1057" s="72" t="s">
        <v>1946</v>
      </c>
      <c r="L1057" s="74"/>
      <c r="M1057" s="77" t="str">
        <f>IF(Main[[#This Row],[Tech Start Date]]&lt;1/1/1990,"",IF(Main[[#This Row],[Class]]="C",WORKDAY(Main[[#This Row],[Tech Start Date]],9),IF(Main[[#This Row],[Class]]="B", WORKDAY(Main[[#This Row],[Tech Start Date]],6),IF(Main[[#This Row],[Class]]="A",WORKDAY(Main[[#This Row],[Tech Start Date]],2),""))))</f>
        <v/>
      </c>
      <c r="N1057" s="77" t="str">
        <f>IF(Main[[#This Row],[Tech Start Date]]&lt;1/1/1990,"",IF(Main[[#This Row],[Class]]="C",WORKDAY(Main[[#This Row],[Tech Start Date]],19),IF(Main[[#This Row],[Class]]="B", WORKDAY(Main[[#This Row],[Tech Start Date]],12),IF(Main[[#This Row],[Class]]="A",WORKDAY(Main[[#This Row],[Tech Start Date]],4),""))))</f>
        <v/>
      </c>
      <c r="O1057" s="77" t="str">
        <f>IF(Main[[#This Row],[Tech Start Date]]&lt;1/1/1990,"",IF(Main[[#This Row],[Class]]="C",WORKDAY(Main[[#This Row],[Tech Start Date]],23),IF(Main[[#This Row],[Class]]="B", WORKDAY(Main[[#This Row],[Tech Start Date]],15),IF(Main[[#This Row],[Class]]="A",WORKDAY(Main[[#This Row],[Tech Start Date]],5),""))))</f>
        <v/>
      </c>
      <c r="P1057" s="77" t="str">
        <f>IF(Main[[#This Row],[Tech Start Date]]&lt;1/1/1990,"",IF(Main[[#This Row],[Class]]="C",WORKDAY(Main[[#This Row],[Tech Start Date]],28),IF(Main[[#This Row],[Class]]="B", WORKDAY(Main[[#This Row],[Tech Start Date]],19),IF(Main[[#This Row],[Class]]="A",WORKDAY(Main[[#This Row],[Tech Start Date]],9),""))))</f>
        <v/>
      </c>
      <c r="Q1057" s="74">
        <v>40669</v>
      </c>
      <c r="R1057" s="74"/>
      <c r="S1057" s="72" t="s">
        <v>6</v>
      </c>
      <c r="T1057" s="80" t="s">
        <v>4</v>
      </c>
      <c r="U1057" s="72" t="s">
        <v>29</v>
      </c>
      <c r="V1057" s="72" t="s">
        <v>1940</v>
      </c>
      <c r="W1057" s="72" t="s">
        <v>1941</v>
      </c>
      <c r="X1057" s="72" t="s">
        <v>2971</v>
      </c>
      <c r="Y1057" s="72" t="s">
        <v>3090</v>
      </c>
      <c r="Z1057" s="72" t="s">
        <v>536</v>
      </c>
    </row>
    <row r="1058" spans="1:26" ht="18.600000000000001" customHeight="1">
      <c r="A1058" s="142" t="str">
        <f>IF(priority(Main[[#This Row],[Comments]])&lt;&gt;0, priority(Main[[#This Row],[Comments]]),"")</f>
        <v/>
      </c>
      <c r="B1058" s="90" t="s">
        <v>1914</v>
      </c>
      <c r="C1058" s="72" t="s">
        <v>116</v>
      </c>
      <c r="D1058" s="73" t="s">
        <v>2347</v>
      </c>
      <c r="E1058" s="74">
        <v>40673.421898148146</v>
      </c>
      <c r="F1058" s="74"/>
      <c r="G1058" s="75" t="str">
        <f>IF(stdProdLT(Main[[#This Row],[Comments]])=0.1,"N/A",IF(stdProdLT(Main[[#This Row],[Comments]])=0,"",stdProdLT(Main[[#This Row],[Comments]])))</f>
        <v/>
      </c>
      <c r="H1058" s="76" t="str">
        <f>IF(AND(Main[[#This Row],[In Stock Date]]&lt;&gt;"",Main[[#This Row],[Revised Due Date]]&lt;&gt;""),Main[[#This Row],[In Stock Date]]-Main[[#This Row],[Revised Due Date]],"")</f>
        <v/>
      </c>
      <c r="I1058" s="72" t="s">
        <v>953</v>
      </c>
      <c r="J1058" s="72" t="s">
        <v>28</v>
      </c>
      <c r="K1058" s="72" t="s">
        <v>1949</v>
      </c>
      <c r="L1058" s="74"/>
      <c r="M1058" s="77" t="str">
        <f>IF(Main[[#This Row],[Tech Start Date]]&lt;1/1/1990,"",IF(Main[[#This Row],[Class]]="C",WORKDAY(Main[[#This Row],[Tech Start Date]],9),IF(Main[[#This Row],[Class]]="B", WORKDAY(Main[[#This Row],[Tech Start Date]],6),IF(Main[[#This Row],[Class]]="A",WORKDAY(Main[[#This Row],[Tech Start Date]],2),""))))</f>
        <v/>
      </c>
      <c r="N1058" s="77" t="str">
        <f>IF(Main[[#This Row],[Tech Start Date]]&lt;1/1/1990,"",IF(Main[[#This Row],[Class]]="C",WORKDAY(Main[[#This Row],[Tech Start Date]],19),IF(Main[[#This Row],[Class]]="B", WORKDAY(Main[[#This Row],[Tech Start Date]],12),IF(Main[[#This Row],[Class]]="A",WORKDAY(Main[[#This Row],[Tech Start Date]],4),""))))</f>
        <v/>
      </c>
      <c r="O1058" s="77" t="str">
        <f>IF(Main[[#This Row],[Tech Start Date]]&lt;1/1/1990,"",IF(Main[[#This Row],[Class]]="C",WORKDAY(Main[[#This Row],[Tech Start Date]],23),IF(Main[[#This Row],[Class]]="B", WORKDAY(Main[[#This Row],[Tech Start Date]],15),IF(Main[[#This Row],[Class]]="A",WORKDAY(Main[[#This Row],[Tech Start Date]],5),""))))</f>
        <v/>
      </c>
      <c r="P1058" s="77" t="str">
        <f>IF(Main[[#This Row],[Tech Start Date]]&lt;1/1/1990,"",IF(Main[[#This Row],[Class]]="C",WORKDAY(Main[[#This Row],[Tech Start Date]],28),IF(Main[[#This Row],[Class]]="B", WORKDAY(Main[[#This Row],[Tech Start Date]],19),IF(Main[[#This Row],[Class]]="A",WORKDAY(Main[[#This Row],[Tech Start Date]],9),""))))</f>
        <v/>
      </c>
      <c r="Q1058" s="74">
        <v>40724</v>
      </c>
      <c r="R1058" s="74">
        <v>40847</v>
      </c>
      <c r="S1058" s="72" t="s">
        <v>6</v>
      </c>
      <c r="T1058" s="80" t="s">
        <v>2459</v>
      </c>
      <c r="U1058" s="72" t="s">
        <v>29</v>
      </c>
      <c r="V1058" s="72" t="s">
        <v>1937</v>
      </c>
      <c r="W1058" s="72" t="s">
        <v>1941</v>
      </c>
      <c r="X1058" s="72" t="s">
        <v>927</v>
      </c>
      <c r="Y1058" s="72" t="s">
        <v>3215</v>
      </c>
      <c r="Z1058" s="72" t="s">
        <v>129</v>
      </c>
    </row>
    <row r="1059" spans="1:26" ht="18.600000000000001" customHeight="1">
      <c r="A1059" s="142" t="str">
        <f>IF(priority(Main[[#This Row],[Comments]])&lt;&gt;0, priority(Main[[#This Row],[Comments]]),"")</f>
        <v/>
      </c>
      <c r="B1059" s="90" t="s">
        <v>2460</v>
      </c>
      <c r="C1059" s="72" t="s">
        <v>216</v>
      </c>
      <c r="D1059" s="73" t="s">
        <v>2461</v>
      </c>
      <c r="E1059" s="74">
        <v>40861.655509259261</v>
      </c>
      <c r="F1059" s="74"/>
      <c r="G1059" s="75" t="str">
        <f>IF(stdProdLT(Main[[#This Row],[Comments]])=0.1,"N/A",IF(stdProdLT(Main[[#This Row],[Comments]])=0,"",stdProdLT(Main[[#This Row],[Comments]])))</f>
        <v/>
      </c>
      <c r="H1059" s="76" t="str">
        <f>IF(AND(Main[[#This Row],[In Stock Date]]&lt;&gt;"",Main[[#This Row],[Revised Due Date]]&lt;&gt;""),Main[[#This Row],[In Stock Date]]-Main[[#This Row],[Revised Due Date]],"")</f>
        <v/>
      </c>
      <c r="I1059" s="72" t="s">
        <v>4</v>
      </c>
      <c r="J1059" s="72" t="s">
        <v>4</v>
      </c>
      <c r="K1059" s="72" t="s">
        <v>4</v>
      </c>
      <c r="L1059" s="74"/>
      <c r="M1059" s="77" t="str">
        <f>IF(Main[[#This Row],[Tech Start Date]]&lt;1/1/1990,"",IF(Main[[#This Row],[Class]]="C",WORKDAY(Main[[#This Row],[Tech Start Date]],9),IF(Main[[#This Row],[Class]]="B", WORKDAY(Main[[#This Row],[Tech Start Date]],6),IF(Main[[#This Row],[Class]]="A",WORKDAY(Main[[#This Row],[Tech Start Date]],2),""))))</f>
        <v/>
      </c>
      <c r="N1059" s="77" t="str">
        <f>IF(Main[[#This Row],[Tech Start Date]]&lt;1/1/1990,"",IF(Main[[#This Row],[Class]]="C",WORKDAY(Main[[#This Row],[Tech Start Date]],19),IF(Main[[#This Row],[Class]]="B", WORKDAY(Main[[#This Row],[Tech Start Date]],12),IF(Main[[#This Row],[Class]]="A",WORKDAY(Main[[#This Row],[Tech Start Date]],4),""))))</f>
        <v/>
      </c>
      <c r="O1059" s="77" t="str">
        <f>IF(Main[[#This Row],[Tech Start Date]]&lt;1/1/1990,"",IF(Main[[#This Row],[Class]]="C",WORKDAY(Main[[#This Row],[Tech Start Date]],23),IF(Main[[#This Row],[Class]]="B", WORKDAY(Main[[#This Row],[Tech Start Date]],15),IF(Main[[#This Row],[Class]]="A",WORKDAY(Main[[#This Row],[Tech Start Date]],5),""))))</f>
        <v/>
      </c>
      <c r="P1059" s="77" t="str">
        <f>IF(Main[[#This Row],[Tech Start Date]]&lt;1/1/1990,"",IF(Main[[#This Row],[Class]]="C",WORKDAY(Main[[#This Row],[Tech Start Date]],28),IF(Main[[#This Row],[Class]]="B", WORKDAY(Main[[#This Row],[Tech Start Date]],19),IF(Main[[#This Row],[Class]]="A",WORKDAY(Main[[#This Row],[Tech Start Date]],9),""))))</f>
        <v/>
      </c>
      <c r="Q1059" s="74">
        <v>40967</v>
      </c>
      <c r="R1059" s="74"/>
      <c r="S1059" s="72" t="s">
        <v>17</v>
      </c>
      <c r="T1059" s="80" t="s">
        <v>4</v>
      </c>
      <c r="U1059" s="72" t="s">
        <v>7</v>
      </c>
      <c r="V1059" s="72" t="s">
        <v>1947</v>
      </c>
      <c r="W1059" s="72" t="s">
        <v>1942</v>
      </c>
      <c r="X1059" s="72" t="s">
        <v>437</v>
      </c>
      <c r="Y1059" s="72" t="s">
        <v>3284</v>
      </c>
      <c r="Z1059" s="72" t="s">
        <v>4</v>
      </c>
    </row>
    <row r="1060" spans="1:26" ht="18.600000000000001" customHeight="1">
      <c r="A1060" s="142" t="str">
        <f>IF(priority(Main[[#This Row],[Comments]])&lt;&gt;0, priority(Main[[#This Row],[Comments]]),"")</f>
        <v/>
      </c>
      <c r="B1060" s="90" t="s">
        <v>2311</v>
      </c>
      <c r="C1060" s="72" t="s">
        <v>2312</v>
      </c>
      <c r="D1060" s="73" t="s">
        <v>2313</v>
      </c>
      <c r="E1060" s="74"/>
      <c r="F1060" s="74">
        <v>40816</v>
      </c>
      <c r="G1060" s="75" t="str">
        <f>IF(stdProdLT(Main[[#This Row],[Comments]])=0.1,"N/A",IF(stdProdLT(Main[[#This Row],[Comments]])=0,"",stdProdLT(Main[[#This Row],[Comments]])))</f>
        <v/>
      </c>
      <c r="H1060" s="76" t="str">
        <f>IF(AND(Main[[#This Row],[In Stock Date]]&lt;&gt;"",Main[[#This Row],[Revised Due Date]]&lt;&gt;""),Main[[#This Row],[In Stock Date]]-Main[[#This Row],[Revised Due Date]],"")</f>
        <v/>
      </c>
      <c r="I1060" s="72" t="s">
        <v>4</v>
      </c>
      <c r="J1060" s="72" t="s">
        <v>4</v>
      </c>
      <c r="K1060" s="72" t="s">
        <v>4</v>
      </c>
      <c r="L1060" s="74"/>
      <c r="M1060" s="77" t="str">
        <f>IF(Main[[#This Row],[Tech Start Date]]&lt;1/1/1990,"",IF(Main[[#This Row],[Class]]="C",WORKDAY(Main[[#This Row],[Tech Start Date]],9),IF(Main[[#This Row],[Class]]="B", WORKDAY(Main[[#This Row],[Tech Start Date]],6),IF(Main[[#This Row],[Class]]="A",WORKDAY(Main[[#This Row],[Tech Start Date]],2),""))))</f>
        <v/>
      </c>
      <c r="N1060" s="77" t="str">
        <f>IF(Main[[#This Row],[Tech Start Date]]&lt;1/1/1990,"",IF(Main[[#This Row],[Class]]="C",WORKDAY(Main[[#This Row],[Tech Start Date]],19),IF(Main[[#This Row],[Class]]="B", WORKDAY(Main[[#This Row],[Tech Start Date]],12),IF(Main[[#This Row],[Class]]="A",WORKDAY(Main[[#This Row],[Tech Start Date]],4),""))))</f>
        <v/>
      </c>
      <c r="O1060" s="77" t="str">
        <f>IF(Main[[#This Row],[Tech Start Date]]&lt;1/1/1990,"",IF(Main[[#This Row],[Class]]="C",WORKDAY(Main[[#This Row],[Tech Start Date]],23),IF(Main[[#This Row],[Class]]="B", WORKDAY(Main[[#This Row],[Tech Start Date]],15),IF(Main[[#This Row],[Class]]="A",WORKDAY(Main[[#This Row],[Tech Start Date]],5),""))))</f>
        <v/>
      </c>
      <c r="P1060" s="77" t="str">
        <f>IF(Main[[#This Row],[Tech Start Date]]&lt;1/1/1990,"",IF(Main[[#This Row],[Class]]="C",WORKDAY(Main[[#This Row],[Tech Start Date]],28),IF(Main[[#This Row],[Class]]="B", WORKDAY(Main[[#This Row],[Tech Start Date]],19),IF(Main[[#This Row],[Class]]="A",WORKDAY(Main[[#This Row],[Tech Start Date]],9),""))))</f>
        <v/>
      </c>
      <c r="Q1060" s="74">
        <v>40816</v>
      </c>
      <c r="R1060" s="74"/>
      <c r="S1060" s="72" t="s">
        <v>301</v>
      </c>
      <c r="T1060" s="80" t="s">
        <v>4</v>
      </c>
      <c r="U1060" s="72" t="s">
        <v>14</v>
      </c>
      <c r="V1060" s="72" t="s">
        <v>1947</v>
      </c>
      <c r="W1060" s="72" t="s">
        <v>1945</v>
      </c>
      <c r="X1060" s="72" t="s">
        <v>3062</v>
      </c>
      <c r="Y1060" s="72" t="s">
        <v>3285</v>
      </c>
      <c r="Z1060" s="72" t="s">
        <v>4</v>
      </c>
    </row>
    <row r="1061" spans="1:26" ht="18.600000000000001" customHeight="1">
      <c r="A1061" s="142" t="str">
        <f>IF(priority(Main[[#This Row],[Comments]])&lt;&gt;0, priority(Main[[#This Row],[Comments]]),"")</f>
        <v/>
      </c>
      <c r="B1061" s="90" t="s">
        <v>2462</v>
      </c>
      <c r="C1061" s="72" t="s">
        <v>4</v>
      </c>
      <c r="D1061" s="73" t="s">
        <v>2463</v>
      </c>
      <c r="E1061" s="74">
        <v>40826.139097222222</v>
      </c>
      <c r="F1061" s="74"/>
      <c r="G1061" s="75" t="str">
        <f>IF(stdProdLT(Main[[#This Row],[Comments]])=0.1,"N/A",IF(stdProdLT(Main[[#This Row],[Comments]])=0,"",stdProdLT(Main[[#This Row],[Comments]])))</f>
        <v/>
      </c>
      <c r="H1061" s="76" t="str">
        <f>IF(AND(Main[[#This Row],[In Stock Date]]&lt;&gt;"",Main[[#This Row],[Revised Due Date]]&lt;&gt;""),Main[[#This Row],[In Stock Date]]-Main[[#This Row],[Revised Due Date]],"")</f>
        <v/>
      </c>
      <c r="I1061" s="72" t="s">
        <v>4</v>
      </c>
      <c r="J1061" s="72" t="s">
        <v>4</v>
      </c>
      <c r="K1061" s="72" t="s">
        <v>4</v>
      </c>
      <c r="L1061" s="74"/>
      <c r="M1061" s="77" t="str">
        <f>IF(Main[[#This Row],[Tech Start Date]]&lt;1/1/1990,"",IF(Main[[#This Row],[Class]]="C",WORKDAY(Main[[#This Row],[Tech Start Date]],9),IF(Main[[#This Row],[Class]]="B", WORKDAY(Main[[#This Row],[Tech Start Date]],6),IF(Main[[#This Row],[Class]]="A",WORKDAY(Main[[#This Row],[Tech Start Date]],2),""))))</f>
        <v/>
      </c>
      <c r="N1061" s="77" t="str">
        <f>IF(Main[[#This Row],[Tech Start Date]]&lt;1/1/1990,"",IF(Main[[#This Row],[Class]]="C",WORKDAY(Main[[#This Row],[Tech Start Date]],19),IF(Main[[#This Row],[Class]]="B", WORKDAY(Main[[#This Row],[Tech Start Date]],12),IF(Main[[#This Row],[Class]]="A",WORKDAY(Main[[#This Row],[Tech Start Date]],4),""))))</f>
        <v/>
      </c>
      <c r="O1061" s="77" t="str">
        <f>IF(Main[[#This Row],[Tech Start Date]]&lt;1/1/1990,"",IF(Main[[#This Row],[Class]]="C",WORKDAY(Main[[#This Row],[Tech Start Date]],23),IF(Main[[#This Row],[Class]]="B", WORKDAY(Main[[#This Row],[Tech Start Date]],15),IF(Main[[#This Row],[Class]]="A",WORKDAY(Main[[#This Row],[Tech Start Date]],5),""))))</f>
        <v/>
      </c>
      <c r="P1061" s="77" t="str">
        <f>IF(Main[[#This Row],[Tech Start Date]]&lt;1/1/1990,"",IF(Main[[#This Row],[Class]]="C",WORKDAY(Main[[#This Row],[Tech Start Date]],28),IF(Main[[#This Row],[Class]]="B", WORKDAY(Main[[#This Row],[Tech Start Date]],19),IF(Main[[#This Row],[Class]]="A",WORKDAY(Main[[#This Row],[Tech Start Date]],9),""))))</f>
        <v/>
      </c>
      <c r="Q1061" s="74">
        <v>40847</v>
      </c>
      <c r="R1061" s="74"/>
      <c r="S1061" s="72" t="s">
        <v>6</v>
      </c>
      <c r="T1061" s="80" t="s">
        <v>4</v>
      </c>
      <c r="U1061" s="72" t="s">
        <v>7</v>
      </c>
      <c r="V1061" s="72" t="s">
        <v>1937</v>
      </c>
      <c r="W1061" s="72" t="s">
        <v>4</v>
      </c>
      <c r="X1061" s="72" t="s">
        <v>3003</v>
      </c>
      <c r="Y1061" s="72" t="s">
        <v>3144</v>
      </c>
      <c r="Z1061" s="72" t="s">
        <v>4</v>
      </c>
    </row>
    <row r="1062" spans="1:26" ht="18.600000000000001" customHeight="1">
      <c r="A1062" s="142" t="str">
        <f>IF(priority(Main[[#This Row],[Comments]])&lt;&gt;0, priority(Main[[#This Row],[Comments]]),"")</f>
        <v/>
      </c>
      <c r="B1062" s="90" t="s">
        <v>2434</v>
      </c>
      <c r="C1062" s="72" t="s">
        <v>4</v>
      </c>
      <c r="D1062" s="73" t="s">
        <v>2435</v>
      </c>
      <c r="E1062" s="74"/>
      <c r="F1062" s="74"/>
      <c r="G1062" s="75" t="str">
        <f>IF(stdProdLT(Main[[#This Row],[Comments]])=0.1,"N/A",IF(stdProdLT(Main[[#This Row],[Comments]])=0,"",stdProdLT(Main[[#This Row],[Comments]])))</f>
        <v/>
      </c>
      <c r="H1062" s="76" t="str">
        <f>IF(AND(Main[[#This Row],[In Stock Date]]&lt;&gt;"",Main[[#This Row],[Revised Due Date]]&lt;&gt;""),Main[[#This Row],[In Stock Date]]-Main[[#This Row],[Revised Due Date]],"")</f>
        <v/>
      </c>
      <c r="I1062" s="72" t="s">
        <v>4</v>
      </c>
      <c r="J1062" s="72" t="s">
        <v>4</v>
      </c>
      <c r="K1062" s="81" t="s">
        <v>4</v>
      </c>
      <c r="L1062" s="74"/>
      <c r="M1062" s="77" t="str">
        <f>IF(Main[[#This Row],[Tech Start Date]]&lt;1/1/1990,"",IF(Main[[#This Row],[Class]]="C",WORKDAY(Main[[#This Row],[Tech Start Date]],9),IF(Main[[#This Row],[Class]]="B", WORKDAY(Main[[#This Row],[Tech Start Date]],6),IF(Main[[#This Row],[Class]]="A",WORKDAY(Main[[#This Row],[Tech Start Date]],2),""))))</f>
        <v/>
      </c>
      <c r="N1062" s="77" t="str">
        <f>IF(Main[[#This Row],[Tech Start Date]]&lt;1/1/1990,"",IF(Main[[#This Row],[Class]]="C",WORKDAY(Main[[#This Row],[Tech Start Date]],19),IF(Main[[#This Row],[Class]]="B", WORKDAY(Main[[#This Row],[Tech Start Date]],12),IF(Main[[#This Row],[Class]]="A",WORKDAY(Main[[#This Row],[Tech Start Date]],4),""))))</f>
        <v/>
      </c>
      <c r="O1062" s="77" t="str">
        <f>IF(Main[[#This Row],[Tech Start Date]]&lt;1/1/1990,"",IF(Main[[#This Row],[Class]]="C",WORKDAY(Main[[#This Row],[Tech Start Date]],23),IF(Main[[#This Row],[Class]]="B", WORKDAY(Main[[#This Row],[Tech Start Date]],15),IF(Main[[#This Row],[Class]]="A",WORKDAY(Main[[#This Row],[Tech Start Date]],5),""))))</f>
        <v/>
      </c>
      <c r="P1062" s="77" t="str">
        <f>IF(Main[[#This Row],[Tech Start Date]]&lt;1/1/1990,"",IF(Main[[#This Row],[Class]]="C",WORKDAY(Main[[#This Row],[Tech Start Date]],28),IF(Main[[#This Row],[Class]]="B", WORKDAY(Main[[#This Row],[Tech Start Date]],19),IF(Main[[#This Row],[Class]]="A",WORKDAY(Main[[#This Row],[Tech Start Date]],9),""))))</f>
        <v/>
      </c>
      <c r="Q1062" s="74"/>
      <c r="R1062" s="74"/>
      <c r="S1062" s="72" t="s">
        <v>6</v>
      </c>
      <c r="T1062" s="80" t="s">
        <v>4</v>
      </c>
      <c r="U1062" s="72" t="s">
        <v>14</v>
      </c>
      <c r="V1062" s="72" t="s">
        <v>1937</v>
      </c>
      <c r="W1062" s="72" t="s">
        <v>1941</v>
      </c>
      <c r="X1062" s="72" t="s">
        <v>404</v>
      </c>
      <c r="Y1062" s="72" t="s">
        <v>4</v>
      </c>
      <c r="Z1062" s="72" t="s">
        <v>4</v>
      </c>
    </row>
    <row r="1063" spans="1:26" ht="18.600000000000001" customHeight="1">
      <c r="A1063" s="142" t="str">
        <f>IF(priority(Main[[#This Row],[Comments]])&lt;&gt;0, priority(Main[[#This Row],[Comments]]),"")</f>
        <v/>
      </c>
      <c r="B1063" s="90" t="s">
        <v>2377</v>
      </c>
      <c r="C1063" s="72" t="s">
        <v>4</v>
      </c>
      <c r="D1063" s="73" t="s">
        <v>2378</v>
      </c>
      <c r="E1063" s="74">
        <v>40826.635983796295</v>
      </c>
      <c r="F1063" s="74"/>
      <c r="G1063" s="75" t="str">
        <f>IF(stdProdLT(Main[[#This Row],[Comments]])=0.1,"N/A",IF(stdProdLT(Main[[#This Row],[Comments]])=0,"",stdProdLT(Main[[#This Row],[Comments]])))</f>
        <v/>
      </c>
      <c r="H1063" s="76" t="str">
        <f>IF(AND(Main[[#This Row],[In Stock Date]]&lt;&gt;"",Main[[#This Row],[Revised Due Date]]&lt;&gt;""),Main[[#This Row],[In Stock Date]]-Main[[#This Row],[Revised Due Date]],"")</f>
        <v/>
      </c>
      <c r="I1063" s="72" t="s">
        <v>30</v>
      </c>
      <c r="J1063" s="72" t="s">
        <v>21</v>
      </c>
      <c r="K1063" s="81" t="s">
        <v>1946</v>
      </c>
      <c r="L1063" s="74"/>
      <c r="M1063" s="77" t="str">
        <f>IF(Main[[#This Row],[Tech Start Date]]&lt;1/1/1990,"",IF(Main[[#This Row],[Class]]="C",WORKDAY(Main[[#This Row],[Tech Start Date]],9),IF(Main[[#This Row],[Class]]="B", WORKDAY(Main[[#This Row],[Tech Start Date]],6),IF(Main[[#This Row],[Class]]="A",WORKDAY(Main[[#This Row],[Tech Start Date]],2),""))))</f>
        <v/>
      </c>
      <c r="N1063" s="77" t="str">
        <f>IF(Main[[#This Row],[Tech Start Date]]&lt;1/1/1990,"",IF(Main[[#This Row],[Class]]="C",WORKDAY(Main[[#This Row],[Tech Start Date]],19),IF(Main[[#This Row],[Class]]="B", WORKDAY(Main[[#This Row],[Tech Start Date]],12),IF(Main[[#This Row],[Class]]="A",WORKDAY(Main[[#This Row],[Tech Start Date]],4),""))))</f>
        <v/>
      </c>
      <c r="O1063" s="77" t="str">
        <f>IF(Main[[#This Row],[Tech Start Date]]&lt;1/1/1990,"",IF(Main[[#This Row],[Class]]="C",WORKDAY(Main[[#This Row],[Tech Start Date]],23),IF(Main[[#This Row],[Class]]="B", WORKDAY(Main[[#This Row],[Tech Start Date]],15),IF(Main[[#This Row],[Class]]="A",WORKDAY(Main[[#This Row],[Tech Start Date]],5),""))))</f>
        <v/>
      </c>
      <c r="P1063" s="77" t="str">
        <f>IF(Main[[#This Row],[Tech Start Date]]&lt;1/1/1990,"",IF(Main[[#This Row],[Class]]="C",WORKDAY(Main[[#This Row],[Tech Start Date]],28),IF(Main[[#This Row],[Class]]="B", WORKDAY(Main[[#This Row],[Tech Start Date]],19),IF(Main[[#This Row],[Class]]="A",WORKDAY(Main[[#This Row],[Tech Start Date]],9),""))))</f>
        <v/>
      </c>
      <c r="Q1063" s="74">
        <v>40886</v>
      </c>
      <c r="R1063" s="74"/>
      <c r="S1063" s="72" t="s">
        <v>6</v>
      </c>
      <c r="T1063" s="80" t="s">
        <v>4</v>
      </c>
      <c r="U1063" s="72" t="s">
        <v>29</v>
      </c>
      <c r="V1063" s="72" t="s">
        <v>1940</v>
      </c>
      <c r="W1063" s="72" t="s">
        <v>1939</v>
      </c>
      <c r="X1063" s="72" t="s">
        <v>102</v>
      </c>
      <c r="Y1063" s="72" t="s">
        <v>3286</v>
      </c>
      <c r="Z1063" s="72" t="s">
        <v>421</v>
      </c>
    </row>
    <row r="1064" spans="1:26" ht="18.600000000000001" customHeight="1">
      <c r="A1064" s="142" t="str">
        <f>IF(priority(Main[[#This Row],[Comments]])&lt;&gt;0, priority(Main[[#This Row],[Comments]]),"")</f>
        <v/>
      </c>
      <c r="B1064" s="90" t="s">
        <v>2154</v>
      </c>
      <c r="C1064" s="72" t="s">
        <v>4</v>
      </c>
      <c r="D1064" s="73" t="s">
        <v>2465</v>
      </c>
      <c r="E1064" s="74"/>
      <c r="F1064" s="74"/>
      <c r="G1064" s="75" t="str">
        <f>IF(stdProdLT(Main[[#This Row],[Comments]])=0.1,"N/A",IF(stdProdLT(Main[[#This Row],[Comments]])=0,"",stdProdLT(Main[[#This Row],[Comments]])))</f>
        <v/>
      </c>
      <c r="H1064" s="76" t="str">
        <f>IF(AND(Main[[#This Row],[In Stock Date]]&lt;&gt;"",Main[[#This Row],[Revised Due Date]]&lt;&gt;""),Main[[#This Row],[In Stock Date]]-Main[[#This Row],[Revised Due Date]],"")</f>
        <v/>
      </c>
      <c r="I1064" s="72" t="s">
        <v>2078</v>
      </c>
      <c r="J1064" s="72" t="s">
        <v>28</v>
      </c>
      <c r="K1064" s="72" t="s">
        <v>1946</v>
      </c>
      <c r="L1064" s="74"/>
      <c r="M1064" s="77" t="str">
        <f>IF(Main[[#This Row],[Tech Start Date]]&lt;1/1/1990,"",IF(Main[[#This Row],[Class]]="C",WORKDAY(Main[[#This Row],[Tech Start Date]],9),IF(Main[[#This Row],[Class]]="B", WORKDAY(Main[[#This Row],[Tech Start Date]],6),IF(Main[[#This Row],[Class]]="A",WORKDAY(Main[[#This Row],[Tech Start Date]],2),""))))</f>
        <v/>
      </c>
      <c r="N1064" s="77" t="str">
        <f>IF(Main[[#This Row],[Tech Start Date]]&lt;1/1/1990,"",IF(Main[[#This Row],[Class]]="C",WORKDAY(Main[[#This Row],[Tech Start Date]],19),IF(Main[[#This Row],[Class]]="B", WORKDAY(Main[[#This Row],[Tech Start Date]],12),IF(Main[[#This Row],[Class]]="A",WORKDAY(Main[[#This Row],[Tech Start Date]],4),""))))</f>
        <v/>
      </c>
      <c r="O1064" s="77" t="str">
        <f>IF(Main[[#This Row],[Tech Start Date]]&lt;1/1/1990,"",IF(Main[[#This Row],[Class]]="C",WORKDAY(Main[[#This Row],[Tech Start Date]],23),IF(Main[[#This Row],[Class]]="B", WORKDAY(Main[[#This Row],[Tech Start Date]],15),IF(Main[[#This Row],[Class]]="A",WORKDAY(Main[[#This Row],[Tech Start Date]],5),""))))</f>
        <v/>
      </c>
      <c r="P1064" s="77" t="str">
        <f>IF(Main[[#This Row],[Tech Start Date]]&lt;1/1/1990,"",IF(Main[[#This Row],[Class]]="C",WORKDAY(Main[[#This Row],[Tech Start Date]],28),IF(Main[[#This Row],[Class]]="B", WORKDAY(Main[[#This Row],[Tech Start Date]],19),IF(Main[[#This Row],[Class]]="A",WORKDAY(Main[[#This Row],[Tech Start Date]],9),""))))</f>
        <v/>
      </c>
      <c r="Q1064" s="74">
        <v>40816</v>
      </c>
      <c r="R1064" s="74"/>
      <c r="S1064" s="72" t="s">
        <v>6</v>
      </c>
      <c r="T1064" s="80" t="s">
        <v>4</v>
      </c>
      <c r="U1064" s="72" t="s">
        <v>14</v>
      </c>
      <c r="V1064" s="72" t="s">
        <v>1947</v>
      </c>
      <c r="W1064" s="72" t="s">
        <v>1941</v>
      </c>
      <c r="X1064" s="72" t="s">
        <v>3055</v>
      </c>
      <c r="Y1064" s="72" t="s">
        <v>3241</v>
      </c>
      <c r="Z1064" s="72" t="s">
        <v>44</v>
      </c>
    </row>
    <row r="1065" spans="1:26" ht="18.600000000000001" customHeight="1">
      <c r="A1065" s="142" t="str">
        <f>IF(priority(Main[[#This Row],[Comments]])&lt;&gt;0, priority(Main[[#This Row],[Comments]]),"")</f>
        <v/>
      </c>
      <c r="B1065" s="90" t="s">
        <v>1683</v>
      </c>
      <c r="C1065" s="72" t="s">
        <v>4</v>
      </c>
      <c r="D1065" s="73" t="s">
        <v>736</v>
      </c>
      <c r="E1065" s="74">
        <v>40528.434965277775</v>
      </c>
      <c r="F1065" s="74"/>
      <c r="G1065" s="75" t="str">
        <f>IF(stdProdLT(Main[[#This Row],[Comments]])=0.1,"N/A",IF(stdProdLT(Main[[#This Row],[Comments]])=0,"",stdProdLT(Main[[#This Row],[Comments]])))</f>
        <v/>
      </c>
      <c r="H1065" s="76" t="str">
        <f>IF(AND(Main[[#This Row],[In Stock Date]]&lt;&gt;"",Main[[#This Row],[Revised Due Date]]&lt;&gt;""),Main[[#This Row],[In Stock Date]]-Main[[#This Row],[Revised Due Date]],"")</f>
        <v/>
      </c>
      <c r="I1065" s="72" t="s">
        <v>4</v>
      </c>
      <c r="J1065" s="72" t="s">
        <v>28</v>
      </c>
      <c r="K1065" s="72" t="s">
        <v>1949</v>
      </c>
      <c r="L1065" s="74"/>
      <c r="M1065" s="77" t="str">
        <f>IF(Main[[#This Row],[Tech Start Date]]&lt;1/1/1990,"",IF(Main[[#This Row],[Class]]="C",WORKDAY(Main[[#This Row],[Tech Start Date]],9),IF(Main[[#This Row],[Class]]="B", WORKDAY(Main[[#This Row],[Tech Start Date]],6),IF(Main[[#This Row],[Class]]="A",WORKDAY(Main[[#This Row],[Tech Start Date]],2),""))))</f>
        <v/>
      </c>
      <c r="N1065" s="77" t="str">
        <f>IF(Main[[#This Row],[Tech Start Date]]&lt;1/1/1990,"",IF(Main[[#This Row],[Class]]="C",WORKDAY(Main[[#This Row],[Tech Start Date]],19),IF(Main[[#This Row],[Class]]="B", WORKDAY(Main[[#This Row],[Tech Start Date]],12),IF(Main[[#This Row],[Class]]="A",WORKDAY(Main[[#This Row],[Tech Start Date]],4),""))))</f>
        <v/>
      </c>
      <c r="O1065" s="77" t="str">
        <f>IF(Main[[#This Row],[Tech Start Date]]&lt;1/1/1990,"",IF(Main[[#This Row],[Class]]="C",WORKDAY(Main[[#This Row],[Tech Start Date]],23),IF(Main[[#This Row],[Class]]="B", WORKDAY(Main[[#This Row],[Tech Start Date]],15),IF(Main[[#This Row],[Class]]="A",WORKDAY(Main[[#This Row],[Tech Start Date]],5),""))))</f>
        <v/>
      </c>
      <c r="P1065" s="77" t="str">
        <f>IF(Main[[#This Row],[Tech Start Date]]&lt;1/1/1990,"",IF(Main[[#This Row],[Class]]="C",WORKDAY(Main[[#This Row],[Tech Start Date]],28),IF(Main[[#This Row],[Class]]="B", WORKDAY(Main[[#This Row],[Tech Start Date]],19),IF(Main[[#This Row],[Class]]="A",WORKDAY(Main[[#This Row],[Tech Start Date]],9),""))))</f>
        <v/>
      </c>
      <c r="Q1065" s="74">
        <v>41152</v>
      </c>
      <c r="R1065" s="74"/>
      <c r="S1065" s="72" t="s">
        <v>17</v>
      </c>
      <c r="T1065" s="80" t="s">
        <v>4</v>
      </c>
      <c r="U1065" s="72" t="s">
        <v>7</v>
      </c>
      <c r="V1065" s="72" t="s">
        <v>1937</v>
      </c>
      <c r="W1065" s="72" t="s">
        <v>1942</v>
      </c>
      <c r="X1065" s="72" t="s">
        <v>129</v>
      </c>
      <c r="Y1065" s="72" t="s">
        <v>3235</v>
      </c>
      <c r="Z1065" s="72" t="s">
        <v>129</v>
      </c>
    </row>
    <row r="1066" spans="1:26" ht="18.600000000000001" customHeight="1">
      <c r="A1066" s="142" t="str">
        <f>IF(priority(Main[[#This Row],[Comments]])&lt;&gt;0, priority(Main[[#This Row],[Comments]]),"")</f>
        <v/>
      </c>
      <c r="B1066" s="90" t="s">
        <v>1189</v>
      </c>
      <c r="C1066" s="72" t="s">
        <v>4</v>
      </c>
      <c r="D1066" s="73" t="s">
        <v>2467</v>
      </c>
      <c r="E1066" s="74">
        <v>40567.661041666666</v>
      </c>
      <c r="F1066" s="74">
        <v>40602</v>
      </c>
      <c r="G1066" s="75" t="str">
        <f>IF(stdProdLT(Main[[#This Row],[Comments]])=0.1,"N/A",IF(stdProdLT(Main[[#This Row],[Comments]])=0,"",stdProdLT(Main[[#This Row],[Comments]])))</f>
        <v/>
      </c>
      <c r="H1066" s="76" t="str">
        <f>IF(AND(Main[[#This Row],[In Stock Date]]&lt;&gt;"",Main[[#This Row],[Revised Due Date]]&lt;&gt;""),Main[[#This Row],[In Stock Date]]-Main[[#This Row],[Revised Due Date]],"")</f>
        <v/>
      </c>
      <c r="I1066" s="72" t="s">
        <v>927</v>
      </c>
      <c r="J1066" s="72" t="s">
        <v>52</v>
      </c>
      <c r="K1066" s="81" t="s">
        <v>1946</v>
      </c>
      <c r="L1066" s="74"/>
      <c r="M1066" s="77" t="str">
        <f>IF(Main[[#This Row],[Tech Start Date]]&lt;1/1/1990,"",IF(Main[[#This Row],[Class]]="C",WORKDAY(Main[[#This Row],[Tech Start Date]],9),IF(Main[[#This Row],[Class]]="B", WORKDAY(Main[[#This Row],[Tech Start Date]],6),IF(Main[[#This Row],[Class]]="A",WORKDAY(Main[[#This Row],[Tech Start Date]],2),""))))</f>
        <v/>
      </c>
      <c r="N1066" s="77" t="str">
        <f>IF(Main[[#This Row],[Tech Start Date]]&lt;1/1/1990,"",IF(Main[[#This Row],[Class]]="C",WORKDAY(Main[[#This Row],[Tech Start Date]],19),IF(Main[[#This Row],[Class]]="B", WORKDAY(Main[[#This Row],[Tech Start Date]],12),IF(Main[[#This Row],[Class]]="A",WORKDAY(Main[[#This Row],[Tech Start Date]],4),""))))</f>
        <v/>
      </c>
      <c r="O1066" s="77" t="str">
        <f>IF(Main[[#This Row],[Tech Start Date]]&lt;1/1/1990,"",IF(Main[[#This Row],[Class]]="C",WORKDAY(Main[[#This Row],[Tech Start Date]],23),IF(Main[[#This Row],[Class]]="B", WORKDAY(Main[[#This Row],[Tech Start Date]],15),IF(Main[[#This Row],[Class]]="A",WORKDAY(Main[[#This Row],[Tech Start Date]],5),""))))</f>
        <v/>
      </c>
      <c r="P1066" s="77" t="str">
        <f>IF(Main[[#This Row],[Tech Start Date]]&lt;1/1/1990,"",IF(Main[[#This Row],[Class]]="C",WORKDAY(Main[[#This Row],[Tech Start Date]],28),IF(Main[[#This Row],[Class]]="B", WORKDAY(Main[[#This Row],[Tech Start Date]],19),IF(Main[[#This Row],[Class]]="A",WORKDAY(Main[[#This Row],[Tech Start Date]],9),""))))</f>
        <v/>
      </c>
      <c r="Q1066" s="74">
        <v>40602</v>
      </c>
      <c r="R1066" s="74"/>
      <c r="S1066" s="72" t="s">
        <v>6</v>
      </c>
      <c r="T1066" s="80" t="s">
        <v>4</v>
      </c>
      <c r="U1066" s="72" t="s">
        <v>29</v>
      </c>
      <c r="V1066" s="72" t="s">
        <v>1937</v>
      </c>
      <c r="W1066" s="72" t="s">
        <v>1939</v>
      </c>
      <c r="X1066" s="72" t="s">
        <v>2970</v>
      </c>
      <c r="Y1066" s="72" t="s">
        <v>3087</v>
      </c>
      <c r="Z1066" s="72" t="s">
        <v>129</v>
      </c>
    </row>
    <row r="1067" spans="1:26" ht="18.600000000000001" customHeight="1">
      <c r="A1067" s="142" t="str">
        <f>IF(priority(Main[[#This Row],[Comments]])&lt;&gt;0, priority(Main[[#This Row],[Comments]]),"")</f>
        <v/>
      </c>
      <c r="B1067" s="90" t="s">
        <v>1594</v>
      </c>
      <c r="C1067" s="72" t="s">
        <v>4</v>
      </c>
      <c r="D1067" s="73" t="s">
        <v>2468</v>
      </c>
      <c r="E1067" s="74">
        <v>40463.34134259259</v>
      </c>
      <c r="F1067" s="74"/>
      <c r="G1067" s="75" t="str">
        <f>IF(stdProdLT(Main[[#This Row],[Comments]])=0.1,"N/A",IF(stdProdLT(Main[[#This Row],[Comments]])=0,"",stdProdLT(Main[[#This Row],[Comments]])))</f>
        <v/>
      </c>
      <c r="H1067" s="76" t="str">
        <f>IF(AND(Main[[#This Row],[In Stock Date]]&lt;&gt;"",Main[[#This Row],[Revised Due Date]]&lt;&gt;""),Main[[#This Row],[In Stock Date]]-Main[[#This Row],[Revised Due Date]],"")</f>
        <v/>
      </c>
      <c r="I1067" s="72" t="s">
        <v>927</v>
      </c>
      <c r="J1067" s="72" t="s">
        <v>52</v>
      </c>
      <c r="K1067" s="72" t="s">
        <v>4</v>
      </c>
      <c r="L1067" s="74"/>
      <c r="M1067" s="77" t="str">
        <f>IF(Main[[#This Row],[Tech Start Date]]&lt;1/1/1990,"",IF(Main[[#This Row],[Class]]="C",WORKDAY(Main[[#This Row],[Tech Start Date]],9),IF(Main[[#This Row],[Class]]="B", WORKDAY(Main[[#This Row],[Tech Start Date]],6),IF(Main[[#This Row],[Class]]="A",WORKDAY(Main[[#This Row],[Tech Start Date]],2),""))))</f>
        <v/>
      </c>
      <c r="N1067" s="77" t="str">
        <f>IF(Main[[#This Row],[Tech Start Date]]&lt;1/1/1990,"",IF(Main[[#This Row],[Class]]="C",WORKDAY(Main[[#This Row],[Tech Start Date]],19),IF(Main[[#This Row],[Class]]="B", WORKDAY(Main[[#This Row],[Tech Start Date]],12),IF(Main[[#This Row],[Class]]="A",WORKDAY(Main[[#This Row],[Tech Start Date]],4),""))))</f>
        <v/>
      </c>
      <c r="O1067" s="77" t="str">
        <f>IF(Main[[#This Row],[Tech Start Date]]&lt;1/1/1990,"",IF(Main[[#This Row],[Class]]="C",WORKDAY(Main[[#This Row],[Tech Start Date]],23),IF(Main[[#This Row],[Class]]="B", WORKDAY(Main[[#This Row],[Tech Start Date]],15),IF(Main[[#This Row],[Class]]="A",WORKDAY(Main[[#This Row],[Tech Start Date]],5),""))))</f>
        <v/>
      </c>
      <c r="P1067" s="77" t="str">
        <f>IF(Main[[#This Row],[Tech Start Date]]&lt;1/1/1990,"",IF(Main[[#This Row],[Class]]="C",WORKDAY(Main[[#This Row],[Tech Start Date]],28),IF(Main[[#This Row],[Class]]="B", WORKDAY(Main[[#This Row],[Tech Start Date]],19),IF(Main[[#This Row],[Class]]="A",WORKDAY(Main[[#This Row],[Tech Start Date]],9),""))))</f>
        <v/>
      </c>
      <c r="Q1067" s="74">
        <v>40497</v>
      </c>
      <c r="R1067" s="74"/>
      <c r="S1067" s="72" t="s">
        <v>6</v>
      </c>
      <c r="T1067" s="80" t="s">
        <v>4</v>
      </c>
      <c r="U1067" s="72" t="s">
        <v>29</v>
      </c>
      <c r="V1067" s="72" t="s">
        <v>1937</v>
      </c>
      <c r="W1067" s="72" t="s">
        <v>1941</v>
      </c>
      <c r="X1067" s="72" t="s">
        <v>2970</v>
      </c>
      <c r="Y1067" s="72" t="s">
        <v>3087</v>
      </c>
      <c r="Z1067" s="72" t="s">
        <v>129</v>
      </c>
    </row>
    <row r="1068" spans="1:26" ht="18.600000000000001" customHeight="1">
      <c r="A1068" s="142" t="str">
        <f>IF(priority(Main[[#This Row],[Comments]])&lt;&gt;0, priority(Main[[#This Row],[Comments]]),"")</f>
        <v/>
      </c>
      <c r="B1068" s="90" t="s">
        <v>2469</v>
      </c>
      <c r="C1068" s="72" t="s">
        <v>4</v>
      </c>
      <c r="D1068" s="73" t="s">
        <v>2470</v>
      </c>
      <c r="E1068" s="74">
        <v>40833.65898148148</v>
      </c>
      <c r="F1068" s="74"/>
      <c r="G1068" s="75" t="str">
        <f>IF(stdProdLT(Main[[#This Row],[Comments]])=0.1,"N/A",IF(stdProdLT(Main[[#This Row],[Comments]])=0,"",stdProdLT(Main[[#This Row],[Comments]])))</f>
        <v/>
      </c>
      <c r="H1068" s="76" t="str">
        <f>IF(AND(Main[[#This Row],[In Stock Date]]&lt;&gt;"",Main[[#This Row],[Revised Due Date]]&lt;&gt;""),Main[[#This Row],[In Stock Date]]-Main[[#This Row],[Revised Due Date]],"")</f>
        <v/>
      </c>
      <c r="I1068" s="72" t="s">
        <v>536</v>
      </c>
      <c r="J1068" s="72" t="s">
        <v>28</v>
      </c>
      <c r="K1068" s="72" t="s">
        <v>1946</v>
      </c>
      <c r="L1068" s="74"/>
      <c r="M1068" s="77" t="str">
        <f>IF(Main[[#This Row],[Tech Start Date]]&lt;1/1/1990,"",IF(Main[[#This Row],[Class]]="C",WORKDAY(Main[[#This Row],[Tech Start Date]],9),IF(Main[[#This Row],[Class]]="B", WORKDAY(Main[[#This Row],[Tech Start Date]],6),IF(Main[[#This Row],[Class]]="A",WORKDAY(Main[[#This Row],[Tech Start Date]],2),""))))</f>
        <v/>
      </c>
      <c r="N1068" s="77" t="str">
        <f>IF(Main[[#This Row],[Tech Start Date]]&lt;1/1/1990,"",IF(Main[[#This Row],[Class]]="C",WORKDAY(Main[[#This Row],[Tech Start Date]],19),IF(Main[[#This Row],[Class]]="B", WORKDAY(Main[[#This Row],[Tech Start Date]],12),IF(Main[[#This Row],[Class]]="A",WORKDAY(Main[[#This Row],[Tech Start Date]],4),""))))</f>
        <v/>
      </c>
      <c r="O1068" s="77" t="str">
        <f>IF(Main[[#This Row],[Tech Start Date]]&lt;1/1/1990,"",IF(Main[[#This Row],[Class]]="C",WORKDAY(Main[[#This Row],[Tech Start Date]],23),IF(Main[[#This Row],[Class]]="B", WORKDAY(Main[[#This Row],[Tech Start Date]],15),IF(Main[[#This Row],[Class]]="A",WORKDAY(Main[[#This Row],[Tech Start Date]],5),""))))</f>
        <v/>
      </c>
      <c r="P1068" s="77" t="str">
        <f>IF(Main[[#This Row],[Tech Start Date]]&lt;1/1/1990,"",IF(Main[[#This Row],[Class]]="C",WORKDAY(Main[[#This Row],[Tech Start Date]],28),IF(Main[[#This Row],[Class]]="B", WORKDAY(Main[[#This Row],[Tech Start Date]],19),IF(Main[[#This Row],[Class]]="A",WORKDAY(Main[[#This Row],[Tech Start Date]],9),""))))</f>
        <v/>
      </c>
      <c r="Q1068" s="74">
        <v>40923</v>
      </c>
      <c r="R1068" s="74"/>
      <c r="S1068" s="72" t="s">
        <v>6</v>
      </c>
      <c r="T1068" s="80" t="s">
        <v>4</v>
      </c>
      <c r="U1068" s="72" t="s">
        <v>29</v>
      </c>
      <c r="V1068" s="72" t="s">
        <v>1940</v>
      </c>
      <c r="W1068" s="72" t="s">
        <v>1941</v>
      </c>
      <c r="X1068" s="72" t="s">
        <v>560</v>
      </c>
      <c r="Y1068" s="72" t="s">
        <v>3110</v>
      </c>
      <c r="Z1068" s="72" t="s">
        <v>30</v>
      </c>
    </row>
    <row r="1069" spans="1:26" ht="18.600000000000001" customHeight="1">
      <c r="A1069" s="142" t="str">
        <f>IF(priority(Main[[#This Row],[Comments]])&lt;&gt;0, priority(Main[[#This Row],[Comments]]),"")</f>
        <v/>
      </c>
      <c r="B1069" s="90" t="s">
        <v>1787</v>
      </c>
      <c r="C1069" s="72" t="s">
        <v>4</v>
      </c>
      <c r="D1069" s="73" t="s">
        <v>2345</v>
      </c>
      <c r="E1069" s="74">
        <v>40660.402291666665</v>
      </c>
      <c r="F1069" s="74"/>
      <c r="G1069" s="75" t="str">
        <f>IF(stdProdLT(Main[[#This Row],[Comments]])=0.1,"N/A",IF(stdProdLT(Main[[#This Row],[Comments]])=0,"",stdProdLT(Main[[#This Row],[Comments]])))</f>
        <v/>
      </c>
      <c r="H1069" s="76" t="str">
        <f>IF(AND(Main[[#This Row],[In Stock Date]]&lt;&gt;"",Main[[#This Row],[Revised Due Date]]&lt;&gt;""),Main[[#This Row],[In Stock Date]]-Main[[#This Row],[Revised Due Date]],"")</f>
        <v/>
      </c>
      <c r="I1069" s="72" t="s">
        <v>568</v>
      </c>
      <c r="J1069" s="72" t="s">
        <v>21</v>
      </c>
      <c r="K1069" s="72" t="s">
        <v>4</v>
      </c>
      <c r="L1069" s="74"/>
      <c r="M1069" s="77" t="str">
        <f>IF(Main[[#This Row],[Tech Start Date]]&lt;1/1/1990,"",IF(Main[[#This Row],[Class]]="C",WORKDAY(Main[[#This Row],[Tech Start Date]],9),IF(Main[[#This Row],[Class]]="B", WORKDAY(Main[[#This Row],[Tech Start Date]],6),IF(Main[[#This Row],[Class]]="A",WORKDAY(Main[[#This Row],[Tech Start Date]],2),""))))</f>
        <v/>
      </c>
      <c r="N1069" s="77" t="str">
        <f>IF(Main[[#This Row],[Tech Start Date]]&lt;1/1/1990,"",IF(Main[[#This Row],[Class]]="C",WORKDAY(Main[[#This Row],[Tech Start Date]],19),IF(Main[[#This Row],[Class]]="B", WORKDAY(Main[[#This Row],[Tech Start Date]],12),IF(Main[[#This Row],[Class]]="A",WORKDAY(Main[[#This Row],[Tech Start Date]],4),""))))</f>
        <v/>
      </c>
      <c r="O1069" s="77" t="str">
        <f>IF(Main[[#This Row],[Tech Start Date]]&lt;1/1/1990,"",IF(Main[[#This Row],[Class]]="C",WORKDAY(Main[[#This Row],[Tech Start Date]],23),IF(Main[[#This Row],[Class]]="B", WORKDAY(Main[[#This Row],[Tech Start Date]],15),IF(Main[[#This Row],[Class]]="A",WORKDAY(Main[[#This Row],[Tech Start Date]],5),""))))</f>
        <v/>
      </c>
      <c r="P1069" s="77" t="str">
        <f>IF(Main[[#This Row],[Tech Start Date]]&lt;1/1/1990,"",IF(Main[[#This Row],[Class]]="C",WORKDAY(Main[[#This Row],[Tech Start Date]],28),IF(Main[[#This Row],[Class]]="B", WORKDAY(Main[[#This Row],[Tech Start Date]],19),IF(Main[[#This Row],[Class]]="A",WORKDAY(Main[[#This Row],[Tech Start Date]],9),""))))</f>
        <v/>
      </c>
      <c r="Q1069" s="74">
        <v>40676</v>
      </c>
      <c r="R1069" s="74"/>
      <c r="S1069" s="72" t="s">
        <v>6</v>
      </c>
      <c r="T1069" s="80" t="s">
        <v>4</v>
      </c>
      <c r="U1069" s="72" t="s">
        <v>29</v>
      </c>
      <c r="V1069" s="72" t="s">
        <v>1937</v>
      </c>
      <c r="W1069" s="72" t="s">
        <v>1941</v>
      </c>
      <c r="X1069" s="72" t="s">
        <v>2973</v>
      </c>
      <c r="Y1069" s="72" t="s">
        <v>3094</v>
      </c>
      <c r="Z1069" s="72" t="s">
        <v>4</v>
      </c>
    </row>
    <row r="1070" spans="1:26" ht="18.600000000000001" customHeight="1">
      <c r="A1070" s="142" t="str">
        <f>IF(priority(Main[[#This Row],[Comments]])&lt;&gt;0, priority(Main[[#This Row],[Comments]]),"")</f>
        <v/>
      </c>
      <c r="B1070" s="90" t="s">
        <v>2549</v>
      </c>
      <c r="C1070" s="72" t="s">
        <v>4</v>
      </c>
      <c r="D1070" s="73" t="s">
        <v>2550</v>
      </c>
      <c r="E1070" s="74"/>
      <c r="F1070" s="74"/>
      <c r="G1070" s="75" t="str">
        <f>IF(stdProdLT(Main[[#This Row],[Comments]])=0.1,"N/A",IF(stdProdLT(Main[[#This Row],[Comments]])=0,"",stdProdLT(Main[[#This Row],[Comments]])))</f>
        <v/>
      </c>
      <c r="H1070" s="76" t="str">
        <f>IF(AND(Main[[#This Row],[In Stock Date]]&lt;&gt;"",Main[[#This Row],[Revised Due Date]]&lt;&gt;""),Main[[#This Row],[In Stock Date]]-Main[[#This Row],[Revised Due Date]],"")</f>
        <v/>
      </c>
      <c r="I1070" s="72" t="s">
        <v>536</v>
      </c>
      <c r="J1070" s="72" t="s">
        <v>28</v>
      </c>
      <c r="K1070" s="72" t="s">
        <v>1946</v>
      </c>
      <c r="L1070" s="74"/>
      <c r="M1070" s="77" t="str">
        <f>IF(Main[[#This Row],[Tech Start Date]]&lt;1/1/1990,"",IF(Main[[#This Row],[Class]]="C",WORKDAY(Main[[#This Row],[Tech Start Date]],9),IF(Main[[#This Row],[Class]]="B", WORKDAY(Main[[#This Row],[Tech Start Date]],6),IF(Main[[#This Row],[Class]]="A",WORKDAY(Main[[#This Row],[Tech Start Date]],2),""))))</f>
        <v/>
      </c>
      <c r="N1070" s="77" t="str">
        <f>IF(Main[[#This Row],[Tech Start Date]]&lt;1/1/1990,"",IF(Main[[#This Row],[Class]]="C",WORKDAY(Main[[#This Row],[Tech Start Date]],19),IF(Main[[#This Row],[Class]]="B", WORKDAY(Main[[#This Row],[Tech Start Date]],12),IF(Main[[#This Row],[Class]]="A",WORKDAY(Main[[#This Row],[Tech Start Date]],4),""))))</f>
        <v/>
      </c>
      <c r="O1070" s="77" t="str">
        <f>IF(Main[[#This Row],[Tech Start Date]]&lt;1/1/1990,"",IF(Main[[#This Row],[Class]]="C",WORKDAY(Main[[#This Row],[Tech Start Date]],23),IF(Main[[#This Row],[Class]]="B", WORKDAY(Main[[#This Row],[Tech Start Date]],15),IF(Main[[#This Row],[Class]]="A",WORKDAY(Main[[#This Row],[Tech Start Date]],5),""))))</f>
        <v/>
      </c>
      <c r="P1070" s="77" t="str">
        <f>IF(Main[[#This Row],[Tech Start Date]]&lt;1/1/1990,"",IF(Main[[#This Row],[Class]]="C",WORKDAY(Main[[#This Row],[Tech Start Date]],28),IF(Main[[#This Row],[Class]]="B", WORKDAY(Main[[#This Row],[Tech Start Date]],19),IF(Main[[#This Row],[Class]]="A",WORKDAY(Main[[#This Row],[Tech Start Date]],9),""))))</f>
        <v/>
      </c>
      <c r="Q1070" s="74">
        <v>40939</v>
      </c>
      <c r="R1070" s="74"/>
      <c r="S1070" s="72" t="s">
        <v>6</v>
      </c>
      <c r="T1070" s="80" t="s">
        <v>4</v>
      </c>
      <c r="U1070" s="72" t="s">
        <v>14</v>
      </c>
      <c r="V1070" s="72" t="s">
        <v>1940</v>
      </c>
      <c r="W1070" s="72" t="s">
        <v>1941</v>
      </c>
      <c r="X1070" s="72" t="s">
        <v>560</v>
      </c>
      <c r="Y1070" s="72" t="s">
        <v>3110</v>
      </c>
      <c r="Z1070" s="72" t="s">
        <v>30</v>
      </c>
    </row>
    <row r="1071" spans="1:26" ht="18.600000000000001" customHeight="1">
      <c r="A1071" s="142" t="str">
        <f>IF(priority(Main[[#This Row],[Comments]])&lt;&gt;0, priority(Main[[#This Row],[Comments]]),"")</f>
        <v/>
      </c>
      <c r="B1071" s="90" t="s">
        <v>2509</v>
      </c>
      <c r="C1071" s="72" t="s">
        <v>95</v>
      </c>
      <c r="D1071" s="73" t="s">
        <v>2767</v>
      </c>
      <c r="E1071" s="74">
        <v>40876.601030092592</v>
      </c>
      <c r="F1071" s="74"/>
      <c r="G1071" s="75" t="str">
        <f>IF(stdProdLT(Main[[#This Row],[Comments]])=0.1,"N/A",IF(stdProdLT(Main[[#This Row],[Comments]])=0,"",stdProdLT(Main[[#This Row],[Comments]])))</f>
        <v/>
      </c>
      <c r="H1071" s="76" t="str">
        <f>IF(AND(Main[[#This Row],[In Stock Date]]&lt;&gt;"",Main[[#This Row],[Revised Due Date]]&lt;&gt;""),Main[[#This Row],[In Stock Date]]-Main[[#This Row],[Revised Due Date]],"")</f>
        <v/>
      </c>
      <c r="I1071" s="72" t="s">
        <v>536</v>
      </c>
      <c r="J1071" s="72" t="s">
        <v>28</v>
      </c>
      <c r="K1071" s="81" t="s">
        <v>1946</v>
      </c>
      <c r="L1071" s="74"/>
      <c r="M1071" s="77" t="str">
        <f>IF(Main[[#This Row],[Tech Start Date]]&lt;1/1/1990,"",IF(Main[[#This Row],[Class]]="C",WORKDAY(Main[[#This Row],[Tech Start Date]],9),IF(Main[[#This Row],[Class]]="B", WORKDAY(Main[[#This Row],[Tech Start Date]],6),IF(Main[[#This Row],[Class]]="A",WORKDAY(Main[[#This Row],[Tech Start Date]],2),""))))</f>
        <v/>
      </c>
      <c r="N1071" s="77" t="str">
        <f>IF(Main[[#This Row],[Tech Start Date]]&lt;1/1/1990,"",IF(Main[[#This Row],[Class]]="C",WORKDAY(Main[[#This Row],[Tech Start Date]],19),IF(Main[[#This Row],[Class]]="B", WORKDAY(Main[[#This Row],[Tech Start Date]],12),IF(Main[[#This Row],[Class]]="A",WORKDAY(Main[[#This Row],[Tech Start Date]],4),""))))</f>
        <v/>
      </c>
      <c r="O1071" s="77" t="str">
        <f>IF(Main[[#This Row],[Tech Start Date]]&lt;1/1/1990,"",IF(Main[[#This Row],[Class]]="C",WORKDAY(Main[[#This Row],[Tech Start Date]],23),IF(Main[[#This Row],[Class]]="B", WORKDAY(Main[[#This Row],[Tech Start Date]],15),IF(Main[[#This Row],[Class]]="A",WORKDAY(Main[[#This Row],[Tech Start Date]],5),""))))</f>
        <v/>
      </c>
      <c r="P1071" s="77" t="str">
        <f>IF(Main[[#This Row],[Tech Start Date]]&lt;1/1/1990,"",IF(Main[[#This Row],[Class]]="C",WORKDAY(Main[[#This Row],[Tech Start Date]],28),IF(Main[[#This Row],[Class]]="B", WORKDAY(Main[[#This Row],[Tech Start Date]],19),IF(Main[[#This Row],[Class]]="A",WORKDAY(Main[[#This Row],[Tech Start Date]],9),""))))</f>
        <v/>
      </c>
      <c r="Q1071" s="74">
        <v>40900</v>
      </c>
      <c r="R1071" s="74"/>
      <c r="S1071" s="72" t="s">
        <v>6</v>
      </c>
      <c r="T1071" s="80" t="s">
        <v>4</v>
      </c>
      <c r="U1071" s="72" t="s">
        <v>29</v>
      </c>
      <c r="V1071" s="72" t="s">
        <v>1947</v>
      </c>
      <c r="W1071" s="72" t="s">
        <v>1945</v>
      </c>
      <c r="X1071" s="72" t="s">
        <v>897</v>
      </c>
      <c r="Y1071" s="72" t="s">
        <v>3121</v>
      </c>
      <c r="Z1071" s="72" t="s">
        <v>30</v>
      </c>
    </row>
    <row r="1072" spans="1:26" ht="18.600000000000001" customHeight="1">
      <c r="A1072" s="142" t="str">
        <f>IF(priority(Main[[#This Row],[Comments]])&lt;&gt;0, priority(Main[[#This Row],[Comments]]),"")</f>
        <v/>
      </c>
      <c r="B1072" s="90" t="s">
        <v>2636</v>
      </c>
      <c r="C1072" s="72" t="s">
        <v>4</v>
      </c>
      <c r="D1072" s="73" t="s">
        <v>2637</v>
      </c>
      <c r="E1072" s="74"/>
      <c r="F1072" s="74"/>
      <c r="G1072" s="75" t="str">
        <f>IF(stdProdLT(Main[[#This Row],[Comments]])=0.1,"N/A",IF(stdProdLT(Main[[#This Row],[Comments]])=0,"",stdProdLT(Main[[#This Row],[Comments]])))</f>
        <v/>
      </c>
      <c r="H1072" s="76" t="str">
        <f>IF(AND(Main[[#This Row],[In Stock Date]]&lt;&gt;"",Main[[#This Row],[Revised Due Date]]&lt;&gt;""),Main[[#This Row],[In Stock Date]]-Main[[#This Row],[Revised Due Date]],"")</f>
        <v/>
      </c>
      <c r="I1072" s="72" t="s">
        <v>4</v>
      </c>
      <c r="J1072" s="72" t="s">
        <v>4</v>
      </c>
      <c r="K1072" s="72" t="s">
        <v>4</v>
      </c>
      <c r="L1072" s="74"/>
      <c r="M1072" s="77" t="str">
        <f>IF(Main[[#This Row],[Tech Start Date]]&lt;1/1/1990,"",IF(Main[[#This Row],[Class]]="C",WORKDAY(Main[[#This Row],[Tech Start Date]],9),IF(Main[[#This Row],[Class]]="B", WORKDAY(Main[[#This Row],[Tech Start Date]],6),IF(Main[[#This Row],[Class]]="A",WORKDAY(Main[[#This Row],[Tech Start Date]],2),""))))</f>
        <v/>
      </c>
      <c r="N1072" s="77" t="str">
        <f>IF(Main[[#This Row],[Tech Start Date]]&lt;1/1/1990,"",IF(Main[[#This Row],[Class]]="C",WORKDAY(Main[[#This Row],[Tech Start Date]],19),IF(Main[[#This Row],[Class]]="B", WORKDAY(Main[[#This Row],[Tech Start Date]],12),IF(Main[[#This Row],[Class]]="A",WORKDAY(Main[[#This Row],[Tech Start Date]],4),""))))</f>
        <v/>
      </c>
      <c r="O1072" s="77" t="str">
        <f>IF(Main[[#This Row],[Tech Start Date]]&lt;1/1/1990,"",IF(Main[[#This Row],[Class]]="C",WORKDAY(Main[[#This Row],[Tech Start Date]],23),IF(Main[[#This Row],[Class]]="B", WORKDAY(Main[[#This Row],[Tech Start Date]],15),IF(Main[[#This Row],[Class]]="A",WORKDAY(Main[[#This Row],[Tech Start Date]],5),""))))</f>
        <v/>
      </c>
      <c r="P1072" s="77" t="str">
        <f>IF(Main[[#This Row],[Tech Start Date]]&lt;1/1/1990,"",IF(Main[[#This Row],[Class]]="C",WORKDAY(Main[[#This Row],[Tech Start Date]],28),IF(Main[[#This Row],[Class]]="B", WORKDAY(Main[[#This Row],[Tech Start Date]],19),IF(Main[[#This Row],[Class]]="A",WORKDAY(Main[[#This Row],[Tech Start Date]],9),""))))</f>
        <v/>
      </c>
      <c r="Q1072" s="74"/>
      <c r="R1072" s="74"/>
      <c r="S1072" s="72" t="s">
        <v>6</v>
      </c>
      <c r="T1072" s="80" t="s">
        <v>4</v>
      </c>
      <c r="U1072" s="72" t="s">
        <v>14</v>
      </c>
      <c r="V1072" s="72" t="s">
        <v>1940</v>
      </c>
      <c r="W1072" s="72" t="s">
        <v>1941</v>
      </c>
      <c r="X1072" s="72" t="s">
        <v>311</v>
      </c>
      <c r="Y1072" s="72" t="s">
        <v>3099</v>
      </c>
      <c r="Z1072" s="72" t="s">
        <v>4</v>
      </c>
    </row>
    <row r="1073" spans="1:26" ht="18.600000000000001" customHeight="1">
      <c r="A1073" s="142" t="str">
        <f>IF(priority(Main[[#This Row],[Comments]])&lt;&gt;0, priority(Main[[#This Row],[Comments]]),"")</f>
        <v/>
      </c>
      <c r="B1073" s="90" t="s">
        <v>2306</v>
      </c>
      <c r="C1073" s="72" t="s">
        <v>4</v>
      </c>
      <c r="D1073" s="73" t="s">
        <v>2307</v>
      </c>
      <c r="E1073" s="74">
        <v>40809.888067129628</v>
      </c>
      <c r="F1073" s="74"/>
      <c r="G1073" s="75" t="str">
        <f>IF(stdProdLT(Main[[#This Row],[Comments]])=0.1,"N/A",IF(stdProdLT(Main[[#This Row],[Comments]])=0,"",stdProdLT(Main[[#This Row],[Comments]])))</f>
        <v/>
      </c>
      <c r="H1073" s="76" t="str">
        <f>IF(AND(Main[[#This Row],[In Stock Date]]&lt;&gt;"",Main[[#This Row],[Revised Due Date]]&lt;&gt;""),Main[[#This Row],[In Stock Date]]-Main[[#This Row],[Revised Due Date]],"")</f>
        <v/>
      </c>
      <c r="I1073" s="72" t="s">
        <v>81</v>
      </c>
      <c r="J1073" s="72" t="s">
        <v>52</v>
      </c>
      <c r="K1073" s="72" t="s">
        <v>1946</v>
      </c>
      <c r="L1073" s="74"/>
      <c r="M1073" s="77" t="str">
        <f>IF(Main[[#This Row],[Tech Start Date]]&lt;1/1/1990,"",IF(Main[[#This Row],[Class]]="C",WORKDAY(Main[[#This Row],[Tech Start Date]],9),IF(Main[[#This Row],[Class]]="B", WORKDAY(Main[[#This Row],[Tech Start Date]],6),IF(Main[[#This Row],[Class]]="A",WORKDAY(Main[[#This Row],[Tech Start Date]],2),""))))</f>
        <v/>
      </c>
      <c r="N1073" s="77" t="str">
        <f>IF(Main[[#This Row],[Tech Start Date]]&lt;1/1/1990,"",IF(Main[[#This Row],[Class]]="C",WORKDAY(Main[[#This Row],[Tech Start Date]],19),IF(Main[[#This Row],[Class]]="B", WORKDAY(Main[[#This Row],[Tech Start Date]],12),IF(Main[[#This Row],[Class]]="A",WORKDAY(Main[[#This Row],[Tech Start Date]],4),""))))</f>
        <v/>
      </c>
      <c r="O1073" s="77" t="str">
        <f>IF(Main[[#This Row],[Tech Start Date]]&lt;1/1/1990,"",IF(Main[[#This Row],[Class]]="C",WORKDAY(Main[[#This Row],[Tech Start Date]],23),IF(Main[[#This Row],[Class]]="B", WORKDAY(Main[[#This Row],[Tech Start Date]],15),IF(Main[[#This Row],[Class]]="A",WORKDAY(Main[[#This Row],[Tech Start Date]],5),""))))</f>
        <v/>
      </c>
      <c r="P1073" s="77" t="str">
        <f>IF(Main[[#This Row],[Tech Start Date]]&lt;1/1/1990,"",IF(Main[[#This Row],[Class]]="C",WORKDAY(Main[[#This Row],[Tech Start Date]],28),IF(Main[[#This Row],[Class]]="B", WORKDAY(Main[[#This Row],[Tech Start Date]],19),IF(Main[[#This Row],[Class]]="A",WORKDAY(Main[[#This Row],[Tech Start Date]],9),""))))</f>
        <v/>
      </c>
      <c r="Q1073" s="74"/>
      <c r="R1073" s="74"/>
      <c r="S1073" s="72" t="s">
        <v>6</v>
      </c>
      <c r="T1073" s="80" t="s">
        <v>4</v>
      </c>
      <c r="U1073" s="72" t="s">
        <v>29</v>
      </c>
      <c r="V1073" s="72" t="s">
        <v>1947</v>
      </c>
      <c r="W1073" s="72" t="s">
        <v>1941</v>
      </c>
      <c r="X1073" s="72" t="s">
        <v>3017</v>
      </c>
      <c r="Y1073" s="72" t="s">
        <v>3168</v>
      </c>
      <c r="Z1073" s="72" t="s">
        <v>30</v>
      </c>
    </row>
    <row r="1074" spans="1:26" ht="18.600000000000001" customHeight="1">
      <c r="A1074" s="142" t="str">
        <f>IF(priority(Main[[#This Row],[Comments]])&lt;&gt;0, priority(Main[[#This Row],[Comments]]),"")</f>
        <v/>
      </c>
      <c r="B1074" s="90" t="s">
        <v>2284</v>
      </c>
      <c r="C1074" s="72" t="s">
        <v>4</v>
      </c>
      <c r="D1074" s="73" t="s">
        <v>2285</v>
      </c>
      <c r="E1074" s="74">
        <v>40806.354490740741</v>
      </c>
      <c r="F1074" s="74"/>
      <c r="G1074" s="75" t="str">
        <f>IF(stdProdLT(Main[[#This Row],[Comments]])=0.1,"N/A",IF(stdProdLT(Main[[#This Row],[Comments]])=0,"",stdProdLT(Main[[#This Row],[Comments]])))</f>
        <v/>
      </c>
      <c r="H1074" s="76" t="str">
        <f>IF(AND(Main[[#This Row],[In Stock Date]]&lt;&gt;"",Main[[#This Row],[Revised Due Date]]&lt;&gt;""),Main[[#This Row],[In Stock Date]]-Main[[#This Row],[Revised Due Date]],"")</f>
        <v/>
      </c>
      <c r="I1074" s="72" t="s">
        <v>4</v>
      </c>
      <c r="J1074" s="72" t="s">
        <v>4</v>
      </c>
      <c r="K1074" s="72" t="s">
        <v>4</v>
      </c>
      <c r="L1074" s="74"/>
      <c r="M1074" s="77" t="str">
        <f>IF(Main[[#This Row],[Tech Start Date]]&lt;1/1/1990,"",IF(Main[[#This Row],[Class]]="C",WORKDAY(Main[[#This Row],[Tech Start Date]],9),IF(Main[[#This Row],[Class]]="B", WORKDAY(Main[[#This Row],[Tech Start Date]],6),IF(Main[[#This Row],[Class]]="A",WORKDAY(Main[[#This Row],[Tech Start Date]],2),""))))</f>
        <v/>
      </c>
      <c r="N1074" s="77" t="str">
        <f>IF(Main[[#This Row],[Tech Start Date]]&lt;1/1/1990,"",IF(Main[[#This Row],[Class]]="C",WORKDAY(Main[[#This Row],[Tech Start Date]],19),IF(Main[[#This Row],[Class]]="B", WORKDAY(Main[[#This Row],[Tech Start Date]],12),IF(Main[[#This Row],[Class]]="A",WORKDAY(Main[[#This Row],[Tech Start Date]],4),""))))</f>
        <v/>
      </c>
      <c r="O1074" s="77" t="str">
        <f>IF(Main[[#This Row],[Tech Start Date]]&lt;1/1/1990,"",IF(Main[[#This Row],[Class]]="C",WORKDAY(Main[[#This Row],[Tech Start Date]],23),IF(Main[[#This Row],[Class]]="B", WORKDAY(Main[[#This Row],[Tech Start Date]],15),IF(Main[[#This Row],[Class]]="A",WORKDAY(Main[[#This Row],[Tech Start Date]],5),""))))</f>
        <v/>
      </c>
      <c r="P1074" s="77" t="str">
        <f>IF(Main[[#This Row],[Tech Start Date]]&lt;1/1/1990,"",IF(Main[[#This Row],[Class]]="C",WORKDAY(Main[[#This Row],[Tech Start Date]],28),IF(Main[[#This Row],[Class]]="B", WORKDAY(Main[[#This Row],[Tech Start Date]],19),IF(Main[[#This Row],[Class]]="A",WORKDAY(Main[[#This Row],[Tech Start Date]],9),""))))</f>
        <v/>
      </c>
      <c r="Q1074" s="74"/>
      <c r="R1074" s="74"/>
      <c r="S1074" s="72" t="s">
        <v>17</v>
      </c>
      <c r="T1074" s="80" t="s">
        <v>4</v>
      </c>
      <c r="U1074" s="72" t="s">
        <v>7</v>
      </c>
      <c r="V1074" s="72" t="s">
        <v>1938</v>
      </c>
      <c r="W1074" s="72" t="s">
        <v>1939</v>
      </c>
      <c r="X1074" s="72" t="s">
        <v>3018</v>
      </c>
      <c r="Y1074" s="72" t="s">
        <v>3158</v>
      </c>
      <c r="Z1074" s="72" t="s">
        <v>4</v>
      </c>
    </row>
    <row r="1075" spans="1:26" ht="18.600000000000001" customHeight="1">
      <c r="A1075" s="142" t="str">
        <f>IF(priority(Main[[#This Row],[Comments]])&lt;&gt;0, priority(Main[[#This Row],[Comments]]),"")</f>
        <v/>
      </c>
      <c r="B1075" s="90" t="s">
        <v>2846</v>
      </c>
      <c r="C1075" s="72" t="s">
        <v>4</v>
      </c>
      <c r="D1075" s="73" t="s">
        <v>2847</v>
      </c>
      <c r="E1075" s="74">
        <v>40911.721898148149</v>
      </c>
      <c r="F1075" s="74"/>
      <c r="G1075" s="75" t="str">
        <f>IF(stdProdLT(Main[[#This Row],[Comments]])=0.1,"N/A",IF(stdProdLT(Main[[#This Row],[Comments]])=0,"",stdProdLT(Main[[#This Row],[Comments]])))</f>
        <v/>
      </c>
      <c r="H1075" s="76" t="str">
        <f>IF(AND(Main[[#This Row],[In Stock Date]]&lt;&gt;"",Main[[#This Row],[Revised Due Date]]&lt;&gt;""),Main[[#This Row],[In Stock Date]]-Main[[#This Row],[Revised Due Date]],"")</f>
        <v/>
      </c>
      <c r="I1075" s="72" t="s">
        <v>4</v>
      </c>
      <c r="J1075" s="72" t="s">
        <v>4</v>
      </c>
      <c r="K1075" s="72" t="s">
        <v>4</v>
      </c>
      <c r="L1075" s="74"/>
      <c r="M1075" s="77" t="str">
        <f>IF(Main[[#This Row],[Tech Start Date]]&lt;1/1/1990,"",IF(Main[[#This Row],[Class]]="C",WORKDAY(Main[[#This Row],[Tech Start Date]],9),IF(Main[[#This Row],[Class]]="B", WORKDAY(Main[[#This Row],[Tech Start Date]],6),IF(Main[[#This Row],[Class]]="A",WORKDAY(Main[[#This Row],[Tech Start Date]],2),""))))</f>
        <v/>
      </c>
      <c r="N1075" s="77" t="str">
        <f>IF(Main[[#This Row],[Tech Start Date]]&lt;1/1/1990,"",IF(Main[[#This Row],[Class]]="C",WORKDAY(Main[[#This Row],[Tech Start Date]],19),IF(Main[[#This Row],[Class]]="B", WORKDAY(Main[[#This Row],[Tech Start Date]],12),IF(Main[[#This Row],[Class]]="A",WORKDAY(Main[[#This Row],[Tech Start Date]],4),""))))</f>
        <v/>
      </c>
      <c r="O1075" s="77" t="str">
        <f>IF(Main[[#This Row],[Tech Start Date]]&lt;1/1/1990,"",IF(Main[[#This Row],[Class]]="C",WORKDAY(Main[[#This Row],[Tech Start Date]],23),IF(Main[[#This Row],[Class]]="B", WORKDAY(Main[[#This Row],[Tech Start Date]],15),IF(Main[[#This Row],[Class]]="A",WORKDAY(Main[[#This Row],[Tech Start Date]],5),""))))</f>
        <v/>
      </c>
      <c r="P1075" s="77" t="str">
        <f>IF(Main[[#This Row],[Tech Start Date]]&lt;1/1/1990,"",IF(Main[[#This Row],[Class]]="C",WORKDAY(Main[[#This Row],[Tech Start Date]],28),IF(Main[[#This Row],[Class]]="B", WORKDAY(Main[[#This Row],[Tech Start Date]],19),IF(Main[[#This Row],[Class]]="A",WORKDAY(Main[[#This Row],[Tech Start Date]],9),""))))</f>
        <v/>
      </c>
      <c r="Q1075" s="74">
        <v>41015</v>
      </c>
      <c r="R1075" s="74"/>
      <c r="S1075" s="72" t="s">
        <v>6</v>
      </c>
      <c r="T1075" s="80" t="s">
        <v>4</v>
      </c>
      <c r="U1075" s="72" t="s">
        <v>7</v>
      </c>
      <c r="V1075" s="72" t="s">
        <v>1952</v>
      </c>
      <c r="W1075" s="72" t="s">
        <v>1941</v>
      </c>
      <c r="X1075" s="72" t="s">
        <v>891</v>
      </c>
      <c r="Y1075" s="72" t="s">
        <v>3167</v>
      </c>
      <c r="Z1075" s="72" t="s">
        <v>4</v>
      </c>
    </row>
    <row r="1076" spans="1:26" ht="18.600000000000001" customHeight="1">
      <c r="A1076" s="142" t="str">
        <f>IF(priority(Main[[#This Row],[Comments]])&lt;&gt;0, priority(Main[[#This Row],[Comments]]),"")</f>
        <v/>
      </c>
      <c r="B1076" s="90" t="s">
        <v>1457</v>
      </c>
      <c r="C1076" s="72" t="s">
        <v>4</v>
      </c>
      <c r="D1076" s="73" t="s">
        <v>522</v>
      </c>
      <c r="E1076" s="74">
        <v>40584.460439814815</v>
      </c>
      <c r="F1076" s="74">
        <v>40599</v>
      </c>
      <c r="G1076" s="75" t="str">
        <f>IF(stdProdLT(Main[[#This Row],[Comments]])=0.1,"N/A",IF(stdProdLT(Main[[#This Row],[Comments]])=0,"",stdProdLT(Main[[#This Row],[Comments]])))</f>
        <v/>
      </c>
      <c r="H1076" s="76" t="str">
        <f>IF(AND(Main[[#This Row],[In Stock Date]]&lt;&gt;"",Main[[#This Row],[Revised Due Date]]&lt;&gt;""),Main[[#This Row],[In Stock Date]]-Main[[#This Row],[Revised Due Date]],"")</f>
        <v/>
      </c>
      <c r="I1076" s="72" t="s">
        <v>242</v>
      </c>
      <c r="J1076" s="72" t="s">
        <v>21</v>
      </c>
      <c r="K1076" s="81" t="s">
        <v>1946</v>
      </c>
      <c r="L1076" s="74"/>
      <c r="M1076" s="77" t="str">
        <f>IF(Main[[#This Row],[Tech Start Date]]&lt;1/1/1990,"",IF(Main[[#This Row],[Class]]="C",WORKDAY(Main[[#This Row],[Tech Start Date]],9),IF(Main[[#This Row],[Class]]="B", WORKDAY(Main[[#This Row],[Tech Start Date]],6),IF(Main[[#This Row],[Class]]="A",WORKDAY(Main[[#This Row],[Tech Start Date]],2),""))))</f>
        <v/>
      </c>
      <c r="N1076" s="77" t="str">
        <f>IF(Main[[#This Row],[Tech Start Date]]&lt;1/1/1990,"",IF(Main[[#This Row],[Class]]="C",WORKDAY(Main[[#This Row],[Tech Start Date]],19),IF(Main[[#This Row],[Class]]="B", WORKDAY(Main[[#This Row],[Tech Start Date]],12),IF(Main[[#This Row],[Class]]="A",WORKDAY(Main[[#This Row],[Tech Start Date]],4),""))))</f>
        <v/>
      </c>
      <c r="O1076" s="77" t="str">
        <f>IF(Main[[#This Row],[Tech Start Date]]&lt;1/1/1990,"",IF(Main[[#This Row],[Class]]="C",WORKDAY(Main[[#This Row],[Tech Start Date]],23),IF(Main[[#This Row],[Class]]="B", WORKDAY(Main[[#This Row],[Tech Start Date]],15),IF(Main[[#This Row],[Class]]="A",WORKDAY(Main[[#This Row],[Tech Start Date]],5),""))))</f>
        <v/>
      </c>
      <c r="P1076" s="77" t="str">
        <f>IF(Main[[#This Row],[Tech Start Date]]&lt;1/1/1990,"",IF(Main[[#This Row],[Class]]="C",WORKDAY(Main[[#This Row],[Tech Start Date]],28),IF(Main[[#This Row],[Class]]="B", WORKDAY(Main[[#This Row],[Tech Start Date]],19),IF(Main[[#This Row],[Class]]="A",WORKDAY(Main[[#This Row],[Tech Start Date]],9),""))))</f>
        <v/>
      </c>
      <c r="Q1076" s="74">
        <v>40599</v>
      </c>
      <c r="R1076" s="74"/>
      <c r="S1076" s="72" t="s">
        <v>6</v>
      </c>
      <c r="T1076" s="80" t="s">
        <v>4</v>
      </c>
      <c r="U1076" s="72" t="s">
        <v>29</v>
      </c>
      <c r="V1076" s="72" t="s">
        <v>1947</v>
      </c>
      <c r="W1076" s="72" t="s">
        <v>1939</v>
      </c>
      <c r="X1076" s="72" t="s">
        <v>421</v>
      </c>
      <c r="Y1076" s="72" t="s">
        <v>3133</v>
      </c>
      <c r="Z1076" s="72" t="s">
        <v>421</v>
      </c>
    </row>
    <row r="1077" spans="1:26" ht="18.600000000000001" customHeight="1">
      <c r="A1077" s="142" t="str">
        <f>IF(priority(Main[[#This Row],[Comments]])&lt;&gt;0, priority(Main[[#This Row],[Comments]]),"")</f>
        <v/>
      </c>
      <c r="B1077" s="90" t="s">
        <v>2857</v>
      </c>
      <c r="C1077" s="72" t="s">
        <v>4</v>
      </c>
      <c r="D1077" s="73" t="s">
        <v>2858</v>
      </c>
      <c r="E1077" s="74">
        <v>40905.635960648149</v>
      </c>
      <c r="F1077" s="74"/>
      <c r="G1077" s="75" t="str">
        <f>IF(stdProdLT(Main[[#This Row],[Comments]])=0.1,"N/A",IF(stdProdLT(Main[[#This Row],[Comments]])=0,"",stdProdLT(Main[[#This Row],[Comments]])))</f>
        <v/>
      </c>
      <c r="H1077" s="76" t="str">
        <f>IF(AND(Main[[#This Row],[In Stock Date]]&lt;&gt;"",Main[[#This Row],[Revised Due Date]]&lt;&gt;""),Main[[#This Row],[In Stock Date]]-Main[[#This Row],[Revised Due Date]],"")</f>
        <v/>
      </c>
      <c r="I1077" s="72" t="s">
        <v>536</v>
      </c>
      <c r="J1077" s="72" t="s">
        <v>52</v>
      </c>
      <c r="K1077" s="72" t="s">
        <v>1946</v>
      </c>
      <c r="L1077" s="74"/>
      <c r="M1077" s="77" t="str">
        <f>IF(Main[[#This Row],[Tech Start Date]]&lt;1/1/1990,"",IF(Main[[#This Row],[Class]]="C",WORKDAY(Main[[#This Row],[Tech Start Date]],9),IF(Main[[#This Row],[Class]]="B", WORKDAY(Main[[#This Row],[Tech Start Date]],6),IF(Main[[#This Row],[Class]]="A",WORKDAY(Main[[#This Row],[Tech Start Date]],2),""))))</f>
        <v/>
      </c>
      <c r="N1077" s="77" t="str">
        <f>IF(Main[[#This Row],[Tech Start Date]]&lt;1/1/1990,"",IF(Main[[#This Row],[Class]]="C",WORKDAY(Main[[#This Row],[Tech Start Date]],19),IF(Main[[#This Row],[Class]]="B", WORKDAY(Main[[#This Row],[Tech Start Date]],12),IF(Main[[#This Row],[Class]]="A",WORKDAY(Main[[#This Row],[Tech Start Date]],4),""))))</f>
        <v/>
      </c>
      <c r="O1077" s="77" t="str">
        <f>IF(Main[[#This Row],[Tech Start Date]]&lt;1/1/1990,"",IF(Main[[#This Row],[Class]]="C",WORKDAY(Main[[#This Row],[Tech Start Date]],23),IF(Main[[#This Row],[Class]]="B", WORKDAY(Main[[#This Row],[Tech Start Date]],15),IF(Main[[#This Row],[Class]]="A",WORKDAY(Main[[#This Row],[Tech Start Date]],5),""))))</f>
        <v/>
      </c>
      <c r="P1077" s="77" t="str">
        <f>IF(Main[[#This Row],[Tech Start Date]]&lt;1/1/1990,"",IF(Main[[#This Row],[Class]]="C",WORKDAY(Main[[#This Row],[Tech Start Date]],28),IF(Main[[#This Row],[Class]]="B", WORKDAY(Main[[#This Row],[Tech Start Date]],19),IF(Main[[#This Row],[Class]]="A",WORKDAY(Main[[#This Row],[Tech Start Date]],9),""))))</f>
        <v/>
      </c>
      <c r="Q1077" s="74">
        <v>41027</v>
      </c>
      <c r="R1077" s="74"/>
      <c r="S1077" s="72" t="s">
        <v>6</v>
      </c>
      <c r="T1077" s="80" t="s">
        <v>4</v>
      </c>
      <c r="U1077" s="72" t="s">
        <v>29</v>
      </c>
      <c r="V1077" s="72" t="s">
        <v>1940</v>
      </c>
      <c r="W1077" s="72" t="s">
        <v>1941</v>
      </c>
      <c r="X1077" s="72" t="s">
        <v>30</v>
      </c>
      <c r="Y1077" s="72" t="s">
        <v>3098</v>
      </c>
      <c r="Z1077" s="72" t="s">
        <v>30</v>
      </c>
    </row>
    <row r="1078" spans="1:26" ht="18.600000000000001" customHeight="1">
      <c r="A1078" s="142" t="str">
        <f>IF(priority(Main[[#This Row],[Comments]])&lt;&gt;0, priority(Main[[#This Row],[Comments]]),"")</f>
        <v/>
      </c>
      <c r="B1078" s="90" t="s">
        <v>2487</v>
      </c>
      <c r="C1078" s="72" t="s">
        <v>4</v>
      </c>
      <c r="D1078" s="73" t="s">
        <v>2488</v>
      </c>
      <c r="E1078" s="74">
        <v>40820.810810185183</v>
      </c>
      <c r="F1078" s="74"/>
      <c r="G1078" s="75" t="str">
        <f>IF(stdProdLT(Main[[#This Row],[Comments]])=0.1,"N/A",IF(stdProdLT(Main[[#This Row],[Comments]])=0,"",stdProdLT(Main[[#This Row],[Comments]])))</f>
        <v/>
      </c>
      <c r="H1078" s="76" t="str">
        <f>IF(AND(Main[[#This Row],[In Stock Date]]&lt;&gt;"",Main[[#This Row],[Revised Due Date]]&lt;&gt;""),Main[[#This Row],[In Stock Date]]-Main[[#This Row],[Revised Due Date]],"")</f>
        <v/>
      </c>
      <c r="I1078" s="72" t="s">
        <v>435</v>
      </c>
      <c r="J1078" s="72" t="s">
        <v>2003</v>
      </c>
      <c r="K1078" s="72" t="s">
        <v>1946</v>
      </c>
      <c r="L1078" s="74"/>
      <c r="M1078" s="77" t="str">
        <f>IF(Main[[#This Row],[Tech Start Date]]&lt;1/1/1990,"",IF(Main[[#This Row],[Class]]="C",WORKDAY(Main[[#This Row],[Tech Start Date]],9),IF(Main[[#This Row],[Class]]="B", WORKDAY(Main[[#This Row],[Tech Start Date]],6),IF(Main[[#This Row],[Class]]="A",WORKDAY(Main[[#This Row],[Tech Start Date]],2),""))))</f>
        <v/>
      </c>
      <c r="N1078" s="77" t="str">
        <f>IF(Main[[#This Row],[Tech Start Date]]&lt;1/1/1990,"",IF(Main[[#This Row],[Class]]="C",WORKDAY(Main[[#This Row],[Tech Start Date]],19),IF(Main[[#This Row],[Class]]="B", WORKDAY(Main[[#This Row],[Tech Start Date]],12),IF(Main[[#This Row],[Class]]="A",WORKDAY(Main[[#This Row],[Tech Start Date]],4),""))))</f>
        <v/>
      </c>
      <c r="O1078" s="77" t="str">
        <f>IF(Main[[#This Row],[Tech Start Date]]&lt;1/1/1990,"",IF(Main[[#This Row],[Class]]="C",WORKDAY(Main[[#This Row],[Tech Start Date]],23),IF(Main[[#This Row],[Class]]="B", WORKDAY(Main[[#This Row],[Tech Start Date]],15),IF(Main[[#This Row],[Class]]="A",WORKDAY(Main[[#This Row],[Tech Start Date]],5),""))))</f>
        <v/>
      </c>
      <c r="P1078" s="77" t="str">
        <f>IF(Main[[#This Row],[Tech Start Date]]&lt;1/1/1990,"",IF(Main[[#This Row],[Class]]="C",WORKDAY(Main[[#This Row],[Tech Start Date]],28),IF(Main[[#This Row],[Class]]="B", WORKDAY(Main[[#This Row],[Tech Start Date]],19),IF(Main[[#This Row],[Class]]="A",WORKDAY(Main[[#This Row],[Tech Start Date]],9),""))))</f>
        <v/>
      </c>
      <c r="Q1078" s="74">
        <v>40847</v>
      </c>
      <c r="R1078" s="74"/>
      <c r="S1078" s="72" t="s">
        <v>6</v>
      </c>
      <c r="T1078" s="80" t="s">
        <v>4</v>
      </c>
      <c r="U1078" s="72" t="s">
        <v>29</v>
      </c>
      <c r="V1078" s="72" t="s">
        <v>1940</v>
      </c>
      <c r="W1078" s="72" t="s">
        <v>1941</v>
      </c>
      <c r="X1078" s="72" t="s">
        <v>30</v>
      </c>
      <c r="Y1078" s="72" t="s">
        <v>3098</v>
      </c>
      <c r="Z1078" s="72" t="s">
        <v>30</v>
      </c>
    </row>
    <row r="1079" spans="1:26" ht="18.600000000000001" customHeight="1">
      <c r="A1079" s="142" t="str">
        <f>IF(priority(Main[[#This Row],[Comments]])&lt;&gt;0, priority(Main[[#This Row],[Comments]]),"")</f>
        <v/>
      </c>
      <c r="B1079" s="90" t="s">
        <v>2489</v>
      </c>
      <c r="C1079" s="72" t="s">
        <v>4</v>
      </c>
      <c r="D1079" s="73" t="s">
        <v>2490</v>
      </c>
      <c r="E1079" s="74">
        <v>40834.538703703707</v>
      </c>
      <c r="F1079" s="74"/>
      <c r="G1079" s="75" t="str">
        <f>IF(stdProdLT(Main[[#This Row],[Comments]])=0.1,"N/A",IF(stdProdLT(Main[[#This Row],[Comments]])=0,"",stdProdLT(Main[[#This Row],[Comments]])))</f>
        <v/>
      </c>
      <c r="H1079" s="76" t="str">
        <f>IF(AND(Main[[#This Row],[In Stock Date]]&lt;&gt;"",Main[[#This Row],[Revised Due Date]]&lt;&gt;""),Main[[#This Row],[In Stock Date]]-Main[[#This Row],[Revised Due Date]],"")</f>
        <v/>
      </c>
      <c r="I1079" s="72" t="s">
        <v>4</v>
      </c>
      <c r="J1079" s="72" t="s">
        <v>4</v>
      </c>
      <c r="K1079" s="72" t="s">
        <v>4</v>
      </c>
      <c r="L1079" s="74"/>
      <c r="M1079" s="77" t="str">
        <f>IF(Main[[#This Row],[Tech Start Date]]&lt;1/1/1990,"",IF(Main[[#This Row],[Class]]="C",WORKDAY(Main[[#This Row],[Tech Start Date]],9),IF(Main[[#This Row],[Class]]="B", WORKDAY(Main[[#This Row],[Tech Start Date]],6),IF(Main[[#This Row],[Class]]="A",WORKDAY(Main[[#This Row],[Tech Start Date]],2),""))))</f>
        <v/>
      </c>
      <c r="N1079" s="77" t="str">
        <f>IF(Main[[#This Row],[Tech Start Date]]&lt;1/1/1990,"",IF(Main[[#This Row],[Class]]="C",WORKDAY(Main[[#This Row],[Tech Start Date]],19),IF(Main[[#This Row],[Class]]="B", WORKDAY(Main[[#This Row],[Tech Start Date]],12),IF(Main[[#This Row],[Class]]="A",WORKDAY(Main[[#This Row],[Tech Start Date]],4),""))))</f>
        <v/>
      </c>
      <c r="O1079" s="77" t="str">
        <f>IF(Main[[#This Row],[Tech Start Date]]&lt;1/1/1990,"",IF(Main[[#This Row],[Class]]="C",WORKDAY(Main[[#This Row],[Tech Start Date]],23),IF(Main[[#This Row],[Class]]="B", WORKDAY(Main[[#This Row],[Tech Start Date]],15),IF(Main[[#This Row],[Class]]="A",WORKDAY(Main[[#This Row],[Tech Start Date]],5),""))))</f>
        <v/>
      </c>
      <c r="P1079" s="77" t="str">
        <f>IF(Main[[#This Row],[Tech Start Date]]&lt;1/1/1990,"",IF(Main[[#This Row],[Class]]="C",WORKDAY(Main[[#This Row],[Tech Start Date]],28),IF(Main[[#This Row],[Class]]="B", WORKDAY(Main[[#This Row],[Tech Start Date]],19),IF(Main[[#This Row],[Class]]="A",WORKDAY(Main[[#This Row],[Tech Start Date]],9),""))))</f>
        <v/>
      </c>
      <c r="Q1079" s="74"/>
      <c r="R1079" s="74"/>
      <c r="S1079" s="72" t="s">
        <v>6</v>
      </c>
      <c r="T1079" s="80" t="s">
        <v>4</v>
      </c>
      <c r="U1079" s="72" t="s">
        <v>29</v>
      </c>
      <c r="V1079" s="72" t="s">
        <v>1937</v>
      </c>
      <c r="W1079" s="72" t="s">
        <v>1939</v>
      </c>
      <c r="X1079" s="72" t="s">
        <v>311</v>
      </c>
      <c r="Y1079" s="72" t="s">
        <v>4</v>
      </c>
      <c r="Z1079" s="72" t="s">
        <v>4</v>
      </c>
    </row>
    <row r="1080" spans="1:26" ht="18.600000000000001" customHeight="1">
      <c r="A1080" s="142" t="str">
        <f>IF(priority(Main[[#This Row],[Comments]])&lt;&gt;0, priority(Main[[#This Row],[Comments]]),"")</f>
        <v/>
      </c>
      <c r="B1080" s="90" t="s">
        <v>2492</v>
      </c>
      <c r="C1080" s="72" t="s">
        <v>2390</v>
      </c>
      <c r="D1080" s="73" t="s">
        <v>2493</v>
      </c>
      <c r="E1080" s="74"/>
      <c r="F1080" s="74">
        <v>40940</v>
      </c>
      <c r="G1080" s="75" t="str">
        <f>IF(stdProdLT(Main[[#This Row],[Comments]])=0.1,"N/A",IF(stdProdLT(Main[[#This Row],[Comments]])=0,"",stdProdLT(Main[[#This Row],[Comments]])))</f>
        <v/>
      </c>
      <c r="H1080" s="76" t="str">
        <f>IF(AND(Main[[#This Row],[In Stock Date]]&lt;&gt;"",Main[[#This Row],[Revised Due Date]]&lt;&gt;""),Main[[#This Row],[In Stock Date]]-Main[[#This Row],[Revised Due Date]],"")</f>
        <v/>
      </c>
      <c r="I1080" s="72" t="s">
        <v>4</v>
      </c>
      <c r="J1080" s="72" t="s">
        <v>4</v>
      </c>
      <c r="K1080" s="72" t="s">
        <v>4</v>
      </c>
      <c r="L1080" s="74"/>
      <c r="M1080" s="77" t="str">
        <f>IF(Main[[#This Row],[Tech Start Date]]&lt;1/1/1990,"",IF(Main[[#This Row],[Class]]="C",WORKDAY(Main[[#This Row],[Tech Start Date]],9),IF(Main[[#This Row],[Class]]="B", WORKDAY(Main[[#This Row],[Tech Start Date]],6),IF(Main[[#This Row],[Class]]="A",WORKDAY(Main[[#This Row],[Tech Start Date]],2),""))))</f>
        <v/>
      </c>
      <c r="N1080" s="77" t="str">
        <f>IF(Main[[#This Row],[Tech Start Date]]&lt;1/1/1990,"",IF(Main[[#This Row],[Class]]="C",WORKDAY(Main[[#This Row],[Tech Start Date]],19),IF(Main[[#This Row],[Class]]="B", WORKDAY(Main[[#This Row],[Tech Start Date]],12),IF(Main[[#This Row],[Class]]="A",WORKDAY(Main[[#This Row],[Tech Start Date]],4),""))))</f>
        <v/>
      </c>
      <c r="O1080" s="77" t="str">
        <f>IF(Main[[#This Row],[Tech Start Date]]&lt;1/1/1990,"",IF(Main[[#This Row],[Class]]="C",WORKDAY(Main[[#This Row],[Tech Start Date]],23),IF(Main[[#This Row],[Class]]="B", WORKDAY(Main[[#This Row],[Tech Start Date]],15),IF(Main[[#This Row],[Class]]="A",WORKDAY(Main[[#This Row],[Tech Start Date]],5),""))))</f>
        <v/>
      </c>
      <c r="P1080" s="77" t="str">
        <f>IF(Main[[#This Row],[Tech Start Date]]&lt;1/1/1990,"",IF(Main[[#This Row],[Class]]="C",WORKDAY(Main[[#This Row],[Tech Start Date]],28),IF(Main[[#This Row],[Class]]="B", WORKDAY(Main[[#This Row],[Tech Start Date]],19),IF(Main[[#This Row],[Class]]="A",WORKDAY(Main[[#This Row],[Tech Start Date]],9),""))))</f>
        <v/>
      </c>
      <c r="Q1080" s="74">
        <v>40878</v>
      </c>
      <c r="R1080" s="74"/>
      <c r="S1080" s="72" t="s">
        <v>11</v>
      </c>
      <c r="T1080" s="80" t="s">
        <v>4</v>
      </c>
      <c r="U1080" s="72" t="s">
        <v>14</v>
      </c>
      <c r="V1080" s="72" t="s">
        <v>1947</v>
      </c>
      <c r="W1080" s="72" t="s">
        <v>1945</v>
      </c>
      <c r="X1080" s="72" t="s">
        <v>3000</v>
      </c>
      <c r="Y1080" s="72" t="s">
        <v>3137</v>
      </c>
      <c r="Z1080" s="72" t="s">
        <v>4</v>
      </c>
    </row>
    <row r="1081" spans="1:26" ht="18.600000000000001" customHeight="1">
      <c r="A1081" s="142" t="str">
        <f>IF(priority(Main[[#This Row],[Comments]])&lt;&gt;0, priority(Main[[#This Row],[Comments]]),"")</f>
        <v/>
      </c>
      <c r="B1081" s="90" t="s">
        <v>2010</v>
      </c>
      <c r="C1081" s="72" t="s">
        <v>4</v>
      </c>
      <c r="D1081" s="73" t="s">
        <v>2495</v>
      </c>
      <c r="E1081" s="74">
        <v>40737.702951388892</v>
      </c>
      <c r="F1081" s="74">
        <v>40755</v>
      </c>
      <c r="G1081" s="75" t="str">
        <f>IF(stdProdLT(Main[[#This Row],[Comments]])=0.1,"N/A",IF(stdProdLT(Main[[#This Row],[Comments]])=0,"",stdProdLT(Main[[#This Row],[Comments]])))</f>
        <v/>
      </c>
      <c r="H1081" s="76" t="str">
        <f>IF(AND(Main[[#This Row],[In Stock Date]]&lt;&gt;"",Main[[#This Row],[Revised Due Date]]&lt;&gt;""),Main[[#This Row],[In Stock Date]]-Main[[#This Row],[Revised Due Date]],"")</f>
        <v/>
      </c>
      <c r="I1081" s="72" t="s">
        <v>536</v>
      </c>
      <c r="J1081" s="72" t="s">
        <v>21</v>
      </c>
      <c r="K1081" s="72" t="s">
        <v>1946</v>
      </c>
      <c r="L1081" s="74"/>
      <c r="M1081" s="77" t="str">
        <f>IF(Main[[#This Row],[Tech Start Date]]&lt;1/1/1990,"",IF(Main[[#This Row],[Class]]="C",WORKDAY(Main[[#This Row],[Tech Start Date]],9),IF(Main[[#This Row],[Class]]="B", WORKDAY(Main[[#This Row],[Tech Start Date]],6),IF(Main[[#This Row],[Class]]="A",WORKDAY(Main[[#This Row],[Tech Start Date]],2),""))))</f>
        <v/>
      </c>
      <c r="N1081" s="77" t="str">
        <f>IF(Main[[#This Row],[Tech Start Date]]&lt;1/1/1990,"",IF(Main[[#This Row],[Class]]="C",WORKDAY(Main[[#This Row],[Tech Start Date]],19),IF(Main[[#This Row],[Class]]="B", WORKDAY(Main[[#This Row],[Tech Start Date]],12),IF(Main[[#This Row],[Class]]="A",WORKDAY(Main[[#This Row],[Tech Start Date]],4),""))))</f>
        <v/>
      </c>
      <c r="O1081" s="77" t="str">
        <f>IF(Main[[#This Row],[Tech Start Date]]&lt;1/1/1990,"",IF(Main[[#This Row],[Class]]="C",WORKDAY(Main[[#This Row],[Tech Start Date]],23),IF(Main[[#This Row],[Class]]="B", WORKDAY(Main[[#This Row],[Tech Start Date]],15),IF(Main[[#This Row],[Class]]="A",WORKDAY(Main[[#This Row],[Tech Start Date]],5),""))))</f>
        <v/>
      </c>
      <c r="P1081" s="77" t="str">
        <f>IF(Main[[#This Row],[Tech Start Date]]&lt;1/1/1990,"",IF(Main[[#This Row],[Class]]="C",WORKDAY(Main[[#This Row],[Tech Start Date]],28),IF(Main[[#This Row],[Class]]="B", WORKDAY(Main[[#This Row],[Tech Start Date]],19),IF(Main[[#This Row],[Class]]="A",WORKDAY(Main[[#This Row],[Tech Start Date]],9),""))))</f>
        <v/>
      </c>
      <c r="Q1081" s="74">
        <v>40770</v>
      </c>
      <c r="R1081" s="74"/>
      <c r="S1081" s="72" t="s">
        <v>6</v>
      </c>
      <c r="T1081" s="80" t="s">
        <v>4</v>
      </c>
      <c r="U1081" s="72" t="s">
        <v>29</v>
      </c>
      <c r="V1081" s="72" t="s">
        <v>1947</v>
      </c>
      <c r="W1081" s="72" t="s">
        <v>1941</v>
      </c>
      <c r="X1081" s="72" t="s">
        <v>2993</v>
      </c>
      <c r="Y1081" s="72" t="s">
        <v>3129</v>
      </c>
      <c r="Z1081" s="72" t="s">
        <v>30</v>
      </c>
    </row>
    <row r="1082" spans="1:26" ht="18.600000000000001" customHeight="1">
      <c r="A1082" s="142" t="str">
        <f>IF(priority(Main[[#This Row],[Comments]])&lt;&gt;0, priority(Main[[#This Row],[Comments]]),"")</f>
        <v/>
      </c>
      <c r="B1082" s="90" t="s">
        <v>2859</v>
      </c>
      <c r="C1082" s="72" t="s">
        <v>4</v>
      </c>
      <c r="D1082" s="73" t="s">
        <v>2860</v>
      </c>
      <c r="E1082" s="74">
        <v>40911.432222222225</v>
      </c>
      <c r="F1082" s="74"/>
      <c r="G1082" s="75" t="str">
        <f>IF(stdProdLT(Main[[#This Row],[Comments]])=0.1,"N/A",IF(stdProdLT(Main[[#This Row],[Comments]])=0,"",stdProdLT(Main[[#This Row],[Comments]])))</f>
        <v/>
      </c>
      <c r="H1082" s="76" t="str">
        <f>IF(AND(Main[[#This Row],[In Stock Date]]&lt;&gt;"",Main[[#This Row],[Revised Due Date]]&lt;&gt;""),Main[[#This Row],[In Stock Date]]-Main[[#This Row],[Revised Due Date]],"")</f>
        <v/>
      </c>
      <c r="I1082" s="72" t="s">
        <v>953</v>
      </c>
      <c r="J1082" s="72" t="s">
        <v>52</v>
      </c>
      <c r="K1082" s="72" t="s">
        <v>1946</v>
      </c>
      <c r="L1082" s="74"/>
      <c r="M1082" s="77" t="str">
        <f>IF(Main[[#This Row],[Tech Start Date]]&lt;1/1/1990,"",IF(Main[[#This Row],[Class]]="C",WORKDAY(Main[[#This Row],[Tech Start Date]],9),IF(Main[[#This Row],[Class]]="B", WORKDAY(Main[[#This Row],[Tech Start Date]],6),IF(Main[[#This Row],[Class]]="A",WORKDAY(Main[[#This Row],[Tech Start Date]],2),""))))</f>
        <v/>
      </c>
      <c r="N1082" s="77" t="str">
        <f>IF(Main[[#This Row],[Tech Start Date]]&lt;1/1/1990,"",IF(Main[[#This Row],[Class]]="C",WORKDAY(Main[[#This Row],[Tech Start Date]],19),IF(Main[[#This Row],[Class]]="B", WORKDAY(Main[[#This Row],[Tech Start Date]],12),IF(Main[[#This Row],[Class]]="A",WORKDAY(Main[[#This Row],[Tech Start Date]],4),""))))</f>
        <v/>
      </c>
      <c r="O1082" s="77" t="str">
        <f>IF(Main[[#This Row],[Tech Start Date]]&lt;1/1/1990,"",IF(Main[[#This Row],[Class]]="C",WORKDAY(Main[[#This Row],[Tech Start Date]],23),IF(Main[[#This Row],[Class]]="B", WORKDAY(Main[[#This Row],[Tech Start Date]],15),IF(Main[[#This Row],[Class]]="A",WORKDAY(Main[[#This Row],[Tech Start Date]],5),""))))</f>
        <v/>
      </c>
      <c r="P1082" s="77" t="str">
        <f>IF(Main[[#This Row],[Tech Start Date]]&lt;1/1/1990,"",IF(Main[[#This Row],[Class]]="C",WORKDAY(Main[[#This Row],[Tech Start Date]],28),IF(Main[[#This Row],[Class]]="B", WORKDAY(Main[[#This Row],[Tech Start Date]],19),IF(Main[[#This Row],[Class]]="A",WORKDAY(Main[[#This Row],[Tech Start Date]],9),""))))</f>
        <v/>
      </c>
      <c r="Q1082" s="74"/>
      <c r="R1082" s="74"/>
      <c r="S1082" s="72" t="s">
        <v>6</v>
      </c>
      <c r="T1082" s="80" t="s">
        <v>4</v>
      </c>
      <c r="U1082" s="72" t="s">
        <v>29</v>
      </c>
      <c r="V1082" s="72" t="s">
        <v>1937</v>
      </c>
      <c r="W1082" s="72" t="s">
        <v>1941</v>
      </c>
      <c r="X1082" s="72" t="s">
        <v>2239</v>
      </c>
      <c r="Y1082" s="72" t="s">
        <v>3288</v>
      </c>
      <c r="Z1082" s="72" t="s">
        <v>927</v>
      </c>
    </row>
    <row r="1083" spans="1:26" ht="18.600000000000001" customHeight="1">
      <c r="A1083" s="142" t="str">
        <f>IF(priority(Main[[#This Row],[Comments]])&lt;&gt;0, priority(Main[[#This Row],[Comments]]),"")</f>
        <v/>
      </c>
      <c r="B1083" s="90" t="s">
        <v>2739</v>
      </c>
      <c r="C1083" s="72" t="s">
        <v>4</v>
      </c>
      <c r="D1083" s="73" t="s">
        <v>2740</v>
      </c>
      <c r="E1083" s="74">
        <v>40879.618761574071</v>
      </c>
      <c r="F1083" s="74"/>
      <c r="G1083" s="75" t="str">
        <f>IF(stdProdLT(Main[[#This Row],[Comments]])=0.1,"N/A",IF(stdProdLT(Main[[#This Row],[Comments]])=0,"",stdProdLT(Main[[#This Row],[Comments]])))</f>
        <v/>
      </c>
      <c r="H1083" s="76" t="str">
        <f>IF(AND(Main[[#This Row],[In Stock Date]]&lt;&gt;"",Main[[#This Row],[Revised Due Date]]&lt;&gt;""),Main[[#This Row],[In Stock Date]]-Main[[#This Row],[Revised Due Date]],"")</f>
        <v/>
      </c>
      <c r="I1083" s="72" t="s">
        <v>4</v>
      </c>
      <c r="J1083" s="72" t="s">
        <v>4</v>
      </c>
      <c r="K1083" s="81" t="s">
        <v>4</v>
      </c>
      <c r="L1083" s="74"/>
      <c r="M1083" s="77" t="str">
        <f>IF(Main[[#This Row],[Tech Start Date]]&lt;1/1/1990,"",IF(Main[[#This Row],[Class]]="C",WORKDAY(Main[[#This Row],[Tech Start Date]],9),IF(Main[[#This Row],[Class]]="B", WORKDAY(Main[[#This Row],[Tech Start Date]],6),IF(Main[[#This Row],[Class]]="A",WORKDAY(Main[[#This Row],[Tech Start Date]],2),""))))</f>
        <v/>
      </c>
      <c r="N1083" s="77" t="str">
        <f>IF(Main[[#This Row],[Tech Start Date]]&lt;1/1/1990,"",IF(Main[[#This Row],[Class]]="C",WORKDAY(Main[[#This Row],[Tech Start Date]],19),IF(Main[[#This Row],[Class]]="B", WORKDAY(Main[[#This Row],[Tech Start Date]],12),IF(Main[[#This Row],[Class]]="A",WORKDAY(Main[[#This Row],[Tech Start Date]],4),""))))</f>
        <v/>
      </c>
      <c r="O1083" s="77" t="str">
        <f>IF(Main[[#This Row],[Tech Start Date]]&lt;1/1/1990,"",IF(Main[[#This Row],[Class]]="C",WORKDAY(Main[[#This Row],[Tech Start Date]],23),IF(Main[[#This Row],[Class]]="B", WORKDAY(Main[[#This Row],[Tech Start Date]],15),IF(Main[[#This Row],[Class]]="A",WORKDAY(Main[[#This Row],[Tech Start Date]],5),""))))</f>
        <v/>
      </c>
      <c r="P1083" s="77" t="str">
        <f>IF(Main[[#This Row],[Tech Start Date]]&lt;1/1/1990,"",IF(Main[[#This Row],[Class]]="C",WORKDAY(Main[[#This Row],[Tech Start Date]],28),IF(Main[[#This Row],[Class]]="B", WORKDAY(Main[[#This Row],[Tech Start Date]],19),IF(Main[[#This Row],[Class]]="A",WORKDAY(Main[[#This Row],[Tech Start Date]],9),""))))</f>
        <v/>
      </c>
      <c r="Q1083" s="74"/>
      <c r="R1083" s="74"/>
      <c r="S1083" s="72" t="s">
        <v>17</v>
      </c>
      <c r="T1083" s="80" t="s">
        <v>4</v>
      </c>
      <c r="U1083" s="72" t="s">
        <v>7</v>
      </c>
      <c r="V1083" s="72" t="s">
        <v>1940</v>
      </c>
      <c r="W1083" s="72" t="s">
        <v>1942</v>
      </c>
      <c r="X1083" s="72" t="s">
        <v>560</v>
      </c>
      <c r="Y1083" s="72" t="s">
        <v>3110</v>
      </c>
      <c r="Z1083" s="72" t="s">
        <v>4</v>
      </c>
    </row>
    <row r="1084" spans="1:26" ht="18.600000000000001" customHeight="1">
      <c r="A1084" s="142" t="str">
        <f>IF(priority(Main[[#This Row],[Comments]])&lt;&gt;0, priority(Main[[#This Row],[Comments]]),"")</f>
        <v/>
      </c>
      <c r="B1084" s="90" t="s">
        <v>1879</v>
      </c>
      <c r="C1084" s="72" t="s">
        <v>95</v>
      </c>
      <c r="D1084" s="73" t="s">
        <v>928</v>
      </c>
      <c r="E1084" s="74">
        <v>40428.412002314813</v>
      </c>
      <c r="F1084" s="74"/>
      <c r="G1084" s="75" t="str">
        <f>IF(stdProdLT(Main[[#This Row],[Comments]])=0.1,"N/A",IF(stdProdLT(Main[[#This Row],[Comments]])=0,"",stdProdLT(Main[[#This Row],[Comments]])))</f>
        <v/>
      </c>
      <c r="H1084" s="76" t="str">
        <f>IF(AND(Main[[#This Row],[In Stock Date]]&lt;&gt;"",Main[[#This Row],[Revised Due Date]]&lt;&gt;""),Main[[#This Row],[In Stock Date]]-Main[[#This Row],[Revised Due Date]],"")</f>
        <v/>
      </c>
      <c r="I1084" s="72" t="s">
        <v>421</v>
      </c>
      <c r="J1084" s="72" t="s">
        <v>28</v>
      </c>
      <c r="K1084" s="72" t="s">
        <v>1949</v>
      </c>
      <c r="L1084" s="74"/>
      <c r="M1084" s="77" t="str">
        <f>IF(Main[[#This Row],[Tech Start Date]]&lt;1/1/1990,"",IF(Main[[#This Row],[Class]]="C",WORKDAY(Main[[#This Row],[Tech Start Date]],9),IF(Main[[#This Row],[Class]]="B", WORKDAY(Main[[#This Row],[Tech Start Date]],6),IF(Main[[#This Row],[Class]]="A",WORKDAY(Main[[#This Row],[Tech Start Date]],2),""))))</f>
        <v/>
      </c>
      <c r="N1084" s="77" t="str">
        <f>IF(Main[[#This Row],[Tech Start Date]]&lt;1/1/1990,"",IF(Main[[#This Row],[Class]]="C",WORKDAY(Main[[#This Row],[Tech Start Date]],19),IF(Main[[#This Row],[Class]]="B", WORKDAY(Main[[#This Row],[Tech Start Date]],12),IF(Main[[#This Row],[Class]]="A",WORKDAY(Main[[#This Row],[Tech Start Date]],4),""))))</f>
        <v/>
      </c>
      <c r="O1084" s="77" t="str">
        <f>IF(Main[[#This Row],[Tech Start Date]]&lt;1/1/1990,"",IF(Main[[#This Row],[Class]]="C",WORKDAY(Main[[#This Row],[Tech Start Date]],23),IF(Main[[#This Row],[Class]]="B", WORKDAY(Main[[#This Row],[Tech Start Date]],15),IF(Main[[#This Row],[Class]]="A",WORKDAY(Main[[#This Row],[Tech Start Date]],5),""))))</f>
        <v/>
      </c>
      <c r="P1084" s="77" t="str">
        <f>IF(Main[[#This Row],[Tech Start Date]]&lt;1/1/1990,"",IF(Main[[#This Row],[Class]]="C",WORKDAY(Main[[#This Row],[Tech Start Date]],28),IF(Main[[#This Row],[Class]]="B", WORKDAY(Main[[#This Row],[Tech Start Date]],19),IF(Main[[#This Row],[Class]]="A",WORKDAY(Main[[#This Row],[Tech Start Date]],9),""))))</f>
        <v/>
      </c>
      <c r="Q1084" s="74">
        <v>40574</v>
      </c>
      <c r="R1084" s="74">
        <v>41046</v>
      </c>
      <c r="S1084" s="72" t="s">
        <v>17</v>
      </c>
      <c r="T1084" s="80" t="s">
        <v>4</v>
      </c>
      <c r="U1084" s="72" t="s">
        <v>29</v>
      </c>
      <c r="V1084" s="72" t="s">
        <v>1940</v>
      </c>
      <c r="W1084" s="72" t="s">
        <v>1943</v>
      </c>
      <c r="X1084" s="72" t="s">
        <v>421</v>
      </c>
      <c r="Y1084" s="72" t="s">
        <v>3133</v>
      </c>
      <c r="Z1084" s="72" t="s">
        <v>984</v>
      </c>
    </row>
    <row r="1085" spans="1:26" ht="18.600000000000001" customHeight="1">
      <c r="A1085" s="142" t="str">
        <f>IF(priority(Main[[#This Row],[Comments]])&lt;&gt;0, priority(Main[[#This Row],[Comments]]),"")</f>
        <v/>
      </c>
      <c r="B1085" s="90" t="s">
        <v>2476</v>
      </c>
      <c r="C1085" s="72" t="s">
        <v>4</v>
      </c>
      <c r="D1085" s="73" t="s">
        <v>2477</v>
      </c>
      <c r="E1085" s="74">
        <v>40822.361354166664</v>
      </c>
      <c r="F1085" s="74"/>
      <c r="G1085" s="75" t="str">
        <f>IF(stdProdLT(Main[[#This Row],[Comments]])=0.1,"N/A",IF(stdProdLT(Main[[#This Row],[Comments]])=0,"",stdProdLT(Main[[#This Row],[Comments]])))</f>
        <v/>
      </c>
      <c r="H1085" s="76" t="str">
        <f>IF(AND(Main[[#This Row],[In Stock Date]]&lt;&gt;"",Main[[#This Row],[Revised Due Date]]&lt;&gt;""),Main[[#This Row],[In Stock Date]]-Main[[#This Row],[Revised Due Date]],"")</f>
        <v/>
      </c>
      <c r="I1085" s="72" t="s">
        <v>4</v>
      </c>
      <c r="J1085" s="72" t="s">
        <v>4</v>
      </c>
      <c r="K1085" s="72" t="s">
        <v>4</v>
      </c>
      <c r="L1085" s="74"/>
      <c r="M1085" s="77" t="str">
        <f>IF(Main[[#This Row],[Tech Start Date]]&lt;1/1/1990,"",IF(Main[[#This Row],[Class]]="C",WORKDAY(Main[[#This Row],[Tech Start Date]],9),IF(Main[[#This Row],[Class]]="B", WORKDAY(Main[[#This Row],[Tech Start Date]],6),IF(Main[[#This Row],[Class]]="A",WORKDAY(Main[[#This Row],[Tech Start Date]],2),""))))</f>
        <v/>
      </c>
      <c r="N1085" s="77" t="str">
        <f>IF(Main[[#This Row],[Tech Start Date]]&lt;1/1/1990,"",IF(Main[[#This Row],[Class]]="C",WORKDAY(Main[[#This Row],[Tech Start Date]],19),IF(Main[[#This Row],[Class]]="B", WORKDAY(Main[[#This Row],[Tech Start Date]],12),IF(Main[[#This Row],[Class]]="A",WORKDAY(Main[[#This Row],[Tech Start Date]],4),""))))</f>
        <v/>
      </c>
      <c r="O1085" s="77" t="str">
        <f>IF(Main[[#This Row],[Tech Start Date]]&lt;1/1/1990,"",IF(Main[[#This Row],[Class]]="C",WORKDAY(Main[[#This Row],[Tech Start Date]],23),IF(Main[[#This Row],[Class]]="B", WORKDAY(Main[[#This Row],[Tech Start Date]],15),IF(Main[[#This Row],[Class]]="A",WORKDAY(Main[[#This Row],[Tech Start Date]],5),""))))</f>
        <v/>
      </c>
      <c r="P1085" s="77" t="str">
        <f>IF(Main[[#This Row],[Tech Start Date]]&lt;1/1/1990,"",IF(Main[[#This Row],[Class]]="C",WORKDAY(Main[[#This Row],[Tech Start Date]],28),IF(Main[[#This Row],[Class]]="B", WORKDAY(Main[[#This Row],[Tech Start Date]],19),IF(Main[[#This Row],[Class]]="A",WORKDAY(Main[[#This Row],[Tech Start Date]],9),""))))</f>
        <v/>
      </c>
      <c r="Q1085" s="74">
        <v>40872</v>
      </c>
      <c r="R1085" s="74"/>
      <c r="S1085" s="72" t="s">
        <v>6</v>
      </c>
      <c r="T1085" s="80" t="s">
        <v>4</v>
      </c>
      <c r="U1085" s="72" t="s">
        <v>7</v>
      </c>
      <c r="V1085" s="72" t="s">
        <v>1937</v>
      </c>
      <c r="W1085" s="72" t="s">
        <v>4</v>
      </c>
      <c r="X1085" s="72" t="s">
        <v>2974</v>
      </c>
      <c r="Y1085" s="72" t="s">
        <v>3096</v>
      </c>
      <c r="Z1085" s="72" t="s">
        <v>4</v>
      </c>
    </row>
    <row r="1086" spans="1:26" ht="18.600000000000001" customHeight="1">
      <c r="A1086" s="142" t="str">
        <f>IF(priority(Main[[#This Row],[Comments]])&lt;&gt;0, priority(Main[[#This Row],[Comments]]),"")</f>
        <v/>
      </c>
      <c r="B1086" s="90" t="s">
        <v>2478</v>
      </c>
      <c r="C1086" s="72" t="s">
        <v>4</v>
      </c>
      <c r="D1086" s="73" t="s">
        <v>2479</v>
      </c>
      <c r="E1086" s="74">
        <v>40861.647233796299</v>
      </c>
      <c r="F1086" s="74"/>
      <c r="G1086" s="75" t="str">
        <f>IF(stdProdLT(Main[[#This Row],[Comments]])=0.1,"N/A",IF(stdProdLT(Main[[#This Row],[Comments]])=0,"",stdProdLT(Main[[#This Row],[Comments]])))</f>
        <v/>
      </c>
      <c r="H1086" s="76" t="str">
        <f>IF(AND(Main[[#This Row],[In Stock Date]]&lt;&gt;"",Main[[#This Row],[Revised Due Date]]&lt;&gt;""),Main[[#This Row],[In Stock Date]]-Main[[#This Row],[Revised Due Date]],"")</f>
        <v/>
      </c>
      <c r="I1086" s="72" t="s">
        <v>777</v>
      </c>
      <c r="J1086" s="72" t="s">
        <v>52</v>
      </c>
      <c r="K1086" s="72" t="s">
        <v>1946</v>
      </c>
      <c r="L1086" s="74"/>
      <c r="M1086" s="77" t="str">
        <f>IF(Main[[#This Row],[Tech Start Date]]&lt;1/1/1990,"",IF(Main[[#This Row],[Class]]="C",WORKDAY(Main[[#This Row],[Tech Start Date]],9),IF(Main[[#This Row],[Class]]="B", WORKDAY(Main[[#This Row],[Tech Start Date]],6),IF(Main[[#This Row],[Class]]="A",WORKDAY(Main[[#This Row],[Tech Start Date]],2),""))))</f>
        <v/>
      </c>
      <c r="N1086" s="77" t="str">
        <f>IF(Main[[#This Row],[Tech Start Date]]&lt;1/1/1990,"",IF(Main[[#This Row],[Class]]="C",WORKDAY(Main[[#This Row],[Tech Start Date]],19),IF(Main[[#This Row],[Class]]="B", WORKDAY(Main[[#This Row],[Tech Start Date]],12),IF(Main[[#This Row],[Class]]="A",WORKDAY(Main[[#This Row],[Tech Start Date]],4),""))))</f>
        <v/>
      </c>
      <c r="O1086" s="77" t="str">
        <f>IF(Main[[#This Row],[Tech Start Date]]&lt;1/1/1990,"",IF(Main[[#This Row],[Class]]="C",WORKDAY(Main[[#This Row],[Tech Start Date]],23),IF(Main[[#This Row],[Class]]="B", WORKDAY(Main[[#This Row],[Tech Start Date]],15),IF(Main[[#This Row],[Class]]="A",WORKDAY(Main[[#This Row],[Tech Start Date]],5),""))))</f>
        <v/>
      </c>
      <c r="P1086" s="77" t="str">
        <f>IF(Main[[#This Row],[Tech Start Date]]&lt;1/1/1990,"",IF(Main[[#This Row],[Class]]="C",WORKDAY(Main[[#This Row],[Tech Start Date]],28),IF(Main[[#This Row],[Class]]="B", WORKDAY(Main[[#This Row],[Tech Start Date]],19),IF(Main[[#This Row],[Class]]="A",WORKDAY(Main[[#This Row],[Tech Start Date]],9),""))))</f>
        <v/>
      </c>
      <c r="Q1086" s="74">
        <v>40897</v>
      </c>
      <c r="R1086" s="74"/>
      <c r="S1086" s="72" t="s">
        <v>6</v>
      </c>
      <c r="T1086" s="80" t="s">
        <v>4</v>
      </c>
      <c r="U1086" s="72" t="s">
        <v>29</v>
      </c>
      <c r="V1086" s="72" t="s">
        <v>1940</v>
      </c>
      <c r="W1086" s="72" t="s">
        <v>1941</v>
      </c>
      <c r="X1086" s="72" t="s">
        <v>30</v>
      </c>
      <c r="Y1086" s="72" t="s">
        <v>3098</v>
      </c>
      <c r="Z1086" s="72" t="s">
        <v>30</v>
      </c>
    </row>
    <row r="1087" spans="1:26" ht="18.600000000000001" customHeight="1">
      <c r="A1087" s="142" t="str">
        <f>IF(priority(Main[[#This Row],[Comments]])&lt;&gt;0, priority(Main[[#This Row],[Comments]]),"")</f>
        <v/>
      </c>
      <c r="B1087" s="90" t="s">
        <v>1866</v>
      </c>
      <c r="C1087" s="72" t="s">
        <v>4</v>
      </c>
      <c r="D1087" s="73" t="s">
        <v>915</v>
      </c>
      <c r="E1087" s="74">
        <v>40478.709317129629</v>
      </c>
      <c r="F1087" s="74">
        <v>40492</v>
      </c>
      <c r="G1087" s="75" t="str">
        <f>IF(stdProdLT(Main[[#This Row],[Comments]])=0.1,"N/A",IF(stdProdLT(Main[[#This Row],[Comments]])=0,"",stdProdLT(Main[[#This Row],[Comments]])))</f>
        <v/>
      </c>
      <c r="H1087" s="76">
        <f>IF(AND(Main[[#This Row],[In Stock Date]]&lt;&gt;"",Main[[#This Row],[Revised Due Date]]&lt;&gt;""),Main[[#This Row],[In Stock Date]]-Main[[#This Row],[Revised Due Date]],"")</f>
        <v>-3</v>
      </c>
      <c r="I1087" s="72" t="s">
        <v>4</v>
      </c>
      <c r="J1087" s="72" t="s">
        <v>28</v>
      </c>
      <c r="K1087" s="72" t="s">
        <v>1944</v>
      </c>
      <c r="L1087" s="74"/>
      <c r="M1087" s="77" t="str">
        <f>IF(Main[[#This Row],[Tech Start Date]]&lt;1/1/1990,"",IF(Main[[#This Row],[Class]]="C",WORKDAY(Main[[#This Row],[Tech Start Date]],9),IF(Main[[#This Row],[Class]]="B", WORKDAY(Main[[#This Row],[Tech Start Date]],6),IF(Main[[#This Row],[Class]]="A",WORKDAY(Main[[#This Row],[Tech Start Date]],2),""))))</f>
        <v/>
      </c>
      <c r="N1087" s="77" t="str">
        <f>IF(Main[[#This Row],[Tech Start Date]]&lt;1/1/1990,"",IF(Main[[#This Row],[Class]]="C",WORKDAY(Main[[#This Row],[Tech Start Date]],19),IF(Main[[#This Row],[Class]]="B", WORKDAY(Main[[#This Row],[Tech Start Date]],12),IF(Main[[#This Row],[Class]]="A",WORKDAY(Main[[#This Row],[Tech Start Date]],4),""))))</f>
        <v/>
      </c>
      <c r="O1087" s="77" t="str">
        <f>IF(Main[[#This Row],[Tech Start Date]]&lt;1/1/1990,"",IF(Main[[#This Row],[Class]]="C",WORKDAY(Main[[#This Row],[Tech Start Date]],23),IF(Main[[#This Row],[Class]]="B", WORKDAY(Main[[#This Row],[Tech Start Date]],15),IF(Main[[#This Row],[Class]]="A",WORKDAY(Main[[#This Row],[Tech Start Date]],5),""))))</f>
        <v/>
      </c>
      <c r="P1087" s="77" t="str">
        <f>IF(Main[[#This Row],[Tech Start Date]]&lt;1/1/1990,"",IF(Main[[#This Row],[Class]]="C",WORKDAY(Main[[#This Row],[Tech Start Date]],28),IF(Main[[#This Row],[Class]]="B", WORKDAY(Main[[#This Row],[Tech Start Date]],19),IF(Main[[#This Row],[Class]]="A",WORKDAY(Main[[#This Row],[Tech Start Date]],9),""))))</f>
        <v/>
      </c>
      <c r="Q1087" s="74">
        <v>40908</v>
      </c>
      <c r="R1087" s="74">
        <v>40495</v>
      </c>
      <c r="S1087" s="72" t="s">
        <v>17</v>
      </c>
      <c r="T1087" s="80" t="s">
        <v>2480</v>
      </c>
      <c r="U1087" s="72" t="s">
        <v>29</v>
      </c>
      <c r="V1087" s="72" t="s">
        <v>1938</v>
      </c>
      <c r="W1087" s="72" t="s">
        <v>1939</v>
      </c>
      <c r="X1087" s="72" t="s">
        <v>50</v>
      </c>
      <c r="Y1087" s="72" t="s">
        <v>4</v>
      </c>
      <c r="Z1087" s="72" t="s">
        <v>4</v>
      </c>
    </row>
    <row r="1088" spans="1:26" ht="18.600000000000001" customHeight="1">
      <c r="A1088" s="142" t="str">
        <f>IF(priority(Main[[#This Row],[Comments]])&lt;&gt;0, priority(Main[[#This Row],[Comments]]),"")</f>
        <v/>
      </c>
      <c r="B1088" s="90" t="s">
        <v>1141</v>
      </c>
      <c r="C1088" s="72" t="s">
        <v>4</v>
      </c>
      <c r="D1088" s="73" t="s">
        <v>2481</v>
      </c>
      <c r="E1088" s="74">
        <v>40581.512430555558</v>
      </c>
      <c r="F1088" s="74">
        <v>40627</v>
      </c>
      <c r="G1088" s="75" t="str">
        <f>IF(stdProdLT(Main[[#This Row],[Comments]])=0.1,"N/A",IF(stdProdLT(Main[[#This Row],[Comments]])=0,"",stdProdLT(Main[[#This Row],[Comments]])))</f>
        <v/>
      </c>
      <c r="H1088" s="76" t="str">
        <f>IF(AND(Main[[#This Row],[In Stock Date]]&lt;&gt;"",Main[[#This Row],[Revised Due Date]]&lt;&gt;""),Main[[#This Row],[In Stock Date]]-Main[[#This Row],[Revised Due Date]],"")</f>
        <v/>
      </c>
      <c r="I1088" s="72" t="s">
        <v>927</v>
      </c>
      <c r="J1088" s="72" t="s">
        <v>52</v>
      </c>
      <c r="K1088" s="72" t="s">
        <v>1944</v>
      </c>
      <c r="L1088" s="74"/>
      <c r="M1088" s="77" t="str">
        <f>IF(Main[[#This Row],[Tech Start Date]]&lt;1/1/1990,"",IF(Main[[#This Row],[Class]]="C",WORKDAY(Main[[#This Row],[Tech Start Date]],9),IF(Main[[#This Row],[Class]]="B", WORKDAY(Main[[#This Row],[Tech Start Date]],6),IF(Main[[#This Row],[Class]]="A",WORKDAY(Main[[#This Row],[Tech Start Date]],2),""))))</f>
        <v/>
      </c>
      <c r="N1088" s="77" t="str">
        <f>IF(Main[[#This Row],[Tech Start Date]]&lt;1/1/1990,"",IF(Main[[#This Row],[Class]]="C",WORKDAY(Main[[#This Row],[Tech Start Date]],19),IF(Main[[#This Row],[Class]]="B", WORKDAY(Main[[#This Row],[Tech Start Date]],12),IF(Main[[#This Row],[Class]]="A",WORKDAY(Main[[#This Row],[Tech Start Date]],4),""))))</f>
        <v/>
      </c>
      <c r="O1088" s="77" t="str">
        <f>IF(Main[[#This Row],[Tech Start Date]]&lt;1/1/1990,"",IF(Main[[#This Row],[Class]]="C",WORKDAY(Main[[#This Row],[Tech Start Date]],23),IF(Main[[#This Row],[Class]]="B", WORKDAY(Main[[#This Row],[Tech Start Date]],15),IF(Main[[#This Row],[Class]]="A",WORKDAY(Main[[#This Row],[Tech Start Date]],5),""))))</f>
        <v/>
      </c>
      <c r="P1088" s="77" t="str">
        <f>IF(Main[[#This Row],[Tech Start Date]]&lt;1/1/1990,"",IF(Main[[#This Row],[Class]]="C",WORKDAY(Main[[#This Row],[Tech Start Date]],28),IF(Main[[#This Row],[Class]]="B", WORKDAY(Main[[#This Row],[Tech Start Date]],19),IF(Main[[#This Row],[Class]]="A",WORKDAY(Main[[#This Row],[Tech Start Date]],9),""))))</f>
        <v/>
      </c>
      <c r="Q1088" s="74">
        <v>40627</v>
      </c>
      <c r="R1088" s="74"/>
      <c r="S1088" s="72" t="s">
        <v>6</v>
      </c>
      <c r="T1088" s="80" t="s">
        <v>4</v>
      </c>
      <c r="U1088" s="72" t="s">
        <v>29</v>
      </c>
      <c r="V1088" s="72" t="s">
        <v>1937</v>
      </c>
      <c r="W1088" s="72" t="s">
        <v>1939</v>
      </c>
      <c r="X1088" s="72" t="s">
        <v>2970</v>
      </c>
      <c r="Y1088" s="72" t="s">
        <v>3087</v>
      </c>
      <c r="Z1088" s="72" t="s">
        <v>129</v>
      </c>
    </row>
    <row r="1089" spans="1:26" ht="18.600000000000001" customHeight="1">
      <c r="A1089" s="142" t="str">
        <f>IF(priority(Main[[#This Row],[Comments]])&lt;&gt;0, priority(Main[[#This Row],[Comments]]),"")</f>
        <v/>
      </c>
      <c r="B1089" s="90" t="s">
        <v>2482</v>
      </c>
      <c r="C1089" s="72" t="s">
        <v>4</v>
      </c>
      <c r="D1089" s="73" t="s">
        <v>2483</v>
      </c>
      <c r="E1089" s="74">
        <v>40843.415925925925</v>
      </c>
      <c r="F1089" s="74"/>
      <c r="G1089" s="75" t="str">
        <f>IF(stdProdLT(Main[[#This Row],[Comments]])=0.1,"N/A",IF(stdProdLT(Main[[#This Row],[Comments]])=0,"",stdProdLT(Main[[#This Row],[Comments]])))</f>
        <v/>
      </c>
      <c r="H1089" s="76" t="str">
        <f>IF(AND(Main[[#This Row],[In Stock Date]]&lt;&gt;"",Main[[#This Row],[Revised Due Date]]&lt;&gt;""),Main[[#This Row],[In Stock Date]]-Main[[#This Row],[Revised Due Date]],"")</f>
        <v/>
      </c>
      <c r="I1089" s="72" t="s">
        <v>4</v>
      </c>
      <c r="J1089" s="72" t="s">
        <v>4</v>
      </c>
      <c r="K1089" s="72" t="s">
        <v>4</v>
      </c>
      <c r="L1089" s="74"/>
      <c r="M1089" s="77" t="str">
        <f>IF(Main[[#This Row],[Tech Start Date]]&lt;1/1/1990,"",IF(Main[[#This Row],[Class]]="C",WORKDAY(Main[[#This Row],[Tech Start Date]],9),IF(Main[[#This Row],[Class]]="B", WORKDAY(Main[[#This Row],[Tech Start Date]],6),IF(Main[[#This Row],[Class]]="A",WORKDAY(Main[[#This Row],[Tech Start Date]],2),""))))</f>
        <v/>
      </c>
      <c r="N1089" s="77" t="str">
        <f>IF(Main[[#This Row],[Tech Start Date]]&lt;1/1/1990,"",IF(Main[[#This Row],[Class]]="C",WORKDAY(Main[[#This Row],[Tech Start Date]],19),IF(Main[[#This Row],[Class]]="B", WORKDAY(Main[[#This Row],[Tech Start Date]],12),IF(Main[[#This Row],[Class]]="A",WORKDAY(Main[[#This Row],[Tech Start Date]],4),""))))</f>
        <v/>
      </c>
      <c r="O1089" s="77" t="str">
        <f>IF(Main[[#This Row],[Tech Start Date]]&lt;1/1/1990,"",IF(Main[[#This Row],[Class]]="C",WORKDAY(Main[[#This Row],[Tech Start Date]],23),IF(Main[[#This Row],[Class]]="B", WORKDAY(Main[[#This Row],[Tech Start Date]],15),IF(Main[[#This Row],[Class]]="A",WORKDAY(Main[[#This Row],[Tech Start Date]],5),""))))</f>
        <v/>
      </c>
      <c r="P1089" s="77" t="str">
        <f>IF(Main[[#This Row],[Tech Start Date]]&lt;1/1/1990,"",IF(Main[[#This Row],[Class]]="C",WORKDAY(Main[[#This Row],[Tech Start Date]],28),IF(Main[[#This Row],[Class]]="B", WORKDAY(Main[[#This Row],[Tech Start Date]],19),IF(Main[[#This Row],[Class]]="A",WORKDAY(Main[[#This Row],[Tech Start Date]],9),""))))</f>
        <v/>
      </c>
      <c r="Q1089" s="74"/>
      <c r="R1089" s="74"/>
      <c r="S1089" s="72" t="s">
        <v>6</v>
      </c>
      <c r="T1089" s="80" t="s">
        <v>4</v>
      </c>
      <c r="U1089" s="72" t="s">
        <v>29</v>
      </c>
      <c r="V1089" s="72" t="s">
        <v>1947</v>
      </c>
      <c r="W1089" s="72" t="s">
        <v>1939</v>
      </c>
      <c r="X1089" s="72" t="s">
        <v>421</v>
      </c>
      <c r="Y1089" s="72" t="s">
        <v>3133</v>
      </c>
      <c r="Z1089" s="72" t="s">
        <v>4</v>
      </c>
    </row>
    <row r="1090" spans="1:26" ht="18.600000000000001" customHeight="1">
      <c r="A1090" s="142" t="str">
        <f>IF(priority(Main[[#This Row],[Comments]])&lt;&gt;0, priority(Main[[#This Row],[Comments]]),"")</f>
        <v/>
      </c>
      <c r="B1090" s="90" t="s">
        <v>2198</v>
      </c>
      <c r="C1090" s="72" t="s">
        <v>2191</v>
      </c>
      <c r="D1090" s="73" t="s">
        <v>2192</v>
      </c>
      <c r="E1090" s="74">
        <v>40781.399756944447</v>
      </c>
      <c r="F1090" s="74"/>
      <c r="G1090" s="75" t="str">
        <f>IF(stdProdLT(Main[[#This Row],[Comments]])=0.1,"N/A",IF(stdProdLT(Main[[#This Row],[Comments]])=0,"",stdProdLT(Main[[#This Row],[Comments]])))</f>
        <v/>
      </c>
      <c r="H1090" s="76" t="str">
        <f>IF(AND(Main[[#This Row],[In Stock Date]]&lt;&gt;"",Main[[#This Row],[Revised Due Date]]&lt;&gt;""),Main[[#This Row],[In Stock Date]]-Main[[#This Row],[Revised Due Date]],"")</f>
        <v/>
      </c>
      <c r="I1090" s="72" t="s">
        <v>4</v>
      </c>
      <c r="J1090" s="72" t="s">
        <v>28</v>
      </c>
      <c r="K1090" s="72" t="s">
        <v>1946</v>
      </c>
      <c r="L1090" s="74"/>
      <c r="M1090" s="77" t="str">
        <f>IF(Main[[#This Row],[Tech Start Date]]&lt;1/1/1990,"",IF(Main[[#This Row],[Class]]="C",WORKDAY(Main[[#This Row],[Tech Start Date]],9),IF(Main[[#This Row],[Class]]="B", WORKDAY(Main[[#This Row],[Tech Start Date]],6),IF(Main[[#This Row],[Class]]="A",WORKDAY(Main[[#This Row],[Tech Start Date]],2),""))))</f>
        <v/>
      </c>
      <c r="N1090" s="77" t="str">
        <f>IF(Main[[#This Row],[Tech Start Date]]&lt;1/1/1990,"",IF(Main[[#This Row],[Class]]="C",WORKDAY(Main[[#This Row],[Tech Start Date]],19),IF(Main[[#This Row],[Class]]="B", WORKDAY(Main[[#This Row],[Tech Start Date]],12),IF(Main[[#This Row],[Class]]="A",WORKDAY(Main[[#This Row],[Tech Start Date]],4),""))))</f>
        <v/>
      </c>
      <c r="O1090" s="77" t="str">
        <f>IF(Main[[#This Row],[Tech Start Date]]&lt;1/1/1990,"",IF(Main[[#This Row],[Class]]="C",WORKDAY(Main[[#This Row],[Tech Start Date]],23),IF(Main[[#This Row],[Class]]="B", WORKDAY(Main[[#This Row],[Tech Start Date]],15),IF(Main[[#This Row],[Class]]="A",WORKDAY(Main[[#This Row],[Tech Start Date]],5),""))))</f>
        <v/>
      </c>
      <c r="P1090" s="77" t="str">
        <f>IF(Main[[#This Row],[Tech Start Date]]&lt;1/1/1990,"",IF(Main[[#This Row],[Class]]="C",WORKDAY(Main[[#This Row],[Tech Start Date]],28),IF(Main[[#This Row],[Class]]="B", WORKDAY(Main[[#This Row],[Tech Start Date]],19),IF(Main[[#This Row],[Class]]="A",WORKDAY(Main[[#This Row],[Tech Start Date]],9),""))))</f>
        <v/>
      </c>
      <c r="Q1090" s="74">
        <v>40836</v>
      </c>
      <c r="R1090" s="74"/>
      <c r="S1090" s="72" t="s">
        <v>6</v>
      </c>
      <c r="T1090" s="80" t="s">
        <v>4</v>
      </c>
      <c r="U1090" s="72" t="s">
        <v>29</v>
      </c>
      <c r="V1090" s="72" t="s">
        <v>1940</v>
      </c>
      <c r="W1090" s="72" t="s">
        <v>1941</v>
      </c>
      <c r="X1090" s="72" t="s">
        <v>2988</v>
      </c>
      <c r="Y1090" s="72" t="s">
        <v>3123</v>
      </c>
      <c r="Z1090" s="72" t="s">
        <v>30</v>
      </c>
    </row>
    <row r="1091" spans="1:26" ht="18.600000000000001" customHeight="1">
      <c r="A1091" s="142" t="str">
        <f>IF(priority(Main[[#This Row],[Comments]])&lt;&gt;0, priority(Main[[#This Row],[Comments]]),"")</f>
        <v/>
      </c>
      <c r="B1091" s="90" t="s">
        <v>1331</v>
      </c>
      <c r="C1091" s="72" t="s">
        <v>4</v>
      </c>
      <c r="D1091" s="73" t="s">
        <v>2338</v>
      </c>
      <c r="E1091" s="74">
        <v>40627.285358796296</v>
      </c>
      <c r="F1091" s="74"/>
      <c r="G1091" s="75" t="str">
        <f>IF(stdProdLT(Main[[#This Row],[Comments]])=0.1,"N/A",IF(stdProdLT(Main[[#This Row],[Comments]])=0,"",stdProdLT(Main[[#This Row],[Comments]])))</f>
        <v/>
      </c>
      <c r="H1091" s="76" t="str">
        <f>IF(AND(Main[[#This Row],[In Stock Date]]&lt;&gt;"",Main[[#This Row],[Revised Due Date]]&lt;&gt;""),Main[[#This Row],[In Stock Date]]-Main[[#This Row],[Revised Due Date]],"")</f>
        <v/>
      </c>
      <c r="I1091" s="72" t="s">
        <v>568</v>
      </c>
      <c r="J1091" s="72" t="s">
        <v>21</v>
      </c>
      <c r="K1091" s="72" t="s">
        <v>1946</v>
      </c>
      <c r="L1091" s="74"/>
      <c r="M1091" s="77" t="str">
        <f>IF(Main[[#This Row],[Tech Start Date]]&lt;1/1/1990,"",IF(Main[[#This Row],[Class]]="C",WORKDAY(Main[[#This Row],[Tech Start Date]],9),IF(Main[[#This Row],[Class]]="B", WORKDAY(Main[[#This Row],[Tech Start Date]],6),IF(Main[[#This Row],[Class]]="A",WORKDAY(Main[[#This Row],[Tech Start Date]],2),""))))</f>
        <v/>
      </c>
      <c r="N1091" s="77" t="str">
        <f>IF(Main[[#This Row],[Tech Start Date]]&lt;1/1/1990,"",IF(Main[[#This Row],[Class]]="C",WORKDAY(Main[[#This Row],[Tech Start Date]],19),IF(Main[[#This Row],[Class]]="B", WORKDAY(Main[[#This Row],[Tech Start Date]],12),IF(Main[[#This Row],[Class]]="A",WORKDAY(Main[[#This Row],[Tech Start Date]],4),""))))</f>
        <v/>
      </c>
      <c r="O1091" s="77" t="str">
        <f>IF(Main[[#This Row],[Tech Start Date]]&lt;1/1/1990,"",IF(Main[[#This Row],[Class]]="C",WORKDAY(Main[[#This Row],[Tech Start Date]],23),IF(Main[[#This Row],[Class]]="B", WORKDAY(Main[[#This Row],[Tech Start Date]],15),IF(Main[[#This Row],[Class]]="A",WORKDAY(Main[[#This Row],[Tech Start Date]],5),""))))</f>
        <v/>
      </c>
      <c r="P1091" s="77" t="str">
        <f>IF(Main[[#This Row],[Tech Start Date]]&lt;1/1/1990,"",IF(Main[[#This Row],[Class]]="C",WORKDAY(Main[[#This Row],[Tech Start Date]],28),IF(Main[[#This Row],[Class]]="B", WORKDAY(Main[[#This Row],[Tech Start Date]],19),IF(Main[[#This Row],[Class]]="A",WORKDAY(Main[[#This Row],[Tech Start Date]],9),""))))</f>
        <v/>
      </c>
      <c r="Q1091" s="74">
        <v>40658</v>
      </c>
      <c r="R1091" s="74"/>
      <c r="S1091" s="72" t="s">
        <v>6</v>
      </c>
      <c r="T1091" s="80" t="s">
        <v>4</v>
      </c>
      <c r="U1091" s="72" t="s">
        <v>29</v>
      </c>
      <c r="V1091" s="72" t="s">
        <v>1937</v>
      </c>
      <c r="W1091" s="72" t="s">
        <v>1939</v>
      </c>
      <c r="X1091" s="72" t="s">
        <v>2970</v>
      </c>
      <c r="Y1091" s="72" t="s">
        <v>3087</v>
      </c>
      <c r="Z1091" s="72" t="s">
        <v>536</v>
      </c>
    </row>
    <row r="1092" spans="1:26" ht="18.600000000000001" customHeight="1">
      <c r="A1092" s="142" t="str">
        <f>IF(priority(Main[[#This Row],[Comments]])&lt;&gt;0, priority(Main[[#This Row],[Comments]]),"")</f>
        <v/>
      </c>
      <c r="B1092" s="90" t="s">
        <v>2484</v>
      </c>
      <c r="C1092" s="72" t="s">
        <v>4</v>
      </c>
      <c r="D1092" s="73" t="s">
        <v>2485</v>
      </c>
      <c r="E1092" s="74"/>
      <c r="F1092" s="74"/>
      <c r="G1092" s="75" t="str">
        <f>IF(stdProdLT(Main[[#This Row],[Comments]])=0.1,"N/A",IF(stdProdLT(Main[[#This Row],[Comments]])=0,"",stdProdLT(Main[[#This Row],[Comments]])))</f>
        <v/>
      </c>
      <c r="H1092" s="76" t="str">
        <f>IF(AND(Main[[#This Row],[In Stock Date]]&lt;&gt;"",Main[[#This Row],[Revised Due Date]]&lt;&gt;""),Main[[#This Row],[In Stock Date]]-Main[[#This Row],[Revised Due Date]],"")</f>
        <v/>
      </c>
      <c r="I1092" s="72" t="s">
        <v>4</v>
      </c>
      <c r="J1092" s="72" t="s">
        <v>4</v>
      </c>
      <c r="K1092" s="72" t="s">
        <v>4</v>
      </c>
      <c r="L1092" s="74"/>
      <c r="M1092" s="77" t="str">
        <f>IF(Main[[#This Row],[Tech Start Date]]&lt;1/1/1990,"",IF(Main[[#This Row],[Class]]="C",WORKDAY(Main[[#This Row],[Tech Start Date]],9),IF(Main[[#This Row],[Class]]="B", WORKDAY(Main[[#This Row],[Tech Start Date]],6),IF(Main[[#This Row],[Class]]="A",WORKDAY(Main[[#This Row],[Tech Start Date]],2),""))))</f>
        <v/>
      </c>
      <c r="N1092" s="77" t="str">
        <f>IF(Main[[#This Row],[Tech Start Date]]&lt;1/1/1990,"",IF(Main[[#This Row],[Class]]="C",WORKDAY(Main[[#This Row],[Tech Start Date]],19),IF(Main[[#This Row],[Class]]="B", WORKDAY(Main[[#This Row],[Tech Start Date]],12),IF(Main[[#This Row],[Class]]="A",WORKDAY(Main[[#This Row],[Tech Start Date]],4),""))))</f>
        <v/>
      </c>
      <c r="O1092" s="77" t="str">
        <f>IF(Main[[#This Row],[Tech Start Date]]&lt;1/1/1990,"",IF(Main[[#This Row],[Class]]="C",WORKDAY(Main[[#This Row],[Tech Start Date]],23),IF(Main[[#This Row],[Class]]="B", WORKDAY(Main[[#This Row],[Tech Start Date]],15),IF(Main[[#This Row],[Class]]="A",WORKDAY(Main[[#This Row],[Tech Start Date]],5),""))))</f>
        <v/>
      </c>
      <c r="P1092" s="77" t="str">
        <f>IF(Main[[#This Row],[Tech Start Date]]&lt;1/1/1990,"",IF(Main[[#This Row],[Class]]="C",WORKDAY(Main[[#This Row],[Tech Start Date]],28),IF(Main[[#This Row],[Class]]="B", WORKDAY(Main[[#This Row],[Tech Start Date]],19),IF(Main[[#This Row],[Class]]="A",WORKDAY(Main[[#This Row],[Tech Start Date]],9),""))))</f>
        <v/>
      </c>
      <c r="Q1092" s="74">
        <v>40877</v>
      </c>
      <c r="R1092" s="74"/>
      <c r="S1092" s="72" t="s">
        <v>6</v>
      </c>
      <c r="T1092" s="80" t="s">
        <v>4</v>
      </c>
      <c r="U1092" s="72" t="s">
        <v>14</v>
      </c>
      <c r="V1092" s="72" t="s">
        <v>1937</v>
      </c>
      <c r="W1092" s="72" t="s">
        <v>1941</v>
      </c>
      <c r="X1092" s="72" t="s">
        <v>2973</v>
      </c>
      <c r="Y1092" s="72" t="s">
        <v>3094</v>
      </c>
      <c r="Z1092" s="72" t="s">
        <v>4</v>
      </c>
    </row>
    <row r="1093" spans="1:26" ht="18.600000000000001" customHeight="1">
      <c r="A1093" s="142" t="str">
        <f>IF(priority(Main[[#This Row],[Comments]])&lt;&gt;0, priority(Main[[#This Row],[Comments]]),"")</f>
        <v/>
      </c>
      <c r="B1093" s="90" t="s">
        <v>2486</v>
      </c>
      <c r="C1093" s="72" t="s">
        <v>2392</v>
      </c>
      <c r="D1093" s="73" t="s">
        <v>2393</v>
      </c>
      <c r="E1093" s="74"/>
      <c r="F1093" s="74">
        <v>41008</v>
      </c>
      <c r="G1093" s="75" t="str">
        <f>IF(stdProdLT(Main[[#This Row],[Comments]])=0.1,"N/A",IF(stdProdLT(Main[[#This Row],[Comments]])=0,"",stdProdLT(Main[[#This Row],[Comments]])))</f>
        <v/>
      </c>
      <c r="H1093" s="76" t="str">
        <f>IF(AND(Main[[#This Row],[In Stock Date]]&lt;&gt;"",Main[[#This Row],[Revised Due Date]]&lt;&gt;""),Main[[#This Row],[In Stock Date]]-Main[[#This Row],[Revised Due Date]],"")</f>
        <v/>
      </c>
      <c r="I1093" s="72" t="s">
        <v>4</v>
      </c>
      <c r="J1093" s="72" t="s">
        <v>4</v>
      </c>
      <c r="K1093" s="72" t="s">
        <v>4</v>
      </c>
      <c r="L1093" s="74"/>
      <c r="M1093" s="77" t="str">
        <f>IF(Main[[#This Row],[Tech Start Date]]&lt;1/1/1990,"",IF(Main[[#This Row],[Class]]="C",WORKDAY(Main[[#This Row],[Tech Start Date]],9),IF(Main[[#This Row],[Class]]="B", WORKDAY(Main[[#This Row],[Tech Start Date]],6),IF(Main[[#This Row],[Class]]="A",WORKDAY(Main[[#This Row],[Tech Start Date]],2),""))))</f>
        <v/>
      </c>
      <c r="N1093" s="77" t="str">
        <f>IF(Main[[#This Row],[Tech Start Date]]&lt;1/1/1990,"",IF(Main[[#This Row],[Class]]="C",WORKDAY(Main[[#This Row],[Tech Start Date]],19),IF(Main[[#This Row],[Class]]="B", WORKDAY(Main[[#This Row],[Tech Start Date]],12),IF(Main[[#This Row],[Class]]="A",WORKDAY(Main[[#This Row],[Tech Start Date]],4),""))))</f>
        <v/>
      </c>
      <c r="O1093" s="77" t="str">
        <f>IF(Main[[#This Row],[Tech Start Date]]&lt;1/1/1990,"",IF(Main[[#This Row],[Class]]="C",WORKDAY(Main[[#This Row],[Tech Start Date]],23),IF(Main[[#This Row],[Class]]="B", WORKDAY(Main[[#This Row],[Tech Start Date]],15),IF(Main[[#This Row],[Class]]="A",WORKDAY(Main[[#This Row],[Tech Start Date]],5),""))))</f>
        <v/>
      </c>
      <c r="P1093" s="77" t="str">
        <f>IF(Main[[#This Row],[Tech Start Date]]&lt;1/1/1990,"",IF(Main[[#This Row],[Class]]="C",WORKDAY(Main[[#This Row],[Tech Start Date]],28),IF(Main[[#This Row],[Class]]="B", WORKDAY(Main[[#This Row],[Tech Start Date]],19),IF(Main[[#This Row],[Class]]="A",WORKDAY(Main[[#This Row],[Tech Start Date]],9),""))))</f>
        <v/>
      </c>
      <c r="Q1093" s="74">
        <v>40826</v>
      </c>
      <c r="R1093" s="74"/>
      <c r="S1093" s="72" t="s">
        <v>11</v>
      </c>
      <c r="T1093" s="80" t="s">
        <v>4</v>
      </c>
      <c r="U1093" s="72" t="s">
        <v>12</v>
      </c>
      <c r="V1093" s="72" t="s">
        <v>1940</v>
      </c>
      <c r="W1093" s="72" t="s">
        <v>1943</v>
      </c>
      <c r="X1093" s="72" t="s">
        <v>2995</v>
      </c>
      <c r="Y1093" s="72" t="s">
        <v>4</v>
      </c>
      <c r="Z1093" s="72" t="s">
        <v>4</v>
      </c>
    </row>
    <row r="1094" spans="1:26" ht="18.600000000000001" customHeight="1">
      <c r="A1094" s="142" t="str">
        <f>IF(priority(Main[[#This Row],[Comments]])&lt;&gt;0, priority(Main[[#This Row],[Comments]]),"")</f>
        <v/>
      </c>
      <c r="B1094" s="90" t="s">
        <v>2094</v>
      </c>
      <c r="C1094" s="72" t="s">
        <v>4</v>
      </c>
      <c r="D1094" s="73" t="s">
        <v>2496</v>
      </c>
      <c r="E1094" s="74">
        <v>40772.422800925924</v>
      </c>
      <c r="F1094" s="74"/>
      <c r="G1094" s="75" t="str">
        <f>IF(stdProdLT(Main[[#This Row],[Comments]])=0.1,"N/A",IF(stdProdLT(Main[[#This Row],[Comments]])=0,"",stdProdLT(Main[[#This Row],[Comments]])))</f>
        <v/>
      </c>
      <c r="H1094" s="76" t="str">
        <f>IF(AND(Main[[#This Row],[In Stock Date]]&lt;&gt;"",Main[[#This Row],[Revised Due Date]]&lt;&gt;""),Main[[#This Row],[In Stock Date]]-Main[[#This Row],[Revised Due Date]],"")</f>
        <v/>
      </c>
      <c r="I1094" s="72" t="s">
        <v>927</v>
      </c>
      <c r="J1094" s="72" t="s">
        <v>52</v>
      </c>
      <c r="K1094" s="72" t="s">
        <v>4</v>
      </c>
      <c r="L1094" s="74"/>
      <c r="M1094" s="77" t="str">
        <f>IF(Main[[#This Row],[Tech Start Date]]&lt;1/1/1990,"",IF(Main[[#This Row],[Class]]="C",WORKDAY(Main[[#This Row],[Tech Start Date]],9),IF(Main[[#This Row],[Class]]="B", WORKDAY(Main[[#This Row],[Tech Start Date]],6),IF(Main[[#This Row],[Class]]="A",WORKDAY(Main[[#This Row],[Tech Start Date]],2),""))))</f>
        <v/>
      </c>
      <c r="N1094" s="77" t="str">
        <f>IF(Main[[#This Row],[Tech Start Date]]&lt;1/1/1990,"",IF(Main[[#This Row],[Class]]="C",WORKDAY(Main[[#This Row],[Tech Start Date]],19),IF(Main[[#This Row],[Class]]="B", WORKDAY(Main[[#This Row],[Tech Start Date]],12),IF(Main[[#This Row],[Class]]="A",WORKDAY(Main[[#This Row],[Tech Start Date]],4),""))))</f>
        <v/>
      </c>
      <c r="O1094" s="77" t="str">
        <f>IF(Main[[#This Row],[Tech Start Date]]&lt;1/1/1990,"",IF(Main[[#This Row],[Class]]="C",WORKDAY(Main[[#This Row],[Tech Start Date]],23),IF(Main[[#This Row],[Class]]="B", WORKDAY(Main[[#This Row],[Tech Start Date]],15),IF(Main[[#This Row],[Class]]="A",WORKDAY(Main[[#This Row],[Tech Start Date]],5),""))))</f>
        <v/>
      </c>
      <c r="P1094" s="77" t="str">
        <f>IF(Main[[#This Row],[Tech Start Date]]&lt;1/1/1990,"",IF(Main[[#This Row],[Class]]="C",WORKDAY(Main[[#This Row],[Tech Start Date]],28),IF(Main[[#This Row],[Class]]="B", WORKDAY(Main[[#This Row],[Tech Start Date]],19),IF(Main[[#This Row],[Class]]="A",WORKDAY(Main[[#This Row],[Tech Start Date]],9),""))))</f>
        <v/>
      </c>
      <c r="Q1094" s="74"/>
      <c r="R1094" s="74"/>
      <c r="S1094" s="72" t="s">
        <v>6</v>
      </c>
      <c r="T1094" s="80" t="s">
        <v>4</v>
      </c>
      <c r="U1094" s="72" t="s">
        <v>29</v>
      </c>
      <c r="V1094" s="72" t="s">
        <v>1937</v>
      </c>
      <c r="W1094" s="72" t="s">
        <v>1941</v>
      </c>
      <c r="X1094" s="72" t="s">
        <v>953</v>
      </c>
      <c r="Y1094" s="72" t="s">
        <v>3142</v>
      </c>
      <c r="Z1094" s="72" t="s">
        <v>129</v>
      </c>
    </row>
    <row r="1095" spans="1:26" ht="18.600000000000001" customHeight="1">
      <c r="A1095" s="142" t="str">
        <f>IF(priority(Main[[#This Row],[Comments]])&lt;&gt;0, priority(Main[[#This Row],[Comments]]),"")</f>
        <v/>
      </c>
      <c r="B1095" s="90" t="s">
        <v>2497</v>
      </c>
      <c r="C1095" s="72" t="s">
        <v>4</v>
      </c>
      <c r="D1095" s="73" t="s">
        <v>2498</v>
      </c>
      <c r="E1095" s="74">
        <v>40834.417719907404</v>
      </c>
      <c r="F1095" s="74"/>
      <c r="G1095" s="75" t="str">
        <f>IF(stdProdLT(Main[[#This Row],[Comments]])=0.1,"N/A",IF(stdProdLT(Main[[#This Row],[Comments]])=0,"",stdProdLT(Main[[#This Row],[Comments]])))</f>
        <v/>
      </c>
      <c r="H1095" s="76" t="str">
        <f>IF(AND(Main[[#This Row],[In Stock Date]]&lt;&gt;"",Main[[#This Row],[Revised Due Date]]&lt;&gt;""),Main[[#This Row],[In Stock Date]]-Main[[#This Row],[Revised Due Date]],"")</f>
        <v/>
      </c>
      <c r="I1095" s="72" t="s">
        <v>4</v>
      </c>
      <c r="J1095" s="72" t="s">
        <v>4</v>
      </c>
      <c r="K1095" s="81" t="s">
        <v>4</v>
      </c>
      <c r="L1095" s="74"/>
      <c r="M1095" s="77" t="str">
        <f>IF(Main[[#This Row],[Tech Start Date]]&lt;1/1/1990,"",IF(Main[[#This Row],[Class]]="C",WORKDAY(Main[[#This Row],[Tech Start Date]],9),IF(Main[[#This Row],[Class]]="B", WORKDAY(Main[[#This Row],[Tech Start Date]],6),IF(Main[[#This Row],[Class]]="A",WORKDAY(Main[[#This Row],[Tech Start Date]],2),""))))</f>
        <v/>
      </c>
      <c r="N1095" s="77" t="str">
        <f>IF(Main[[#This Row],[Tech Start Date]]&lt;1/1/1990,"",IF(Main[[#This Row],[Class]]="C",WORKDAY(Main[[#This Row],[Tech Start Date]],19),IF(Main[[#This Row],[Class]]="B", WORKDAY(Main[[#This Row],[Tech Start Date]],12),IF(Main[[#This Row],[Class]]="A",WORKDAY(Main[[#This Row],[Tech Start Date]],4),""))))</f>
        <v/>
      </c>
      <c r="O1095" s="77" t="str">
        <f>IF(Main[[#This Row],[Tech Start Date]]&lt;1/1/1990,"",IF(Main[[#This Row],[Class]]="C",WORKDAY(Main[[#This Row],[Tech Start Date]],23),IF(Main[[#This Row],[Class]]="B", WORKDAY(Main[[#This Row],[Tech Start Date]],15),IF(Main[[#This Row],[Class]]="A",WORKDAY(Main[[#This Row],[Tech Start Date]],5),""))))</f>
        <v/>
      </c>
      <c r="P1095" s="77" t="str">
        <f>IF(Main[[#This Row],[Tech Start Date]]&lt;1/1/1990,"",IF(Main[[#This Row],[Class]]="C",WORKDAY(Main[[#This Row],[Tech Start Date]],28),IF(Main[[#This Row],[Class]]="B", WORKDAY(Main[[#This Row],[Tech Start Date]],19),IF(Main[[#This Row],[Class]]="A",WORKDAY(Main[[#This Row],[Tech Start Date]],9),""))))</f>
        <v/>
      </c>
      <c r="Q1095" s="74"/>
      <c r="R1095" s="74"/>
      <c r="S1095" s="72" t="s">
        <v>6</v>
      </c>
      <c r="T1095" s="80" t="s">
        <v>4</v>
      </c>
      <c r="U1095" s="72" t="s">
        <v>29</v>
      </c>
      <c r="V1095" s="72" t="s">
        <v>1940</v>
      </c>
      <c r="W1095" s="72" t="s">
        <v>1941</v>
      </c>
      <c r="X1095" s="72" t="s">
        <v>311</v>
      </c>
      <c r="Y1095" s="72" t="s">
        <v>4</v>
      </c>
      <c r="Z1095" s="72" t="s">
        <v>4</v>
      </c>
    </row>
    <row r="1096" spans="1:26" ht="18.600000000000001" customHeight="1">
      <c r="A1096" s="142" t="str">
        <f>IF(priority(Main[[#This Row],[Comments]])&lt;&gt;0, priority(Main[[#This Row],[Comments]]),"")</f>
        <v/>
      </c>
      <c r="B1096" s="90" t="s">
        <v>2275</v>
      </c>
      <c r="C1096" s="72" t="s">
        <v>4</v>
      </c>
      <c r="D1096" s="73" t="s">
        <v>2499</v>
      </c>
      <c r="E1096" s="74">
        <v>40798.432673611111</v>
      </c>
      <c r="F1096" s="74"/>
      <c r="G1096" s="75" t="str">
        <f>IF(stdProdLT(Main[[#This Row],[Comments]])=0.1,"N/A",IF(stdProdLT(Main[[#This Row],[Comments]])=0,"",stdProdLT(Main[[#This Row],[Comments]])))</f>
        <v/>
      </c>
      <c r="H1096" s="76" t="str">
        <f>IF(AND(Main[[#This Row],[In Stock Date]]&lt;&gt;"",Main[[#This Row],[Revised Due Date]]&lt;&gt;""),Main[[#This Row],[In Stock Date]]-Main[[#This Row],[Revised Due Date]],"")</f>
        <v/>
      </c>
      <c r="I1096" s="72" t="s">
        <v>927</v>
      </c>
      <c r="J1096" s="72" t="s">
        <v>52</v>
      </c>
      <c r="K1096" s="72" t="s">
        <v>4</v>
      </c>
      <c r="L1096" s="74"/>
      <c r="M1096" s="77" t="str">
        <f>IF(Main[[#This Row],[Tech Start Date]]&lt;1/1/1990,"",IF(Main[[#This Row],[Class]]="C",WORKDAY(Main[[#This Row],[Tech Start Date]],9),IF(Main[[#This Row],[Class]]="B", WORKDAY(Main[[#This Row],[Tech Start Date]],6),IF(Main[[#This Row],[Class]]="A",WORKDAY(Main[[#This Row],[Tech Start Date]],2),""))))</f>
        <v/>
      </c>
      <c r="N1096" s="77" t="str">
        <f>IF(Main[[#This Row],[Tech Start Date]]&lt;1/1/1990,"",IF(Main[[#This Row],[Class]]="C",WORKDAY(Main[[#This Row],[Tech Start Date]],19),IF(Main[[#This Row],[Class]]="B", WORKDAY(Main[[#This Row],[Tech Start Date]],12),IF(Main[[#This Row],[Class]]="A",WORKDAY(Main[[#This Row],[Tech Start Date]],4),""))))</f>
        <v/>
      </c>
      <c r="O1096" s="77" t="str">
        <f>IF(Main[[#This Row],[Tech Start Date]]&lt;1/1/1990,"",IF(Main[[#This Row],[Class]]="C",WORKDAY(Main[[#This Row],[Tech Start Date]],23),IF(Main[[#This Row],[Class]]="B", WORKDAY(Main[[#This Row],[Tech Start Date]],15),IF(Main[[#This Row],[Class]]="A",WORKDAY(Main[[#This Row],[Tech Start Date]],5),""))))</f>
        <v/>
      </c>
      <c r="P1096" s="77" t="str">
        <f>IF(Main[[#This Row],[Tech Start Date]]&lt;1/1/1990,"",IF(Main[[#This Row],[Class]]="C",WORKDAY(Main[[#This Row],[Tech Start Date]],28),IF(Main[[#This Row],[Class]]="B", WORKDAY(Main[[#This Row],[Tech Start Date]],19),IF(Main[[#This Row],[Class]]="A",WORKDAY(Main[[#This Row],[Tech Start Date]],9),""))))</f>
        <v/>
      </c>
      <c r="Q1096" s="74"/>
      <c r="R1096" s="74"/>
      <c r="S1096" s="72" t="s">
        <v>6</v>
      </c>
      <c r="T1096" s="80" t="s">
        <v>4</v>
      </c>
      <c r="U1096" s="72" t="s">
        <v>29</v>
      </c>
      <c r="V1096" s="72" t="s">
        <v>1937</v>
      </c>
      <c r="W1096" s="72" t="s">
        <v>1941</v>
      </c>
      <c r="X1096" s="72" t="s">
        <v>568</v>
      </c>
      <c r="Y1096" s="72" t="s">
        <v>4</v>
      </c>
      <c r="Z1096" s="72" t="s">
        <v>129</v>
      </c>
    </row>
    <row r="1097" spans="1:26" ht="18.600000000000001" customHeight="1">
      <c r="A1097" s="142" t="str">
        <f>IF(priority(Main[[#This Row],[Comments]])&lt;&gt;0, priority(Main[[#This Row],[Comments]]),"")</f>
        <v/>
      </c>
      <c r="B1097" s="90" t="s">
        <v>2500</v>
      </c>
      <c r="C1097" s="72" t="s">
        <v>4</v>
      </c>
      <c r="D1097" s="73" t="s">
        <v>2501</v>
      </c>
      <c r="E1097" s="74">
        <v>40841.609861111108</v>
      </c>
      <c r="F1097" s="74"/>
      <c r="G1097" s="75" t="str">
        <f>IF(stdProdLT(Main[[#This Row],[Comments]])=0.1,"N/A",IF(stdProdLT(Main[[#This Row],[Comments]])=0,"",stdProdLT(Main[[#This Row],[Comments]])))</f>
        <v/>
      </c>
      <c r="H1097" s="76" t="str">
        <f>IF(AND(Main[[#This Row],[In Stock Date]]&lt;&gt;"",Main[[#This Row],[Revised Due Date]]&lt;&gt;""),Main[[#This Row],[In Stock Date]]-Main[[#This Row],[Revised Due Date]],"")</f>
        <v/>
      </c>
      <c r="I1097" s="72" t="s">
        <v>4</v>
      </c>
      <c r="J1097" s="72" t="s">
        <v>4</v>
      </c>
      <c r="K1097" s="72" t="s">
        <v>4</v>
      </c>
      <c r="L1097" s="74"/>
      <c r="M1097" s="77" t="str">
        <f>IF(Main[[#This Row],[Tech Start Date]]&lt;1/1/1990,"",IF(Main[[#This Row],[Class]]="C",WORKDAY(Main[[#This Row],[Tech Start Date]],9),IF(Main[[#This Row],[Class]]="B", WORKDAY(Main[[#This Row],[Tech Start Date]],6),IF(Main[[#This Row],[Class]]="A",WORKDAY(Main[[#This Row],[Tech Start Date]],2),""))))</f>
        <v/>
      </c>
      <c r="N1097" s="77" t="str">
        <f>IF(Main[[#This Row],[Tech Start Date]]&lt;1/1/1990,"",IF(Main[[#This Row],[Class]]="C",WORKDAY(Main[[#This Row],[Tech Start Date]],19),IF(Main[[#This Row],[Class]]="B", WORKDAY(Main[[#This Row],[Tech Start Date]],12),IF(Main[[#This Row],[Class]]="A",WORKDAY(Main[[#This Row],[Tech Start Date]],4),""))))</f>
        <v/>
      </c>
      <c r="O1097" s="77" t="str">
        <f>IF(Main[[#This Row],[Tech Start Date]]&lt;1/1/1990,"",IF(Main[[#This Row],[Class]]="C",WORKDAY(Main[[#This Row],[Tech Start Date]],23),IF(Main[[#This Row],[Class]]="B", WORKDAY(Main[[#This Row],[Tech Start Date]],15),IF(Main[[#This Row],[Class]]="A",WORKDAY(Main[[#This Row],[Tech Start Date]],5),""))))</f>
        <v/>
      </c>
      <c r="P1097" s="77" t="str">
        <f>IF(Main[[#This Row],[Tech Start Date]]&lt;1/1/1990,"",IF(Main[[#This Row],[Class]]="C",WORKDAY(Main[[#This Row],[Tech Start Date]],28),IF(Main[[#This Row],[Class]]="B", WORKDAY(Main[[#This Row],[Tech Start Date]],19),IF(Main[[#This Row],[Class]]="A",WORKDAY(Main[[#This Row],[Tech Start Date]],9),""))))</f>
        <v/>
      </c>
      <c r="Q1097" s="74"/>
      <c r="R1097" s="74"/>
      <c r="S1097" s="72" t="s">
        <v>6</v>
      </c>
      <c r="T1097" s="80" t="s">
        <v>4</v>
      </c>
      <c r="U1097" s="72" t="s">
        <v>7</v>
      </c>
      <c r="V1097" s="72" t="s">
        <v>1937</v>
      </c>
      <c r="W1097" s="72" t="s">
        <v>4</v>
      </c>
      <c r="X1097" s="72" t="s">
        <v>927</v>
      </c>
      <c r="Y1097" s="72" t="s">
        <v>3215</v>
      </c>
      <c r="Z1097" s="72" t="s">
        <v>4</v>
      </c>
    </row>
    <row r="1098" spans="1:26" ht="18.600000000000001" customHeight="1">
      <c r="A1098" s="142" t="str">
        <f>IF(priority(Main[[#This Row],[Comments]])&lt;&gt;0, priority(Main[[#This Row],[Comments]]),"")</f>
        <v/>
      </c>
      <c r="B1098" s="139" t="s">
        <v>1916</v>
      </c>
      <c r="C1098" s="132" t="s">
        <v>4</v>
      </c>
      <c r="D1098" s="133" t="s">
        <v>964</v>
      </c>
      <c r="E1098" s="134">
        <v>40112.566631944443</v>
      </c>
      <c r="F1098" s="134"/>
      <c r="G1098" s="135" t="str">
        <f>IF(stdProdLT(Main[[#This Row],[Comments]])=0.1,"N/A",IF(stdProdLT(Main[[#This Row],[Comments]])=0,"",stdProdLT(Main[[#This Row],[Comments]])))</f>
        <v/>
      </c>
      <c r="H1098" s="136" t="str">
        <f>IF(AND(Main[[#This Row],[In Stock Date]]&lt;&gt;"",Main[[#This Row],[Revised Due Date]]&lt;&gt;""),Main[[#This Row],[In Stock Date]]-Main[[#This Row],[Revised Due Date]],"")</f>
        <v/>
      </c>
      <c r="I1098" s="132" t="s">
        <v>913</v>
      </c>
      <c r="J1098" s="132" t="s">
        <v>4</v>
      </c>
      <c r="K1098" s="132" t="s">
        <v>1949</v>
      </c>
      <c r="L1098" s="134"/>
      <c r="M1098" s="137" t="str">
        <f>IF(Main[[#This Row],[Tech Start Date]]&lt;1/1/1990,"",IF(Main[[#This Row],[Class]]="C",WORKDAY(Main[[#This Row],[Tech Start Date]],9),IF(Main[[#This Row],[Class]]="B", WORKDAY(Main[[#This Row],[Tech Start Date]],6),IF(Main[[#This Row],[Class]]="A",WORKDAY(Main[[#This Row],[Tech Start Date]],2),""))))</f>
        <v/>
      </c>
      <c r="N1098" s="137" t="str">
        <f>IF(Main[[#This Row],[Tech Start Date]]&lt;1/1/1990,"",IF(Main[[#This Row],[Class]]="C",WORKDAY(Main[[#This Row],[Tech Start Date]],19),IF(Main[[#This Row],[Class]]="B", WORKDAY(Main[[#This Row],[Tech Start Date]],12),IF(Main[[#This Row],[Class]]="A",WORKDAY(Main[[#This Row],[Tech Start Date]],4),""))))</f>
        <v/>
      </c>
      <c r="O1098" s="137" t="str">
        <f>IF(Main[[#This Row],[Tech Start Date]]&lt;1/1/1990,"",IF(Main[[#This Row],[Class]]="C",WORKDAY(Main[[#This Row],[Tech Start Date]],23),IF(Main[[#This Row],[Class]]="B", WORKDAY(Main[[#This Row],[Tech Start Date]],15),IF(Main[[#This Row],[Class]]="A",WORKDAY(Main[[#This Row],[Tech Start Date]],5),""))))</f>
        <v/>
      </c>
      <c r="P1098" s="137" t="str">
        <f>IF(Main[[#This Row],[Tech Start Date]]&lt;1/1/1990,"",IF(Main[[#This Row],[Class]]="C",WORKDAY(Main[[#This Row],[Tech Start Date]],28),IF(Main[[#This Row],[Class]]="B", WORKDAY(Main[[#This Row],[Tech Start Date]],19),IF(Main[[#This Row],[Class]]="A",WORKDAY(Main[[#This Row],[Tech Start Date]],9),""))))</f>
        <v/>
      </c>
      <c r="Q1098" s="134">
        <v>40564</v>
      </c>
      <c r="R1098" s="134">
        <v>41264</v>
      </c>
      <c r="S1098" s="132" t="s">
        <v>17</v>
      </c>
      <c r="T1098" s="138" t="s">
        <v>4</v>
      </c>
      <c r="U1098" s="132" t="s">
        <v>29</v>
      </c>
      <c r="V1098" s="132" t="s">
        <v>1940</v>
      </c>
      <c r="W1098" s="132" t="s">
        <v>1942</v>
      </c>
      <c r="X1098" s="132" t="s">
        <v>984</v>
      </c>
      <c r="Y1098" s="132" t="s">
        <v>3276</v>
      </c>
      <c r="Z1098" s="132" t="s">
        <v>421</v>
      </c>
    </row>
    <row r="1099" spans="1:26" ht="18.600000000000001" customHeight="1">
      <c r="A1099" s="142" t="str">
        <f>IF(priority(Main[[#This Row],[Comments]])&lt;&gt;0, priority(Main[[#This Row],[Comments]]),"")</f>
        <v/>
      </c>
      <c r="B1099" s="90" t="s">
        <v>1657</v>
      </c>
      <c r="C1099" s="72" t="s">
        <v>4</v>
      </c>
      <c r="D1099" s="73" t="s">
        <v>718</v>
      </c>
      <c r="E1099" s="74">
        <v>40634.328217592592</v>
      </c>
      <c r="F1099" s="74"/>
      <c r="G1099" s="75" t="str">
        <f>IF(stdProdLT(Main[[#This Row],[Comments]])=0.1,"N/A",IF(stdProdLT(Main[[#This Row],[Comments]])=0,"",stdProdLT(Main[[#This Row],[Comments]])))</f>
        <v/>
      </c>
      <c r="H1099" s="76" t="str">
        <f>IF(AND(Main[[#This Row],[In Stock Date]]&lt;&gt;"",Main[[#This Row],[Revised Due Date]]&lt;&gt;""),Main[[#This Row],[In Stock Date]]-Main[[#This Row],[Revised Due Date]],"")</f>
        <v/>
      </c>
      <c r="I1099" s="72" t="s">
        <v>927</v>
      </c>
      <c r="J1099" s="72" t="s">
        <v>4</v>
      </c>
      <c r="K1099" s="81" t="s">
        <v>4</v>
      </c>
      <c r="L1099" s="74"/>
      <c r="M1099" s="77" t="str">
        <f>IF(Main[[#This Row],[Tech Start Date]]&lt;1/1/1990,"",IF(Main[[#This Row],[Class]]="C",WORKDAY(Main[[#This Row],[Tech Start Date]],9),IF(Main[[#This Row],[Class]]="B", WORKDAY(Main[[#This Row],[Tech Start Date]],6),IF(Main[[#This Row],[Class]]="A",WORKDAY(Main[[#This Row],[Tech Start Date]],2),""))))</f>
        <v/>
      </c>
      <c r="N1099" s="77" t="str">
        <f>IF(Main[[#This Row],[Tech Start Date]]&lt;1/1/1990,"",IF(Main[[#This Row],[Class]]="C",WORKDAY(Main[[#This Row],[Tech Start Date]],19),IF(Main[[#This Row],[Class]]="B", WORKDAY(Main[[#This Row],[Tech Start Date]],12),IF(Main[[#This Row],[Class]]="A",WORKDAY(Main[[#This Row],[Tech Start Date]],4),""))))</f>
        <v/>
      </c>
      <c r="O1099" s="77" t="str">
        <f>IF(Main[[#This Row],[Tech Start Date]]&lt;1/1/1990,"",IF(Main[[#This Row],[Class]]="C",WORKDAY(Main[[#This Row],[Tech Start Date]],23),IF(Main[[#This Row],[Class]]="B", WORKDAY(Main[[#This Row],[Tech Start Date]],15),IF(Main[[#This Row],[Class]]="A",WORKDAY(Main[[#This Row],[Tech Start Date]],5),""))))</f>
        <v/>
      </c>
      <c r="P1099" s="77" t="str">
        <f>IF(Main[[#This Row],[Tech Start Date]]&lt;1/1/1990,"",IF(Main[[#This Row],[Class]]="C",WORKDAY(Main[[#This Row],[Tech Start Date]],28),IF(Main[[#This Row],[Class]]="B", WORKDAY(Main[[#This Row],[Tech Start Date]],19),IF(Main[[#This Row],[Class]]="A",WORKDAY(Main[[#This Row],[Tech Start Date]],9),""))))</f>
        <v/>
      </c>
      <c r="Q1099" s="74"/>
      <c r="R1099" s="74"/>
      <c r="S1099" s="72" t="s">
        <v>6</v>
      </c>
      <c r="T1099" s="80" t="s">
        <v>4</v>
      </c>
      <c r="U1099" s="72" t="s">
        <v>7</v>
      </c>
      <c r="V1099" s="72" t="s">
        <v>1937</v>
      </c>
      <c r="W1099" s="72" t="s">
        <v>1941</v>
      </c>
      <c r="X1099" s="72" t="s">
        <v>404</v>
      </c>
      <c r="Y1099" s="72" t="s">
        <v>4</v>
      </c>
      <c r="Z1099" s="72" t="s">
        <v>4</v>
      </c>
    </row>
    <row r="1100" spans="1:26" ht="18.600000000000001" customHeight="1">
      <c r="A1100" s="142" t="str">
        <f>IF(priority(Main[[#This Row],[Comments]])&lt;&gt;0, priority(Main[[#This Row],[Comments]]),"")</f>
        <v/>
      </c>
      <c r="B1100" s="90" t="s">
        <v>1857</v>
      </c>
      <c r="C1100" s="72" t="s">
        <v>4</v>
      </c>
      <c r="D1100" s="73" t="s">
        <v>904</v>
      </c>
      <c r="E1100" s="74">
        <v>40351.730219907404</v>
      </c>
      <c r="F1100" s="74"/>
      <c r="G1100" s="75" t="str">
        <f>IF(stdProdLT(Main[[#This Row],[Comments]])=0.1,"N/A",IF(stdProdLT(Main[[#This Row],[Comments]])=0,"",stdProdLT(Main[[#This Row],[Comments]])))</f>
        <v/>
      </c>
      <c r="H1100" s="76" t="str">
        <f>IF(AND(Main[[#This Row],[In Stock Date]]&lt;&gt;"",Main[[#This Row],[Revised Due Date]]&lt;&gt;""),Main[[#This Row],[In Stock Date]]-Main[[#This Row],[Revised Due Date]],"")</f>
        <v/>
      </c>
      <c r="I1100" s="72" t="s">
        <v>2080</v>
      </c>
      <c r="J1100" s="72" t="s">
        <v>28</v>
      </c>
      <c r="K1100" s="81" t="s">
        <v>1949</v>
      </c>
      <c r="L1100" s="74"/>
      <c r="M1100" s="77" t="str">
        <f>IF(Main[[#This Row],[Tech Start Date]]&lt;1/1/1990,"",IF(Main[[#This Row],[Class]]="C",WORKDAY(Main[[#This Row],[Tech Start Date]],9),IF(Main[[#This Row],[Class]]="B", WORKDAY(Main[[#This Row],[Tech Start Date]],6),IF(Main[[#This Row],[Class]]="A",WORKDAY(Main[[#This Row],[Tech Start Date]],2),""))))</f>
        <v/>
      </c>
      <c r="N1100" s="77" t="str">
        <f>IF(Main[[#This Row],[Tech Start Date]]&lt;1/1/1990,"",IF(Main[[#This Row],[Class]]="C",WORKDAY(Main[[#This Row],[Tech Start Date]],19),IF(Main[[#This Row],[Class]]="B", WORKDAY(Main[[#This Row],[Tech Start Date]],12),IF(Main[[#This Row],[Class]]="A",WORKDAY(Main[[#This Row],[Tech Start Date]],4),""))))</f>
        <v/>
      </c>
      <c r="O1100" s="77" t="str">
        <f>IF(Main[[#This Row],[Tech Start Date]]&lt;1/1/1990,"",IF(Main[[#This Row],[Class]]="C",WORKDAY(Main[[#This Row],[Tech Start Date]],23),IF(Main[[#This Row],[Class]]="B", WORKDAY(Main[[#This Row],[Tech Start Date]],15),IF(Main[[#This Row],[Class]]="A",WORKDAY(Main[[#This Row],[Tech Start Date]],5),""))))</f>
        <v/>
      </c>
      <c r="P1100" s="77" t="str">
        <f>IF(Main[[#This Row],[Tech Start Date]]&lt;1/1/1990,"",IF(Main[[#This Row],[Class]]="C",WORKDAY(Main[[#This Row],[Tech Start Date]],28),IF(Main[[#This Row],[Class]]="B", WORKDAY(Main[[#This Row],[Tech Start Date]],19),IF(Main[[#This Row],[Class]]="A",WORKDAY(Main[[#This Row],[Tech Start Date]],9),""))))</f>
        <v/>
      </c>
      <c r="Q1100" s="74">
        <v>40906</v>
      </c>
      <c r="R1100" s="74">
        <v>40436</v>
      </c>
      <c r="S1100" s="72" t="s">
        <v>17</v>
      </c>
      <c r="T1100" s="80" t="s">
        <v>4</v>
      </c>
      <c r="U1100" s="72" t="s">
        <v>29</v>
      </c>
      <c r="V1100" s="72" t="s">
        <v>1938</v>
      </c>
      <c r="W1100" s="72" t="s">
        <v>1942</v>
      </c>
      <c r="X1100" s="72" t="s">
        <v>3014</v>
      </c>
      <c r="Y1100" s="72" t="s">
        <v>3164</v>
      </c>
      <c r="Z1100" s="72" t="s">
        <v>108</v>
      </c>
    </row>
    <row r="1101" spans="1:26" ht="18.600000000000001" customHeight="1">
      <c r="A1101" s="142" t="str">
        <f>IF(priority(Main[[#This Row],[Comments]])&lt;&gt;0, priority(Main[[#This Row],[Comments]]),"")</f>
        <v/>
      </c>
      <c r="B1101" s="90" t="s">
        <v>2446</v>
      </c>
      <c r="C1101" s="72" t="s">
        <v>4</v>
      </c>
      <c r="D1101" s="73" t="s">
        <v>2447</v>
      </c>
      <c r="E1101" s="74">
        <v>40820.81591435185</v>
      </c>
      <c r="F1101" s="74"/>
      <c r="G1101" s="75" t="str">
        <f>IF(stdProdLT(Main[[#This Row],[Comments]])=0.1,"N/A",IF(stdProdLT(Main[[#This Row],[Comments]])=0,"",stdProdLT(Main[[#This Row],[Comments]])))</f>
        <v/>
      </c>
      <c r="H1101" s="76" t="str">
        <f>IF(AND(Main[[#This Row],[In Stock Date]]&lt;&gt;"",Main[[#This Row],[Revised Due Date]]&lt;&gt;""),Main[[#This Row],[In Stock Date]]-Main[[#This Row],[Revised Due Date]],"")</f>
        <v/>
      </c>
      <c r="I1101" s="72" t="s">
        <v>242</v>
      </c>
      <c r="J1101" s="72" t="s">
        <v>28</v>
      </c>
      <c r="K1101" s="72" t="s">
        <v>1946</v>
      </c>
      <c r="L1101" s="74"/>
      <c r="M1101" s="77" t="str">
        <f>IF(Main[[#This Row],[Tech Start Date]]&lt;1/1/1990,"",IF(Main[[#This Row],[Class]]="C",WORKDAY(Main[[#This Row],[Tech Start Date]],9),IF(Main[[#This Row],[Class]]="B", WORKDAY(Main[[#This Row],[Tech Start Date]],6),IF(Main[[#This Row],[Class]]="A",WORKDAY(Main[[#This Row],[Tech Start Date]],2),""))))</f>
        <v/>
      </c>
      <c r="N1101" s="77" t="str">
        <f>IF(Main[[#This Row],[Tech Start Date]]&lt;1/1/1990,"",IF(Main[[#This Row],[Class]]="C",WORKDAY(Main[[#This Row],[Tech Start Date]],19),IF(Main[[#This Row],[Class]]="B", WORKDAY(Main[[#This Row],[Tech Start Date]],12),IF(Main[[#This Row],[Class]]="A",WORKDAY(Main[[#This Row],[Tech Start Date]],4),""))))</f>
        <v/>
      </c>
      <c r="O1101" s="77" t="str">
        <f>IF(Main[[#This Row],[Tech Start Date]]&lt;1/1/1990,"",IF(Main[[#This Row],[Class]]="C",WORKDAY(Main[[#This Row],[Tech Start Date]],23),IF(Main[[#This Row],[Class]]="B", WORKDAY(Main[[#This Row],[Tech Start Date]],15),IF(Main[[#This Row],[Class]]="A",WORKDAY(Main[[#This Row],[Tech Start Date]],5),""))))</f>
        <v/>
      </c>
      <c r="P1101" s="77" t="str">
        <f>IF(Main[[#This Row],[Tech Start Date]]&lt;1/1/1990,"",IF(Main[[#This Row],[Class]]="C",WORKDAY(Main[[#This Row],[Tech Start Date]],28),IF(Main[[#This Row],[Class]]="B", WORKDAY(Main[[#This Row],[Tech Start Date]],19),IF(Main[[#This Row],[Class]]="A",WORKDAY(Main[[#This Row],[Tech Start Date]],9),""))))</f>
        <v/>
      </c>
      <c r="Q1101" s="74">
        <v>40847</v>
      </c>
      <c r="R1101" s="74"/>
      <c r="S1101" s="72" t="s">
        <v>6</v>
      </c>
      <c r="T1101" s="80" t="s">
        <v>4</v>
      </c>
      <c r="U1101" s="72" t="s">
        <v>29</v>
      </c>
      <c r="V1101" s="72" t="s">
        <v>1940</v>
      </c>
      <c r="W1101" s="72" t="s">
        <v>1941</v>
      </c>
      <c r="X1101" s="72" t="s">
        <v>30</v>
      </c>
      <c r="Y1101" s="72" t="s">
        <v>3098</v>
      </c>
      <c r="Z1101" s="72" t="s">
        <v>30</v>
      </c>
    </row>
    <row r="1102" spans="1:26" ht="18.600000000000001" customHeight="1">
      <c r="A1102" s="142" t="str">
        <f>IF(priority(Main[[#This Row],[Comments]])&lt;&gt;0, priority(Main[[#This Row],[Comments]]),"")</f>
        <v/>
      </c>
      <c r="B1102" s="90" t="s">
        <v>2323</v>
      </c>
      <c r="C1102" s="72" t="s">
        <v>67</v>
      </c>
      <c r="D1102" s="73" t="s">
        <v>2319</v>
      </c>
      <c r="E1102" s="74">
        <v>40813.66920138889</v>
      </c>
      <c r="F1102" s="74">
        <v>41075</v>
      </c>
      <c r="G1102" s="75" t="str">
        <f>IF(stdProdLT(Main[[#This Row],[Comments]])=0.1,"N/A",IF(stdProdLT(Main[[#This Row],[Comments]])=0,"",stdProdLT(Main[[#This Row],[Comments]])))</f>
        <v/>
      </c>
      <c r="H1102" s="76" t="str">
        <f>IF(AND(Main[[#This Row],[In Stock Date]]&lt;&gt;"",Main[[#This Row],[Revised Due Date]]&lt;&gt;""),Main[[#This Row],[In Stock Date]]-Main[[#This Row],[Revised Due Date]],"")</f>
        <v/>
      </c>
      <c r="I1102" s="72" t="s">
        <v>242</v>
      </c>
      <c r="J1102" s="72" t="s">
        <v>28</v>
      </c>
      <c r="K1102" s="72" t="s">
        <v>1949</v>
      </c>
      <c r="L1102" s="74"/>
      <c r="M1102" s="77" t="str">
        <f>IF(Main[[#This Row],[Tech Start Date]]&lt;1/1/1990,"",IF(Main[[#This Row],[Class]]="C",WORKDAY(Main[[#This Row],[Tech Start Date]],9),IF(Main[[#This Row],[Class]]="B", WORKDAY(Main[[#This Row],[Tech Start Date]],6),IF(Main[[#This Row],[Class]]="A",WORKDAY(Main[[#This Row],[Tech Start Date]],2),""))))</f>
        <v/>
      </c>
      <c r="N1102" s="77" t="str">
        <f>IF(Main[[#This Row],[Tech Start Date]]&lt;1/1/1990,"",IF(Main[[#This Row],[Class]]="C",WORKDAY(Main[[#This Row],[Tech Start Date]],19),IF(Main[[#This Row],[Class]]="B", WORKDAY(Main[[#This Row],[Tech Start Date]],12),IF(Main[[#This Row],[Class]]="A",WORKDAY(Main[[#This Row],[Tech Start Date]],4),""))))</f>
        <v/>
      </c>
      <c r="O1102" s="77" t="str">
        <f>IF(Main[[#This Row],[Tech Start Date]]&lt;1/1/1990,"",IF(Main[[#This Row],[Class]]="C",WORKDAY(Main[[#This Row],[Tech Start Date]],23),IF(Main[[#This Row],[Class]]="B", WORKDAY(Main[[#This Row],[Tech Start Date]],15),IF(Main[[#This Row],[Class]]="A",WORKDAY(Main[[#This Row],[Tech Start Date]],5),""))))</f>
        <v/>
      </c>
      <c r="P1102" s="77" t="str">
        <f>IF(Main[[#This Row],[Tech Start Date]]&lt;1/1/1990,"",IF(Main[[#This Row],[Class]]="C",WORKDAY(Main[[#This Row],[Tech Start Date]],28),IF(Main[[#This Row],[Class]]="B", WORKDAY(Main[[#This Row],[Tech Start Date]],19),IF(Main[[#This Row],[Class]]="A",WORKDAY(Main[[#This Row],[Tech Start Date]],9),""))))</f>
        <v/>
      </c>
      <c r="Q1102" s="74">
        <v>41258</v>
      </c>
      <c r="R1102" s="74"/>
      <c r="S1102" s="72" t="s">
        <v>17</v>
      </c>
      <c r="T1102" s="80" t="s">
        <v>4</v>
      </c>
      <c r="U1102" s="72" t="s">
        <v>29</v>
      </c>
      <c r="V1102" s="72" t="s">
        <v>1947</v>
      </c>
      <c r="W1102" s="72" t="s">
        <v>1948</v>
      </c>
      <c r="X1102" s="72" t="s">
        <v>560</v>
      </c>
      <c r="Y1102" s="72" t="s">
        <v>3110</v>
      </c>
      <c r="Z1102" s="72" t="s">
        <v>242</v>
      </c>
    </row>
    <row r="1103" spans="1:26" ht="18.600000000000001" customHeight="1">
      <c r="A1103" s="142" t="str">
        <f>IF(priority(Main[[#This Row],[Comments]])&lt;&gt;0, priority(Main[[#This Row],[Comments]]),"")</f>
        <v/>
      </c>
      <c r="B1103" s="90" t="s">
        <v>2190</v>
      </c>
      <c r="C1103" s="72" t="s">
        <v>2191</v>
      </c>
      <c r="D1103" s="73" t="s">
        <v>2376</v>
      </c>
      <c r="E1103" s="74">
        <v>40781.400787037041</v>
      </c>
      <c r="F1103" s="74"/>
      <c r="G1103" s="75" t="str">
        <f>IF(stdProdLT(Main[[#This Row],[Comments]])=0.1,"N/A",IF(stdProdLT(Main[[#This Row],[Comments]])=0,"",stdProdLT(Main[[#This Row],[Comments]])))</f>
        <v/>
      </c>
      <c r="H1103" s="76" t="str">
        <f>IF(AND(Main[[#This Row],[In Stock Date]]&lt;&gt;"",Main[[#This Row],[Revised Due Date]]&lt;&gt;""),Main[[#This Row],[In Stock Date]]-Main[[#This Row],[Revised Due Date]],"")</f>
        <v/>
      </c>
      <c r="I1103" s="72" t="s">
        <v>4</v>
      </c>
      <c r="J1103" s="72" t="s">
        <v>28</v>
      </c>
      <c r="K1103" s="81" t="s">
        <v>1946</v>
      </c>
      <c r="L1103" s="74"/>
      <c r="M1103" s="77" t="str">
        <f>IF(Main[[#This Row],[Tech Start Date]]&lt;1/1/1990,"",IF(Main[[#This Row],[Class]]="C",WORKDAY(Main[[#This Row],[Tech Start Date]],9),IF(Main[[#This Row],[Class]]="B", WORKDAY(Main[[#This Row],[Tech Start Date]],6),IF(Main[[#This Row],[Class]]="A",WORKDAY(Main[[#This Row],[Tech Start Date]],2),""))))</f>
        <v/>
      </c>
      <c r="N1103" s="77" t="str">
        <f>IF(Main[[#This Row],[Tech Start Date]]&lt;1/1/1990,"",IF(Main[[#This Row],[Class]]="C",WORKDAY(Main[[#This Row],[Tech Start Date]],19),IF(Main[[#This Row],[Class]]="B", WORKDAY(Main[[#This Row],[Tech Start Date]],12),IF(Main[[#This Row],[Class]]="A",WORKDAY(Main[[#This Row],[Tech Start Date]],4),""))))</f>
        <v/>
      </c>
      <c r="O1103" s="77" t="str">
        <f>IF(Main[[#This Row],[Tech Start Date]]&lt;1/1/1990,"",IF(Main[[#This Row],[Class]]="C",WORKDAY(Main[[#This Row],[Tech Start Date]],23),IF(Main[[#This Row],[Class]]="B", WORKDAY(Main[[#This Row],[Tech Start Date]],15),IF(Main[[#This Row],[Class]]="A",WORKDAY(Main[[#This Row],[Tech Start Date]],5),""))))</f>
        <v/>
      </c>
      <c r="P1103" s="77" t="str">
        <f>IF(Main[[#This Row],[Tech Start Date]]&lt;1/1/1990,"",IF(Main[[#This Row],[Class]]="C",WORKDAY(Main[[#This Row],[Tech Start Date]],28),IF(Main[[#This Row],[Class]]="B", WORKDAY(Main[[#This Row],[Tech Start Date]],19),IF(Main[[#This Row],[Class]]="A",WORKDAY(Main[[#This Row],[Tech Start Date]],9),""))))</f>
        <v/>
      </c>
      <c r="Q1103" s="74">
        <v>40836</v>
      </c>
      <c r="R1103" s="74"/>
      <c r="S1103" s="72" t="s">
        <v>6</v>
      </c>
      <c r="T1103" s="80" t="s">
        <v>4</v>
      </c>
      <c r="U1103" s="72" t="s">
        <v>29</v>
      </c>
      <c r="V1103" s="72" t="s">
        <v>1940</v>
      </c>
      <c r="W1103" s="72" t="s">
        <v>1941</v>
      </c>
      <c r="X1103" s="72" t="s">
        <v>2988</v>
      </c>
      <c r="Y1103" s="72" t="s">
        <v>3123</v>
      </c>
      <c r="Z1103" s="72" t="s">
        <v>30</v>
      </c>
    </row>
    <row r="1104" spans="1:26" ht="18.600000000000001" customHeight="1">
      <c r="A1104" s="142" t="str">
        <f>IF(priority(Main[[#This Row],[Comments]])&lt;&gt;0, priority(Main[[#This Row],[Comments]]),"")</f>
        <v/>
      </c>
      <c r="B1104" s="90" t="s">
        <v>2851</v>
      </c>
      <c r="C1104" s="72" t="s">
        <v>4</v>
      </c>
      <c r="D1104" s="73" t="s">
        <v>2852</v>
      </c>
      <c r="E1104" s="74">
        <v>40883.642361111109</v>
      </c>
      <c r="F1104" s="74"/>
      <c r="G1104" s="75" t="str">
        <f>IF(stdProdLT(Main[[#This Row],[Comments]])=0.1,"N/A",IF(stdProdLT(Main[[#This Row],[Comments]])=0,"",stdProdLT(Main[[#This Row],[Comments]])))</f>
        <v/>
      </c>
      <c r="H1104" s="76" t="str">
        <f>IF(AND(Main[[#This Row],[In Stock Date]]&lt;&gt;"",Main[[#This Row],[Revised Due Date]]&lt;&gt;""),Main[[#This Row],[In Stock Date]]-Main[[#This Row],[Revised Due Date]],"")</f>
        <v/>
      </c>
      <c r="I1104" s="72" t="s">
        <v>74</v>
      </c>
      <c r="J1104" s="72" t="s">
        <v>4</v>
      </c>
      <c r="K1104" s="72" t="s">
        <v>1949</v>
      </c>
      <c r="L1104" s="74"/>
      <c r="M1104" s="77" t="str">
        <f>IF(Main[[#This Row],[Tech Start Date]]&lt;1/1/1990,"",IF(Main[[#This Row],[Class]]="C",WORKDAY(Main[[#This Row],[Tech Start Date]],9),IF(Main[[#This Row],[Class]]="B", WORKDAY(Main[[#This Row],[Tech Start Date]],6),IF(Main[[#This Row],[Class]]="A",WORKDAY(Main[[#This Row],[Tech Start Date]],2),""))))</f>
        <v/>
      </c>
      <c r="N1104" s="77" t="str">
        <f>IF(Main[[#This Row],[Tech Start Date]]&lt;1/1/1990,"",IF(Main[[#This Row],[Class]]="C",WORKDAY(Main[[#This Row],[Tech Start Date]],19),IF(Main[[#This Row],[Class]]="B", WORKDAY(Main[[#This Row],[Tech Start Date]],12),IF(Main[[#This Row],[Class]]="A",WORKDAY(Main[[#This Row],[Tech Start Date]],4),""))))</f>
        <v/>
      </c>
      <c r="O1104" s="77" t="str">
        <f>IF(Main[[#This Row],[Tech Start Date]]&lt;1/1/1990,"",IF(Main[[#This Row],[Class]]="C",WORKDAY(Main[[#This Row],[Tech Start Date]],23),IF(Main[[#This Row],[Class]]="B", WORKDAY(Main[[#This Row],[Tech Start Date]],15),IF(Main[[#This Row],[Class]]="A",WORKDAY(Main[[#This Row],[Tech Start Date]],5),""))))</f>
        <v/>
      </c>
      <c r="P1104" s="77" t="str">
        <f>IF(Main[[#This Row],[Tech Start Date]]&lt;1/1/1990,"",IF(Main[[#This Row],[Class]]="C",WORKDAY(Main[[#This Row],[Tech Start Date]],28),IF(Main[[#This Row],[Class]]="B", WORKDAY(Main[[#This Row],[Tech Start Date]],19),IF(Main[[#This Row],[Class]]="A",WORKDAY(Main[[#This Row],[Tech Start Date]],9),""))))</f>
        <v/>
      </c>
      <c r="Q1104" s="74"/>
      <c r="R1104" s="74"/>
      <c r="S1104" s="72" t="s">
        <v>17</v>
      </c>
      <c r="T1104" s="80" t="s">
        <v>4</v>
      </c>
      <c r="U1104" s="72" t="s">
        <v>29</v>
      </c>
      <c r="V1104" s="72" t="s">
        <v>1940</v>
      </c>
      <c r="W1104" s="72" t="s">
        <v>1942</v>
      </c>
      <c r="X1104" s="72" t="s">
        <v>421</v>
      </c>
      <c r="Y1104" s="72" t="s">
        <v>3133</v>
      </c>
      <c r="Z1104" s="72" t="s">
        <v>421</v>
      </c>
    </row>
    <row r="1105" spans="1:26" ht="18.600000000000001" customHeight="1">
      <c r="A1105" s="142" t="str">
        <f>IF(priority(Main[[#This Row],[Comments]])&lt;&gt;0, priority(Main[[#This Row],[Comments]]),"")</f>
        <v/>
      </c>
      <c r="B1105" s="90" t="s">
        <v>2556</v>
      </c>
      <c r="C1105" s="72" t="s">
        <v>4</v>
      </c>
      <c r="D1105" s="73" t="s">
        <v>2557</v>
      </c>
      <c r="E1105" s="74">
        <v>40849.455775462964</v>
      </c>
      <c r="F1105" s="74"/>
      <c r="G1105" s="75" t="str">
        <f>IF(stdProdLT(Main[[#This Row],[Comments]])=0.1,"N/A",IF(stdProdLT(Main[[#This Row],[Comments]])=0,"",stdProdLT(Main[[#This Row],[Comments]])))</f>
        <v/>
      </c>
      <c r="H1105" s="76" t="str">
        <f>IF(AND(Main[[#This Row],[In Stock Date]]&lt;&gt;"",Main[[#This Row],[Revised Due Date]]&lt;&gt;""),Main[[#This Row],[In Stock Date]]-Main[[#This Row],[Revised Due Date]],"")</f>
        <v/>
      </c>
      <c r="I1105" s="72" t="s">
        <v>69</v>
      </c>
      <c r="J1105" s="72" t="s">
        <v>70</v>
      </c>
      <c r="K1105" s="72" t="s">
        <v>1946</v>
      </c>
      <c r="L1105" s="74"/>
      <c r="M1105" s="77" t="str">
        <f>IF(Main[[#This Row],[Tech Start Date]]&lt;1/1/1990,"",IF(Main[[#This Row],[Class]]="C",WORKDAY(Main[[#This Row],[Tech Start Date]],9),IF(Main[[#This Row],[Class]]="B", WORKDAY(Main[[#This Row],[Tech Start Date]],6),IF(Main[[#This Row],[Class]]="A",WORKDAY(Main[[#This Row],[Tech Start Date]],2),""))))</f>
        <v/>
      </c>
      <c r="N1105" s="77" t="str">
        <f>IF(Main[[#This Row],[Tech Start Date]]&lt;1/1/1990,"",IF(Main[[#This Row],[Class]]="C",WORKDAY(Main[[#This Row],[Tech Start Date]],19),IF(Main[[#This Row],[Class]]="B", WORKDAY(Main[[#This Row],[Tech Start Date]],12),IF(Main[[#This Row],[Class]]="A",WORKDAY(Main[[#This Row],[Tech Start Date]],4),""))))</f>
        <v/>
      </c>
      <c r="O1105" s="77" t="str">
        <f>IF(Main[[#This Row],[Tech Start Date]]&lt;1/1/1990,"",IF(Main[[#This Row],[Class]]="C",WORKDAY(Main[[#This Row],[Tech Start Date]],23),IF(Main[[#This Row],[Class]]="B", WORKDAY(Main[[#This Row],[Tech Start Date]],15),IF(Main[[#This Row],[Class]]="A",WORKDAY(Main[[#This Row],[Tech Start Date]],5),""))))</f>
        <v/>
      </c>
      <c r="P1105" s="77" t="str">
        <f>IF(Main[[#This Row],[Tech Start Date]]&lt;1/1/1990,"",IF(Main[[#This Row],[Class]]="C",WORKDAY(Main[[#This Row],[Tech Start Date]],28),IF(Main[[#This Row],[Class]]="B", WORKDAY(Main[[#This Row],[Tech Start Date]],19),IF(Main[[#This Row],[Class]]="A",WORKDAY(Main[[#This Row],[Tech Start Date]],9),""))))</f>
        <v/>
      </c>
      <c r="Q1105" s="74">
        <v>40879</v>
      </c>
      <c r="R1105" s="74"/>
      <c r="S1105" s="72" t="s">
        <v>6</v>
      </c>
      <c r="T1105" s="80" t="s">
        <v>4</v>
      </c>
      <c r="U1105" s="72" t="s">
        <v>29</v>
      </c>
      <c r="V1105" s="72" t="s">
        <v>1940</v>
      </c>
      <c r="W1105" s="72" t="s">
        <v>1941</v>
      </c>
      <c r="X1105" s="72" t="s">
        <v>3055</v>
      </c>
      <c r="Y1105" s="72" t="s">
        <v>3241</v>
      </c>
      <c r="Z1105" s="72" t="s">
        <v>30</v>
      </c>
    </row>
    <row r="1106" spans="1:26" ht="18.600000000000001" customHeight="1">
      <c r="A1106" s="142" t="str">
        <f>IF(priority(Main[[#This Row],[Comments]])&lt;&gt;0, priority(Main[[#This Row],[Comments]]),"")</f>
        <v/>
      </c>
      <c r="B1106" s="90" t="s">
        <v>3445</v>
      </c>
      <c r="C1106" s="72" t="s">
        <v>4</v>
      </c>
      <c r="D1106" s="73" t="s">
        <v>3446</v>
      </c>
      <c r="E1106" s="74">
        <v>40924.459930555553</v>
      </c>
      <c r="F1106" s="74"/>
      <c r="G1106" s="75" t="str">
        <f>IF(stdProdLT(Main[[#This Row],[Comments]])=0.1,"N/A",IF(stdProdLT(Main[[#This Row],[Comments]])=0,"",stdProdLT(Main[[#This Row],[Comments]])))</f>
        <v/>
      </c>
      <c r="H1106" s="76" t="str">
        <f>IF(AND(Main[[#This Row],[In Stock Date]]&lt;&gt;"",Main[[#This Row],[Revised Due Date]]&lt;&gt;""),Main[[#This Row],[In Stock Date]]-Main[[#This Row],[Revised Due Date]],"")</f>
        <v/>
      </c>
      <c r="I1106" s="72" t="s">
        <v>4</v>
      </c>
      <c r="J1106" s="72" t="s">
        <v>28</v>
      </c>
      <c r="K1106" s="81" t="s">
        <v>4</v>
      </c>
      <c r="L1106" s="74"/>
      <c r="M1106" s="77" t="str">
        <f>IF(Main[[#This Row],[Tech Start Date]]&lt;1/1/1990,"",IF(Main[[#This Row],[Class]]="C",WORKDAY(Main[[#This Row],[Tech Start Date]],9),IF(Main[[#This Row],[Class]]="B", WORKDAY(Main[[#This Row],[Tech Start Date]],6),IF(Main[[#This Row],[Class]]="A",WORKDAY(Main[[#This Row],[Tech Start Date]],2),""))))</f>
        <v/>
      </c>
      <c r="N1106" s="77" t="str">
        <f>IF(Main[[#This Row],[Tech Start Date]]&lt;1/1/1990,"",IF(Main[[#This Row],[Class]]="C",WORKDAY(Main[[#This Row],[Tech Start Date]],19),IF(Main[[#This Row],[Class]]="B", WORKDAY(Main[[#This Row],[Tech Start Date]],12),IF(Main[[#This Row],[Class]]="A",WORKDAY(Main[[#This Row],[Tech Start Date]],4),""))))</f>
        <v/>
      </c>
      <c r="O1106" s="77" t="str">
        <f>IF(Main[[#This Row],[Tech Start Date]]&lt;1/1/1990,"",IF(Main[[#This Row],[Class]]="C",WORKDAY(Main[[#This Row],[Tech Start Date]],23),IF(Main[[#This Row],[Class]]="B", WORKDAY(Main[[#This Row],[Tech Start Date]],15),IF(Main[[#This Row],[Class]]="A",WORKDAY(Main[[#This Row],[Tech Start Date]],5),""))))</f>
        <v/>
      </c>
      <c r="P1106" s="77" t="str">
        <f>IF(Main[[#This Row],[Tech Start Date]]&lt;1/1/1990,"",IF(Main[[#This Row],[Class]]="C",WORKDAY(Main[[#This Row],[Tech Start Date]],28),IF(Main[[#This Row],[Class]]="B", WORKDAY(Main[[#This Row],[Tech Start Date]],19),IF(Main[[#This Row],[Class]]="A",WORKDAY(Main[[#This Row],[Tech Start Date]],9),""))))</f>
        <v/>
      </c>
      <c r="Q1106" s="74"/>
      <c r="R1106" s="74"/>
      <c r="S1106" s="72" t="s">
        <v>6</v>
      </c>
      <c r="T1106" s="80" t="s">
        <v>4</v>
      </c>
      <c r="U1106" s="72" t="s">
        <v>29</v>
      </c>
      <c r="V1106" s="72" t="s">
        <v>1940</v>
      </c>
      <c r="W1106" s="72" t="s">
        <v>1941</v>
      </c>
      <c r="X1106" s="72" t="s">
        <v>102</v>
      </c>
      <c r="Y1106" s="72" t="s">
        <v>3447</v>
      </c>
      <c r="Z1106" s="72" t="s">
        <v>30</v>
      </c>
    </row>
    <row r="1107" spans="1:26" ht="18.600000000000001" customHeight="1">
      <c r="A1107" s="142" t="str">
        <f>IF(priority(Main[[#This Row],[Comments]])&lt;&gt;0, priority(Main[[#This Row],[Comments]]),"")</f>
        <v/>
      </c>
      <c r="B1107" s="90" t="s">
        <v>1652</v>
      </c>
      <c r="C1107" s="72" t="s">
        <v>79</v>
      </c>
      <c r="D1107" s="73" t="s">
        <v>715</v>
      </c>
      <c r="E1107" s="74">
        <v>40610.683993055558</v>
      </c>
      <c r="F1107" s="74"/>
      <c r="G1107" s="75" t="str">
        <f>IF(stdProdLT(Main[[#This Row],[Comments]])=0.1,"N/A",IF(stdProdLT(Main[[#This Row],[Comments]])=0,"",stdProdLT(Main[[#This Row],[Comments]])))</f>
        <v/>
      </c>
      <c r="H1107" s="76" t="str">
        <f>IF(AND(Main[[#This Row],[In Stock Date]]&lt;&gt;"",Main[[#This Row],[Revised Due Date]]&lt;&gt;""),Main[[#This Row],[In Stock Date]]-Main[[#This Row],[Revised Due Date]],"")</f>
        <v/>
      </c>
      <c r="I1107" s="72" t="s">
        <v>536</v>
      </c>
      <c r="J1107" s="72" t="s">
        <v>28</v>
      </c>
      <c r="K1107" s="81" t="s">
        <v>1949</v>
      </c>
      <c r="L1107" s="74"/>
      <c r="M1107" s="77" t="str">
        <f>IF(Main[[#This Row],[Tech Start Date]]&lt;1/1/1990,"",IF(Main[[#This Row],[Class]]="C",WORKDAY(Main[[#This Row],[Tech Start Date]],9),IF(Main[[#This Row],[Class]]="B", WORKDAY(Main[[#This Row],[Tech Start Date]],6),IF(Main[[#This Row],[Class]]="A",WORKDAY(Main[[#This Row],[Tech Start Date]],2),""))))</f>
        <v/>
      </c>
      <c r="N1107" s="77" t="str">
        <f>IF(Main[[#This Row],[Tech Start Date]]&lt;1/1/1990,"",IF(Main[[#This Row],[Class]]="C",WORKDAY(Main[[#This Row],[Tech Start Date]],19),IF(Main[[#This Row],[Class]]="B", WORKDAY(Main[[#This Row],[Tech Start Date]],12),IF(Main[[#This Row],[Class]]="A",WORKDAY(Main[[#This Row],[Tech Start Date]],4),""))))</f>
        <v/>
      </c>
      <c r="O1107" s="77" t="str">
        <f>IF(Main[[#This Row],[Tech Start Date]]&lt;1/1/1990,"",IF(Main[[#This Row],[Class]]="C",WORKDAY(Main[[#This Row],[Tech Start Date]],23),IF(Main[[#This Row],[Class]]="B", WORKDAY(Main[[#This Row],[Tech Start Date]],15),IF(Main[[#This Row],[Class]]="A",WORKDAY(Main[[#This Row],[Tech Start Date]],5),""))))</f>
        <v/>
      </c>
      <c r="P1107" s="77" t="str">
        <f>IF(Main[[#This Row],[Tech Start Date]]&lt;1/1/1990,"",IF(Main[[#This Row],[Class]]="C",WORKDAY(Main[[#This Row],[Tech Start Date]],28),IF(Main[[#This Row],[Class]]="B", WORKDAY(Main[[#This Row],[Tech Start Date]],19),IF(Main[[#This Row],[Class]]="A",WORKDAY(Main[[#This Row],[Tech Start Date]],9),""))))</f>
        <v/>
      </c>
      <c r="Q1107" s="74">
        <v>40725</v>
      </c>
      <c r="R1107" s="74"/>
      <c r="S1107" s="72" t="s">
        <v>6</v>
      </c>
      <c r="T1107" s="80" t="s">
        <v>4</v>
      </c>
      <c r="U1107" s="72" t="s">
        <v>29</v>
      </c>
      <c r="V1107" s="72" t="s">
        <v>1940</v>
      </c>
      <c r="W1107" s="72" t="s">
        <v>1939</v>
      </c>
      <c r="X1107" s="72" t="s">
        <v>560</v>
      </c>
      <c r="Y1107" s="72" t="s">
        <v>3110</v>
      </c>
      <c r="Z1107" s="72" t="s">
        <v>30</v>
      </c>
    </row>
    <row r="1108" spans="1:26" ht="18.600000000000001" customHeight="1">
      <c r="A1108" s="142" t="str">
        <f>IF(priority(Main[[#This Row],[Comments]])&lt;&gt;0, priority(Main[[#This Row],[Comments]]),"")</f>
        <v/>
      </c>
      <c r="B1108" s="90" t="s">
        <v>1860</v>
      </c>
      <c r="C1108" s="72" t="s">
        <v>42</v>
      </c>
      <c r="D1108" s="73" t="s">
        <v>907</v>
      </c>
      <c r="E1108" s="74">
        <v>39937.597175925926</v>
      </c>
      <c r="F1108" s="74"/>
      <c r="G1108" s="75" t="str">
        <f>IF(stdProdLT(Main[[#This Row],[Comments]])=0.1,"N/A",IF(stdProdLT(Main[[#This Row],[Comments]])=0,"",stdProdLT(Main[[#This Row],[Comments]])))</f>
        <v/>
      </c>
      <c r="H1108" s="76" t="str">
        <f>IF(AND(Main[[#This Row],[In Stock Date]]&lt;&gt;"",Main[[#This Row],[Revised Due Date]]&lt;&gt;""),Main[[#This Row],[In Stock Date]]-Main[[#This Row],[Revised Due Date]],"")</f>
        <v/>
      </c>
      <c r="I1108" s="72" t="s">
        <v>421</v>
      </c>
      <c r="J1108" s="72" t="s">
        <v>4</v>
      </c>
      <c r="K1108" s="72" t="s">
        <v>1949</v>
      </c>
      <c r="L1108" s="74"/>
      <c r="M1108" s="77" t="str">
        <f>IF(Main[[#This Row],[Tech Start Date]]&lt;1/1/1990,"",IF(Main[[#This Row],[Class]]="C",WORKDAY(Main[[#This Row],[Tech Start Date]],9),IF(Main[[#This Row],[Class]]="B", WORKDAY(Main[[#This Row],[Tech Start Date]],6),IF(Main[[#This Row],[Class]]="A",WORKDAY(Main[[#This Row],[Tech Start Date]],2),""))))</f>
        <v/>
      </c>
      <c r="N1108" s="77" t="str">
        <f>IF(Main[[#This Row],[Tech Start Date]]&lt;1/1/1990,"",IF(Main[[#This Row],[Class]]="C",WORKDAY(Main[[#This Row],[Tech Start Date]],19),IF(Main[[#This Row],[Class]]="B", WORKDAY(Main[[#This Row],[Tech Start Date]],12),IF(Main[[#This Row],[Class]]="A",WORKDAY(Main[[#This Row],[Tech Start Date]],4),""))))</f>
        <v/>
      </c>
      <c r="O1108" s="77" t="str">
        <f>IF(Main[[#This Row],[Tech Start Date]]&lt;1/1/1990,"",IF(Main[[#This Row],[Class]]="C",WORKDAY(Main[[#This Row],[Tech Start Date]],23),IF(Main[[#This Row],[Class]]="B", WORKDAY(Main[[#This Row],[Tech Start Date]],15),IF(Main[[#This Row],[Class]]="A",WORKDAY(Main[[#This Row],[Tech Start Date]],5),""))))</f>
        <v/>
      </c>
      <c r="P1108" s="77" t="str">
        <f>IF(Main[[#This Row],[Tech Start Date]]&lt;1/1/1990,"",IF(Main[[#This Row],[Class]]="C",WORKDAY(Main[[#This Row],[Tech Start Date]],28),IF(Main[[#This Row],[Class]]="B", WORKDAY(Main[[#This Row],[Tech Start Date]],19),IF(Main[[#This Row],[Class]]="A",WORKDAY(Main[[#This Row],[Tech Start Date]],9),""))))</f>
        <v/>
      </c>
      <c r="Q1108" s="74"/>
      <c r="R1108" s="74">
        <v>40862</v>
      </c>
      <c r="S1108" s="72" t="s">
        <v>17</v>
      </c>
      <c r="T1108" s="80" t="s">
        <v>4</v>
      </c>
      <c r="U1108" s="72" t="s">
        <v>29</v>
      </c>
      <c r="V1108" s="72" t="s">
        <v>1940</v>
      </c>
      <c r="W1108" s="72" t="s">
        <v>1942</v>
      </c>
      <c r="X1108" s="72" t="s">
        <v>404</v>
      </c>
      <c r="Y1108" s="72" t="s">
        <v>4</v>
      </c>
      <c r="Z1108" s="72" t="s">
        <v>984</v>
      </c>
    </row>
    <row r="1109" spans="1:26" ht="18.600000000000001" customHeight="1">
      <c r="A1109" s="142" t="str">
        <f>IF(priority(Main[[#This Row],[Comments]])&lt;&gt;0, priority(Main[[#This Row],[Comments]]),"")</f>
        <v/>
      </c>
      <c r="B1109" s="90" t="s">
        <v>2471</v>
      </c>
      <c r="C1109" s="72" t="s">
        <v>4</v>
      </c>
      <c r="D1109" s="73" t="s">
        <v>2472</v>
      </c>
      <c r="E1109" s="74"/>
      <c r="F1109" s="74"/>
      <c r="G1109" s="75" t="str">
        <f>IF(stdProdLT(Main[[#This Row],[Comments]])=0.1,"N/A",IF(stdProdLT(Main[[#This Row],[Comments]])=0,"",stdProdLT(Main[[#This Row],[Comments]])))</f>
        <v/>
      </c>
      <c r="H1109" s="76" t="str">
        <f>IF(AND(Main[[#This Row],[In Stock Date]]&lt;&gt;"",Main[[#This Row],[Revised Due Date]]&lt;&gt;""),Main[[#This Row],[In Stock Date]]-Main[[#This Row],[Revised Due Date]],"")</f>
        <v/>
      </c>
      <c r="I1109" s="72" t="s">
        <v>4</v>
      </c>
      <c r="J1109" s="72" t="s">
        <v>4</v>
      </c>
      <c r="K1109" s="72" t="s">
        <v>4</v>
      </c>
      <c r="L1109" s="74"/>
      <c r="M1109" s="77" t="str">
        <f>IF(Main[[#This Row],[Tech Start Date]]&lt;1/1/1990,"",IF(Main[[#This Row],[Class]]="C",WORKDAY(Main[[#This Row],[Tech Start Date]],9),IF(Main[[#This Row],[Class]]="B", WORKDAY(Main[[#This Row],[Tech Start Date]],6),IF(Main[[#This Row],[Class]]="A",WORKDAY(Main[[#This Row],[Tech Start Date]],2),""))))</f>
        <v/>
      </c>
      <c r="N1109" s="77" t="str">
        <f>IF(Main[[#This Row],[Tech Start Date]]&lt;1/1/1990,"",IF(Main[[#This Row],[Class]]="C",WORKDAY(Main[[#This Row],[Tech Start Date]],19),IF(Main[[#This Row],[Class]]="B", WORKDAY(Main[[#This Row],[Tech Start Date]],12),IF(Main[[#This Row],[Class]]="A",WORKDAY(Main[[#This Row],[Tech Start Date]],4),""))))</f>
        <v/>
      </c>
      <c r="O1109" s="77" t="str">
        <f>IF(Main[[#This Row],[Tech Start Date]]&lt;1/1/1990,"",IF(Main[[#This Row],[Class]]="C",WORKDAY(Main[[#This Row],[Tech Start Date]],23),IF(Main[[#This Row],[Class]]="B", WORKDAY(Main[[#This Row],[Tech Start Date]],15),IF(Main[[#This Row],[Class]]="A",WORKDAY(Main[[#This Row],[Tech Start Date]],5),""))))</f>
        <v/>
      </c>
      <c r="P1109" s="77" t="str">
        <f>IF(Main[[#This Row],[Tech Start Date]]&lt;1/1/1990,"",IF(Main[[#This Row],[Class]]="C",WORKDAY(Main[[#This Row],[Tech Start Date]],28),IF(Main[[#This Row],[Class]]="B", WORKDAY(Main[[#This Row],[Tech Start Date]],19),IF(Main[[#This Row],[Class]]="A",WORKDAY(Main[[#This Row],[Tech Start Date]],9),""))))</f>
        <v/>
      </c>
      <c r="Q1109" s="74">
        <v>40907</v>
      </c>
      <c r="R1109" s="74"/>
      <c r="S1109" s="72" t="s">
        <v>6</v>
      </c>
      <c r="T1109" s="80" t="s">
        <v>4</v>
      </c>
      <c r="U1109" s="72" t="s">
        <v>14</v>
      </c>
      <c r="V1109" s="72" t="s">
        <v>1937</v>
      </c>
      <c r="W1109" s="72" t="s">
        <v>1941</v>
      </c>
      <c r="X1109" s="72" t="s">
        <v>2973</v>
      </c>
      <c r="Y1109" s="72" t="s">
        <v>3094</v>
      </c>
      <c r="Z1109" s="72" t="s">
        <v>4</v>
      </c>
    </row>
    <row r="1110" spans="1:26" ht="18.600000000000001" customHeight="1">
      <c r="A1110" s="142" t="str">
        <f>IF(priority(Main[[#This Row],[Comments]])&lt;&gt;0, priority(Main[[#This Row],[Comments]]),"")</f>
        <v/>
      </c>
      <c r="B1110" s="90" t="s">
        <v>2876</v>
      </c>
      <c r="C1110" s="72" t="s">
        <v>2877</v>
      </c>
      <c r="D1110" s="73" t="s">
        <v>2878</v>
      </c>
      <c r="E1110" s="74">
        <v>40914.604768518519</v>
      </c>
      <c r="F1110" s="74">
        <v>40921</v>
      </c>
      <c r="G1110" s="75" t="str">
        <f>IF(stdProdLT(Main[[#This Row],[Comments]])=0.1,"N/A",IF(stdProdLT(Main[[#This Row],[Comments]])=0,"",stdProdLT(Main[[#This Row],[Comments]])))</f>
        <v/>
      </c>
      <c r="H1110" s="76" t="str">
        <f>IF(AND(Main[[#This Row],[In Stock Date]]&lt;&gt;"",Main[[#This Row],[Revised Due Date]]&lt;&gt;""),Main[[#This Row],[In Stock Date]]-Main[[#This Row],[Revised Due Date]],"")</f>
        <v/>
      </c>
      <c r="I1110" s="72" t="s">
        <v>536</v>
      </c>
      <c r="J1110" s="72" t="s">
        <v>21</v>
      </c>
      <c r="K1110" s="72" t="s">
        <v>1946</v>
      </c>
      <c r="L1110" s="74"/>
      <c r="M1110" s="77" t="str">
        <f>IF(Main[[#This Row],[Tech Start Date]]&lt;1/1/1990,"",IF(Main[[#This Row],[Class]]="C",WORKDAY(Main[[#This Row],[Tech Start Date]],9),IF(Main[[#This Row],[Class]]="B", WORKDAY(Main[[#This Row],[Tech Start Date]],6),IF(Main[[#This Row],[Class]]="A",WORKDAY(Main[[#This Row],[Tech Start Date]],2),""))))</f>
        <v/>
      </c>
      <c r="N1110" s="77" t="str">
        <f>IF(Main[[#This Row],[Tech Start Date]]&lt;1/1/1990,"",IF(Main[[#This Row],[Class]]="C",WORKDAY(Main[[#This Row],[Tech Start Date]],19),IF(Main[[#This Row],[Class]]="B", WORKDAY(Main[[#This Row],[Tech Start Date]],12),IF(Main[[#This Row],[Class]]="A",WORKDAY(Main[[#This Row],[Tech Start Date]],4),""))))</f>
        <v/>
      </c>
      <c r="O1110" s="77" t="str">
        <f>IF(Main[[#This Row],[Tech Start Date]]&lt;1/1/1990,"",IF(Main[[#This Row],[Class]]="C",WORKDAY(Main[[#This Row],[Tech Start Date]],23),IF(Main[[#This Row],[Class]]="B", WORKDAY(Main[[#This Row],[Tech Start Date]],15),IF(Main[[#This Row],[Class]]="A",WORKDAY(Main[[#This Row],[Tech Start Date]],5),""))))</f>
        <v/>
      </c>
      <c r="P1110" s="77" t="str">
        <f>IF(Main[[#This Row],[Tech Start Date]]&lt;1/1/1990,"",IF(Main[[#This Row],[Class]]="C",WORKDAY(Main[[#This Row],[Tech Start Date]],28),IF(Main[[#This Row],[Class]]="B", WORKDAY(Main[[#This Row],[Tech Start Date]],19),IF(Main[[#This Row],[Class]]="A",WORKDAY(Main[[#This Row],[Tech Start Date]],9),""))))</f>
        <v/>
      </c>
      <c r="Q1110" s="74">
        <v>40928</v>
      </c>
      <c r="R1110" s="74"/>
      <c r="S1110" s="72" t="s">
        <v>6</v>
      </c>
      <c r="T1110" s="80" t="s">
        <v>4</v>
      </c>
      <c r="U1110" s="72" t="s">
        <v>29</v>
      </c>
      <c r="V1110" s="72" t="s">
        <v>1940</v>
      </c>
      <c r="W1110" s="72" t="s">
        <v>1939</v>
      </c>
      <c r="X1110" s="72" t="s">
        <v>2968</v>
      </c>
      <c r="Y1110" s="72" t="s">
        <v>3086</v>
      </c>
      <c r="Z1110" s="72" t="s">
        <v>30</v>
      </c>
    </row>
    <row r="1111" spans="1:26" ht="18.600000000000001" customHeight="1">
      <c r="A1111" s="142" t="str">
        <f>IF(priority(Main[[#This Row],[Comments]])&lt;&gt;0, priority(Main[[#This Row],[Comments]]),"")</f>
        <v/>
      </c>
      <c r="B1111" s="90" t="s">
        <v>2765</v>
      </c>
      <c r="C1111" s="72" t="s">
        <v>4</v>
      </c>
      <c r="D1111" s="73" t="s">
        <v>2766</v>
      </c>
      <c r="E1111" s="74">
        <v>40890.683576388888</v>
      </c>
      <c r="F1111" s="74"/>
      <c r="G1111" s="75" t="str">
        <f>IF(stdProdLT(Main[[#This Row],[Comments]])=0.1,"N/A",IF(stdProdLT(Main[[#This Row],[Comments]])=0,"",stdProdLT(Main[[#This Row],[Comments]])))</f>
        <v/>
      </c>
      <c r="H1111" s="76" t="str">
        <f>IF(AND(Main[[#This Row],[In Stock Date]]&lt;&gt;"",Main[[#This Row],[Revised Due Date]]&lt;&gt;""),Main[[#This Row],[In Stock Date]]-Main[[#This Row],[Revised Due Date]],"")</f>
        <v/>
      </c>
      <c r="I1111" s="72" t="s">
        <v>242</v>
      </c>
      <c r="J1111" s="72" t="s">
        <v>21</v>
      </c>
      <c r="K1111" s="81" t="s">
        <v>1946</v>
      </c>
      <c r="L1111" s="74"/>
      <c r="M1111" s="77" t="str">
        <f>IF(Main[[#This Row],[Tech Start Date]]&lt;1/1/1990,"",IF(Main[[#This Row],[Class]]="C",WORKDAY(Main[[#This Row],[Tech Start Date]],9),IF(Main[[#This Row],[Class]]="B", WORKDAY(Main[[#This Row],[Tech Start Date]],6),IF(Main[[#This Row],[Class]]="A",WORKDAY(Main[[#This Row],[Tech Start Date]],2),""))))</f>
        <v/>
      </c>
      <c r="N1111" s="77" t="str">
        <f>IF(Main[[#This Row],[Tech Start Date]]&lt;1/1/1990,"",IF(Main[[#This Row],[Class]]="C",WORKDAY(Main[[#This Row],[Tech Start Date]],19),IF(Main[[#This Row],[Class]]="B", WORKDAY(Main[[#This Row],[Tech Start Date]],12),IF(Main[[#This Row],[Class]]="A",WORKDAY(Main[[#This Row],[Tech Start Date]],4),""))))</f>
        <v/>
      </c>
      <c r="O1111" s="77" t="str">
        <f>IF(Main[[#This Row],[Tech Start Date]]&lt;1/1/1990,"",IF(Main[[#This Row],[Class]]="C",WORKDAY(Main[[#This Row],[Tech Start Date]],23),IF(Main[[#This Row],[Class]]="B", WORKDAY(Main[[#This Row],[Tech Start Date]],15),IF(Main[[#This Row],[Class]]="A",WORKDAY(Main[[#This Row],[Tech Start Date]],5),""))))</f>
        <v/>
      </c>
      <c r="P1111" s="77" t="str">
        <f>IF(Main[[#This Row],[Tech Start Date]]&lt;1/1/1990,"",IF(Main[[#This Row],[Class]]="C",WORKDAY(Main[[#This Row],[Tech Start Date]],28),IF(Main[[#This Row],[Class]]="B", WORKDAY(Main[[#This Row],[Tech Start Date]],19),IF(Main[[#This Row],[Class]]="A",WORKDAY(Main[[#This Row],[Tech Start Date]],9),""))))</f>
        <v/>
      </c>
      <c r="Q1111" s="74">
        <v>40939</v>
      </c>
      <c r="R1111" s="74"/>
      <c r="S1111" s="72" t="s">
        <v>6</v>
      </c>
      <c r="T1111" s="80" t="s">
        <v>4</v>
      </c>
      <c r="U1111" s="72" t="s">
        <v>29</v>
      </c>
      <c r="V1111" s="72" t="s">
        <v>1940</v>
      </c>
      <c r="W1111" s="72" t="s">
        <v>1941</v>
      </c>
      <c r="X1111" s="72" t="s">
        <v>777</v>
      </c>
      <c r="Y1111" s="72" t="s">
        <v>3093</v>
      </c>
      <c r="Z1111" s="72" t="s">
        <v>30</v>
      </c>
    </row>
    <row r="1112" spans="1:26" ht="18.600000000000001" customHeight="1">
      <c r="A1112" s="142" t="str">
        <f>IF(priority(Main[[#This Row],[Comments]])&lt;&gt;0, priority(Main[[#This Row],[Comments]]),"")</f>
        <v/>
      </c>
      <c r="B1112" s="90" t="s">
        <v>2502</v>
      </c>
      <c r="C1112" s="72" t="s">
        <v>4</v>
      </c>
      <c r="D1112" s="73" t="s">
        <v>2503</v>
      </c>
      <c r="E1112" s="74"/>
      <c r="F1112" s="74"/>
      <c r="G1112" s="75" t="str">
        <f>IF(stdProdLT(Main[[#This Row],[Comments]])=0.1,"N/A",IF(stdProdLT(Main[[#This Row],[Comments]])=0,"",stdProdLT(Main[[#This Row],[Comments]])))</f>
        <v/>
      </c>
      <c r="H1112" s="76" t="str">
        <f>IF(AND(Main[[#This Row],[In Stock Date]]&lt;&gt;"",Main[[#This Row],[Revised Due Date]]&lt;&gt;""),Main[[#This Row],[In Stock Date]]-Main[[#This Row],[Revised Due Date]],"")</f>
        <v/>
      </c>
      <c r="I1112" s="72" t="s">
        <v>536</v>
      </c>
      <c r="J1112" s="72" t="s">
        <v>28</v>
      </c>
      <c r="K1112" s="72" t="s">
        <v>1946</v>
      </c>
      <c r="L1112" s="74"/>
      <c r="M1112" s="77" t="str">
        <f>IF(Main[[#This Row],[Tech Start Date]]&lt;1/1/1990,"",IF(Main[[#This Row],[Class]]="C",WORKDAY(Main[[#This Row],[Tech Start Date]],9),IF(Main[[#This Row],[Class]]="B", WORKDAY(Main[[#This Row],[Tech Start Date]],6),IF(Main[[#This Row],[Class]]="A",WORKDAY(Main[[#This Row],[Tech Start Date]],2),""))))</f>
        <v/>
      </c>
      <c r="N1112" s="77" t="str">
        <f>IF(Main[[#This Row],[Tech Start Date]]&lt;1/1/1990,"",IF(Main[[#This Row],[Class]]="C",WORKDAY(Main[[#This Row],[Tech Start Date]],19),IF(Main[[#This Row],[Class]]="B", WORKDAY(Main[[#This Row],[Tech Start Date]],12),IF(Main[[#This Row],[Class]]="A",WORKDAY(Main[[#This Row],[Tech Start Date]],4),""))))</f>
        <v/>
      </c>
      <c r="O1112" s="77" t="str">
        <f>IF(Main[[#This Row],[Tech Start Date]]&lt;1/1/1990,"",IF(Main[[#This Row],[Class]]="C",WORKDAY(Main[[#This Row],[Tech Start Date]],23),IF(Main[[#This Row],[Class]]="B", WORKDAY(Main[[#This Row],[Tech Start Date]],15),IF(Main[[#This Row],[Class]]="A",WORKDAY(Main[[#This Row],[Tech Start Date]],5),""))))</f>
        <v/>
      </c>
      <c r="P1112" s="77" t="str">
        <f>IF(Main[[#This Row],[Tech Start Date]]&lt;1/1/1990,"",IF(Main[[#This Row],[Class]]="C",WORKDAY(Main[[#This Row],[Tech Start Date]],28),IF(Main[[#This Row],[Class]]="B", WORKDAY(Main[[#This Row],[Tech Start Date]],19),IF(Main[[#This Row],[Class]]="A",WORKDAY(Main[[#This Row],[Tech Start Date]],9),""))))</f>
        <v/>
      </c>
      <c r="Q1112" s="74">
        <v>40954</v>
      </c>
      <c r="R1112" s="74"/>
      <c r="S1112" s="72" t="s">
        <v>6</v>
      </c>
      <c r="T1112" s="80" t="s">
        <v>4</v>
      </c>
      <c r="U1112" s="72" t="s">
        <v>14</v>
      </c>
      <c r="V1112" s="72" t="s">
        <v>1940</v>
      </c>
      <c r="W1112" s="72" t="s">
        <v>1941</v>
      </c>
      <c r="X1112" s="72" t="s">
        <v>560</v>
      </c>
      <c r="Y1112" s="72" t="s">
        <v>3110</v>
      </c>
      <c r="Z1112" s="72" t="s">
        <v>30</v>
      </c>
    </row>
    <row r="1113" spans="1:26" ht="18.600000000000001" customHeight="1">
      <c r="A1113" s="142" t="str">
        <f>IF(priority(Main[[#This Row],[Comments]])&lt;&gt;0, priority(Main[[#This Row],[Comments]]),"")</f>
        <v/>
      </c>
      <c r="B1113" s="90" t="s">
        <v>2504</v>
      </c>
      <c r="C1113" s="72" t="s">
        <v>113</v>
      </c>
      <c r="D1113" s="73" t="s">
        <v>2505</v>
      </c>
      <c r="E1113" s="74"/>
      <c r="F1113" s="74">
        <v>40841</v>
      </c>
      <c r="G1113" s="75" t="str">
        <f>IF(stdProdLT(Main[[#This Row],[Comments]])=0.1,"N/A",IF(stdProdLT(Main[[#This Row],[Comments]])=0,"",stdProdLT(Main[[#This Row],[Comments]])))</f>
        <v/>
      </c>
      <c r="H1113" s="76" t="str">
        <f>IF(AND(Main[[#This Row],[In Stock Date]]&lt;&gt;"",Main[[#This Row],[Revised Due Date]]&lt;&gt;""),Main[[#This Row],[In Stock Date]]-Main[[#This Row],[Revised Due Date]],"")</f>
        <v/>
      </c>
      <c r="I1113" s="72" t="s">
        <v>4</v>
      </c>
      <c r="J1113" s="72" t="s">
        <v>4</v>
      </c>
      <c r="K1113" s="72" t="s">
        <v>4</v>
      </c>
      <c r="L1113" s="74"/>
      <c r="M1113" s="77" t="str">
        <f>IF(Main[[#This Row],[Tech Start Date]]&lt;1/1/1990,"",IF(Main[[#This Row],[Class]]="C",WORKDAY(Main[[#This Row],[Tech Start Date]],9),IF(Main[[#This Row],[Class]]="B", WORKDAY(Main[[#This Row],[Tech Start Date]],6),IF(Main[[#This Row],[Class]]="A",WORKDAY(Main[[#This Row],[Tech Start Date]],2),""))))</f>
        <v/>
      </c>
      <c r="N1113" s="77" t="str">
        <f>IF(Main[[#This Row],[Tech Start Date]]&lt;1/1/1990,"",IF(Main[[#This Row],[Class]]="C",WORKDAY(Main[[#This Row],[Tech Start Date]],19),IF(Main[[#This Row],[Class]]="B", WORKDAY(Main[[#This Row],[Tech Start Date]],12),IF(Main[[#This Row],[Class]]="A",WORKDAY(Main[[#This Row],[Tech Start Date]],4),""))))</f>
        <v/>
      </c>
      <c r="O1113" s="77" t="str">
        <f>IF(Main[[#This Row],[Tech Start Date]]&lt;1/1/1990,"",IF(Main[[#This Row],[Class]]="C",WORKDAY(Main[[#This Row],[Tech Start Date]],23),IF(Main[[#This Row],[Class]]="B", WORKDAY(Main[[#This Row],[Tech Start Date]],15),IF(Main[[#This Row],[Class]]="A",WORKDAY(Main[[#This Row],[Tech Start Date]],5),""))))</f>
        <v/>
      </c>
      <c r="P1113" s="77" t="str">
        <f>IF(Main[[#This Row],[Tech Start Date]]&lt;1/1/1990,"",IF(Main[[#This Row],[Class]]="C",WORKDAY(Main[[#This Row],[Tech Start Date]],28),IF(Main[[#This Row],[Class]]="B", WORKDAY(Main[[#This Row],[Tech Start Date]],19),IF(Main[[#This Row],[Class]]="A",WORKDAY(Main[[#This Row],[Tech Start Date]],9),""))))</f>
        <v/>
      </c>
      <c r="Q1113" s="74"/>
      <c r="R1113" s="74"/>
      <c r="S1113" s="72" t="s">
        <v>11</v>
      </c>
      <c r="T1113" s="80" t="s">
        <v>4</v>
      </c>
      <c r="U1113" s="72" t="s">
        <v>12</v>
      </c>
      <c r="V1113" s="72" t="s">
        <v>1937</v>
      </c>
      <c r="W1113" s="72" t="s">
        <v>1939</v>
      </c>
      <c r="X1113" s="72" t="s">
        <v>2985</v>
      </c>
      <c r="Y1113" s="72" t="s">
        <v>3097</v>
      </c>
      <c r="Z1113" s="72" t="s">
        <v>4</v>
      </c>
    </row>
    <row r="1114" spans="1:26" ht="18.600000000000001" customHeight="1">
      <c r="A1114" s="142" t="str">
        <f>IF(priority(Main[[#This Row],[Comments]])&lt;&gt;0, priority(Main[[#This Row],[Comments]]),"")</f>
        <v/>
      </c>
      <c r="B1114" s="90" t="s">
        <v>2655</v>
      </c>
      <c r="C1114" s="72" t="s">
        <v>31</v>
      </c>
      <c r="D1114" s="73" t="s">
        <v>2656</v>
      </c>
      <c r="E1114" s="74">
        <v>40820.728263888886</v>
      </c>
      <c r="F1114" s="74"/>
      <c r="G1114" s="75" t="str">
        <f>IF(stdProdLT(Main[[#This Row],[Comments]])=0.1,"N/A",IF(stdProdLT(Main[[#This Row],[Comments]])=0,"",stdProdLT(Main[[#This Row],[Comments]])))</f>
        <v/>
      </c>
      <c r="H1114" s="76" t="str">
        <f>IF(AND(Main[[#This Row],[In Stock Date]]&lt;&gt;"",Main[[#This Row],[Revised Due Date]]&lt;&gt;""),Main[[#This Row],[In Stock Date]]-Main[[#This Row],[Revised Due Date]],"")</f>
        <v/>
      </c>
      <c r="I1114" s="72" t="s">
        <v>937</v>
      </c>
      <c r="J1114" s="72" t="s">
        <v>4</v>
      </c>
      <c r="K1114" s="72" t="s">
        <v>4</v>
      </c>
      <c r="L1114" s="74"/>
      <c r="M1114" s="77" t="str">
        <f>IF(Main[[#This Row],[Tech Start Date]]&lt;1/1/1990,"",IF(Main[[#This Row],[Class]]="C",WORKDAY(Main[[#This Row],[Tech Start Date]],9),IF(Main[[#This Row],[Class]]="B", WORKDAY(Main[[#This Row],[Tech Start Date]],6),IF(Main[[#This Row],[Class]]="A",WORKDAY(Main[[#This Row],[Tech Start Date]],2),""))))</f>
        <v/>
      </c>
      <c r="N1114" s="77" t="str">
        <f>IF(Main[[#This Row],[Tech Start Date]]&lt;1/1/1990,"",IF(Main[[#This Row],[Class]]="C",WORKDAY(Main[[#This Row],[Tech Start Date]],19),IF(Main[[#This Row],[Class]]="B", WORKDAY(Main[[#This Row],[Tech Start Date]],12),IF(Main[[#This Row],[Class]]="A",WORKDAY(Main[[#This Row],[Tech Start Date]],4),""))))</f>
        <v/>
      </c>
      <c r="O1114" s="77" t="str">
        <f>IF(Main[[#This Row],[Tech Start Date]]&lt;1/1/1990,"",IF(Main[[#This Row],[Class]]="C",WORKDAY(Main[[#This Row],[Tech Start Date]],23),IF(Main[[#This Row],[Class]]="B", WORKDAY(Main[[#This Row],[Tech Start Date]],15),IF(Main[[#This Row],[Class]]="A",WORKDAY(Main[[#This Row],[Tech Start Date]],5),""))))</f>
        <v/>
      </c>
      <c r="P1114" s="77" t="str">
        <f>IF(Main[[#This Row],[Tech Start Date]]&lt;1/1/1990,"",IF(Main[[#This Row],[Class]]="C",WORKDAY(Main[[#This Row],[Tech Start Date]],28),IF(Main[[#This Row],[Class]]="B", WORKDAY(Main[[#This Row],[Tech Start Date]],19),IF(Main[[#This Row],[Class]]="A",WORKDAY(Main[[#This Row],[Tech Start Date]],9),""))))</f>
        <v/>
      </c>
      <c r="Q1114" s="74">
        <v>40841</v>
      </c>
      <c r="R1114" s="74"/>
      <c r="S1114" s="72" t="s">
        <v>11</v>
      </c>
      <c r="T1114" s="80" t="s">
        <v>2657</v>
      </c>
      <c r="U1114" s="72" t="s">
        <v>7</v>
      </c>
      <c r="V1114" s="72" t="s">
        <v>1952</v>
      </c>
      <c r="W1114" s="72" t="s">
        <v>1945</v>
      </c>
      <c r="X1114" s="72" t="s">
        <v>2973</v>
      </c>
      <c r="Y1114" s="72" t="s">
        <v>3094</v>
      </c>
      <c r="Z1114" s="72" t="s">
        <v>4</v>
      </c>
    </row>
    <row r="1115" spans="1:26" ht="18.600000000000001" customHeight="1">
      <c r="A1115" s="142" t="str">
        <f>IF(priority(Main[[#This Row],[Comments]])&lt;&gt;0, priority(Main[[#This Row],[Comments]]),"")</f>
        <v/>
      </c>
      <c r="B1115" s="90" t="s">
        <v>2539</v>
      </c>
      <c r="C1115" s="72" t="s">
        <v>4</v>
      </c>
      <c r="D1115" s="73" t="s">
        <v>2540</v>
      </c>
      <c r="E1115" s="74">
        <v>40833.637280092589</v>
      </c>
      <c r="F1115" s="74"/>
      <c r="G1115" s="75" t="str">
        <f>IF(stdProdLT(Main[[#This Row],[Comments]])=0.1,"N/A",IF(stdProdLT(Main[[#This Row],[Comments]])=0,"",stdProdLT(Main[[#This Row],[Comments]])))</f>
        <v/>
      </c>
      <c r="H1115" s="76" t="str">
        <f>IF(AND(Main[[#This Row],[In Stock Date]]&lt;&gt;"",Main[[#This Row],[Revised Due Date]]&lt;&gt;""),Main[[#This Row],[In Stock Date]]-Main[[#This Row],[Revised Due Date]],"")</f>
        <v/>
      </c>
      <c r="I1115" s="72" t="s">
        <v>536</v>
      </c>
      <c r="J1115" s="72" t="s">
        <v>21</v>
      </c>
      <c r="K1115" s="72" t="s">
        <v>1946</v>
      </c>
      <c r="L1115" s="74"/>
      <c r="M1115" s="77" t="str">
        <f>IF(Main[[#This Row],[Tech Start Date]]&lt;1/1/1990,"",IF(Main[[#This Row],[Class]]="C",WORKDAY(Main[[#This Row],[Tech Start Date]],9),IF(Main[[#This Row],[Class]]="B", WORKDAY(Main[[#This Row],[Tech Start Date]],6),IF(Main[[#This Row],[Class]]="A",WORKDAY(Main[[#This Row],[Tech Start Date]],2),""))))</f>
        <v/>
      </c>
      <c r="N1115" s="77" t="str">
        <f>IF(Main[[#This Row],[Tech Start Date]]&lt;1/1/1990,"",IF(Main[[#This Row],[Class]]="C",WORKDAY(Main[[#This Row],[Tech Start Date]],19),IF(Main[[#This Row],[Class]]="B", WORKDAY(Main[[#This Row],[Tech Start Date]],12),IF(Main[[#This Row],[Class]]="A",WORKDAY(Main[[#This Row],[Tech Start Date]],4),""))))</f>
        <v/>
      </c>
      <c r="O1115" s="77" t="str">
        <f>IF(Main[[#This Row],[Tech Start Date]]&lt;1/1/1990,"",IF(Main[[#This Row],[Class]]="C",WORKDAY(Main[[#This Row],[Tech Start Date]],23),IF(Main[[#This Row],[Class]]="B", WORKDAY(Main[[#This Row],[Tech Start Date]],15),IF(Main[[#This Row],[Class]]="A",WORKDAY(Main[[#This Row],[Tech Start Date]],5),""))))</f>
        <v/>
      </c>
      <c r="P1115" s="77" t="str">
        <f>IF(Main[[#This Row],[Tech Start Date]]&lt;1/1/1990,"",IF(Main[[#This Row],[Class]]="C",WORKDAY(Main[[#This Row],[Tech Start Date]],28),IF(Main[[#This Row],[Class]]="B", WORKDAY(Main[[#This Row],[Tech Start Date]],19),IF(Main[[#This Row],[Class]]="A",WORKDAY(Main[[#This Row],[Tech Start Date]],9),""))))</f>
        <v/>
      </c>
      <c r="Q1115" s="74">
        <v>40939</v>
      </c>
      <c r="R1115" s="74"/>
      <c r="S1115" s="72" t="s">
        <v>6</v>
      </c>
      <c r="T1115" s="80" t="s">
        <v>4</v>
      </c>
      <c r="U1115" s="72" t="s">
        <v>29</v>
      </c>
      <c r="V1115" s="72" t="s">
        <v>1940</v>
      </c>
      <c r="W1115" s="72" t="s">
        <v>1941</v>
      </c>
      <c r="X1115" s="72" t="s">
        <v>560</v>
      </c>
      <c r="Y1115" s="72" t="s">
        <v>3110</v>
      </c>
      <c r="Z1115" s="72" t="s">
        <v>30</v>
      </c>
    </row>
    <row r="1116" spans="1:26" ht="18.600000000000001" customHeight="1">
      <c r="A1116" s="142" t="str">
        <f>IF(priority(Main[[#This Row],[Comments]])&lt;&gt;0, priority(Main[[#This Row],[Comments]]),"")</f>
        <v/>
      </c>
      <c r="B1116" s="90" t="s">
        <v>2508</v>
      </c>
      <c r="C1116" s="72" t="s">
        <v>4</v>
      </c>
      <c r="D1116" s="73" t="s">
        <v>2745</v>
      </c>
      <c r="E1116" s="74">
        <v>40865.334965277776</v>
      </c>
      <c r="F1116" s="74"/>
      <c r="G1116" s="75" t="str">
        <f>IF(stdProdLT(Main[[#This Row],[Comments]])=0.1,"N/A",IF(stdProdLT(Main[[#This Row],[Comments]])=0,"",stdProdLT(Main[[#This Row],[Comments]])))</f>
        <v/>
      </c>
      <c r="H1116" s="76" t="str">
        <f>IF(AND(Main[[#This Row],[In Stock Date]]&lt;&gt;"",Main[[#This Row],[Revised Due Date]]&lt;&gt;""),Main[[#This Row],[In Stock Date]]-Main[[#This Row],[Revised Due Date]],"")</f>
        <v/>
      </c>
      <c r="I1116" s="72" t="s">
        <v>4</v>
      </c>
      <c r="J1116" s="72" t="s">
        <v>4</v>
      </c>
      <c r="K1116" s="81" t="s">
        <v>4</v>
      </c>
      <c r="L1116" s="74"/>
      <c r="M1116" s="77" t="str">
        <f>IF(Main[[#This Row],[Tech Start Date]]&lt;1/1/1990,"",IF(Main[[#This Row],[Class]]="C",WORKDAY(Main[[#This Row],[Tech Start Date]],9),IF(Main[[#This Row],[Class]]="B", WORKDAY(Main[[#This Row],[Tech Start Date]],6),IF(Main[[#This Row],[Class]]="A",WORKDAY(Main[[#This Row],[Tech Start Date]],2),""))))</f>
        <v/>
      </c>
      <c r="N1116" s="77" t="str">
        <f>IF(Main[[#This Row],[Tech Start Date]]&lt;1/1/1990,"",IF(Main[[#This Row],[Class]]="C",WORKDAY(Main[[#This Row],[Tech Start Date]],19),IF(Main[[#This Row],[Class]]="B", WORKDAY(Main[[#This Row],[Tech Start Date]],12),IF(Main[[#This Row],[Class]]="A",WORKDAY(Main[[#This Row],[Tech Start Date]],4),""))))</f>
        <v/>
      </c>
      <c r="O1116" s="77" t="str">
        <f>IF(Main[[#This Row],[Tech Start Date]]&lt;1/1/1990,"",IF(Main[[#This Row],[Class]]="C",WORKDAY(Main[[#This Row],[Tech Start Date]],23),IF(Main[[#This Row],[Class]]="B", WORKDAY(Main[[#This Row],[Tech Start Date]],15),IF(Main[[#This Row],[Class]]="A",WORKDAY(Main[[#This Row],[Tech Start Date]],5),""))))</f>
        <v/>
      </c>
      <c r="P1116" s="77" t="str">
        <f>IF(Main[[#This Row],[Tech Start Date]]&lt;1/1/1990,"",IF(Main[[#This Row],[Class]]="C",WORKDAY(Main[[#This Row],[Tech Start Date]],28),IF(Main[[#This Row],[Class]]="B", WORKDAY(Main[[#This Row],[Tech Start Date]],19),IF(Main[[#This Row],[Class]]="A",WORKDAY(Main[[#This Row],[Tech Start Date]],9),""))))</f>
        <v/>
      </c>
      <c r="Q1116" s="74"/>
      <c r="R1116" s="74"/>
      <c r="S1116" s="72" t="s">
        <v>6</v>
      </c>
      <c r="T1116" s="80" t="s">
        <v>4</v>
      </c>
      <c r="U1116" s="72" t="s">
        <v>7</v>
      </c>
      <c r="V1116" s="72" t="s">
        <v>1937</v>
      </c>
      <c r="W1116" s="72" t="s">
        <v>1941</v>
      </c>
      <c r="X1116" s="72" t="s">
        <v>102</v>
      </c>
      <c r="Y1116" s="72" t="s">
        <v>3238</v>
      </c>
      <c r="Z1116" s="72" t="s">
        <v>4</v>
      </c>
    </row>
    <row r="1117" spans="1:26" ht="18.600000000000001" customHeight="1">
      <c r="A1117" s="142" t="str">
        <f>IF(priority(Main[[#This Row],[Comments]])&lt;&gt;0, priority(Main[[#This Row],[Comments]]),"")</f>
        <v/>
      </c>
      <c r="B1117" s="90" t="s">
        <v>2606</v>
      </c>
      <c r="C1117" s="72" t="s">
        <v>4</v>
      </c>
      <c r="D1117" s="73" t="s">
        <v>2607</v>
      </c>
      <c r="E1117" s="74">
        <v>40876.276597222219</v>
      </c>
      <c r="F1117" s="74"/>
      <c r="G1117" s="75" t="str">
        <f>IF(stdProdLT(Main[[#This Row],[Comments]])=0.1,"N/A",IF(stdProdLT(Main[[#This Row],[Comments]])=0,"",stdProdLT(Main[[#This Row],[Comments]])))</f>
        <v/>
      </c>
      <c r="H1117" s="76" t="str">
        <f>IF(AND(Main[[#This Row],[In Stock Date]]&lt;&gt;"",Main[[#This Row],[Revised Due Date]]&lt;&gt;""),Main[[#This Row],[In Stock Date]]-Main[[#This Row],[Revised Due Date]],"")</f>
        <v/>
      </c>
      <c r="I1117" s="72" t="s">
        <v>69</v>
      </c>
      <c r="J1117" s="72" t="s">
        <v>70</v>
      </c>
      <c r="K1117" s="72" t="s">
        <v>1946</v>
      </c>
      <c r="L1117" s="74"/>
      <c r="M1117" s="77" t="str">
        <f>IF(Main[[#This Row],[Tech Start Date]]&lt;1/1/1990,"",IF(Main[[#This Row],[Class]]="C",WORKDAY(Main[[#This Row],[Tech Start Date]],9),IF(Main[[#This Row],[Class]]="B", WORKDAY(Main[[#This Row],[Tech Start Date]],6),IF(Main[[#This Row],[Class]]="A",WORKDAY(Main[[#This Row],[Tech Start Date]],2),""))))</f>
        <v/>
      </c>
      <c r="N1117" s="77" t="str">
        <f>IF(Main[[#This Row],[Tech Start Date]]&lt;1/1/1990,"",IF(Main[[#This Row],[Class]]="C",WORKDAY(Main[[#This Row],[Tech Start Date]],19),IF(Main[[#This Row],[Class]]="B", WORKDAY(Main[[#This Row],[Tech Start Date]],12),IF(Main[[#This Row],[Class]]="A",WORKDAY(Main[[#This Row],[Tech Start Date]],4),""))))</f>
        <v/>
      </c>
      <c r="O1117" s="77" t="str">
        <f>IF(Main[[#This Row],[Tech Start Date]]&lt;1/1/1990,"",IF(Main[[#This Row],[Class]]="C",WORKDAY(Main[[#This Row],[Tech Start Date]],23),IF(Main[[#This Row],[Class]]="B", WORKDAY(Main[[#This Row],[Tech Start Date]],15),IF(Main[[#This Row],[Class]]="A",WORKDAY(Main[[#This Row],[Tech Start Date]],5),""))))</f>
        <v/>
      </c>
      <c r="P1117" s="77" t="str">
        <f>IF(Main[[#This Row],[Tech Start Date]]&lt;1/1/1990,"",IF(Main[[#This Row],[Class]]="C",WORKDAY(Main[[#This Row],[Tech Start Date]],28),IF(Main[[#This Row],[Class]]="B", WORKDAY(Main[[#This Row],[Tech Start Date]],19),IF(Main[[#This Row],[Class]]="A",WORKDAY(Main[[#This Row],[Tech Start Date]],9),""))))</f>
        <v/>
      </c>
      <c r="Q1117" s="74">
        <v>40907</v>
      </c>
      <c r="R1117" s="74"/>
      <c r="S1117" s="72" t="s">
        <v>6</v>
      </c>
      <c r="T1117" s="80" t="s">
        <v>4</v>
      </c>
      <c r="U1117" s="72" t="s">
        <v>29</v>
      </c>
      <c r="V1117" s="72" t="s">
        <v>1947</v>
      </c>
      <c r="W1117" s="72" t="s">
        <v>1941</v>
      </c>
      <c r="X1117" s="72" t="s">
        <v>2970</v>
      </c>
      <c r="Y1117" s="72" t="s">
        <v>3087</v>
      </c>
      <c r="Z1117" s="72" t="s">
        <v>30</v>
      </c>
    </row>
    <row r="1118" spans="1:26" ht="18.600000000000001" customHeight="1">
      <c r="A1118" s="142" t="str">
        <f>IF(priority(Main[[#This Row],[Comments]])&lt;&gt;0, priority(Main[[#This Row],[Comments]]),"")</f>
        <v/>
      </c>
      <c r="B1118" s="90" t="s">
        <v>3417</v>
      </c>
      <c r="C1118" s="72" t="s">
        <v>4</v>
      </c>
      <c r="D1118" s="73" t="s">
        <v>3418</v>
      </c>
      <c r="E1118" s="74">
        <v>40921.629143518519</v>
      </c>
      <c r="F1118" s="74"/>
      <c r="G1118" s="75" t="str">
        <f>IF(stdProdLT(Main[[#This Row],[Comments]])=0.1,"N/A",IF(stdProdLT(Main[[#This Row],[Comments]])=0,"",stdProdLT(Main[[#This Row],[Comments]])))</f>
        <v/>
      </c>
      <c r="H1118" s="76" t="str">
        <f>IF(AND(Main[[#This Row],[In Stock Date]]&lt;&gt;"",Main[[#This Row],[Revised Due Date]]&lt;&gt;""),Main[[#This Row],[In Stock Date]]-Main[[#This Row],[Revised Due Date]],"")</f>
        <v/>
      </c>
      <c r="I1118" s="72" t="s">
        <v>4</v>
      </c>
      <c r="J1118" s="72" t="s">
        <v>4</v>
      </c>
      <c r="K1118" s="72" t="s">
        <v>4</v>
      </c>
      <c r="L1118" s="74"/>
      <c r="M1118" s="77" t="str">
        <f>IF(Main[[#This Row],[Tech Start Date]]&lt;1/1/1990,"",IF(Main[[#This Row],[Class]]="C",WORKDAY(Main[[#This Row],[Tech Start Date]],9),IF(Main[[#This Row],[Class]]="B", WORKDAY(Main[[#This Row],[Tech Start Date]],6),IF(Main[[#This Row],[Class]]="A",WORKDAY(Main[[#This Row],[Tech Start Date]],2),""))))</f>
        <v/>
      </c>
      <c r="N1118" s="77" t="str">
        <f>IF(Main[[#This Row],[Tech Start Date]]&lt;1/1/1990,"",IF(Main[[#This Row],[Class]]="C",WORKDAY(Main[[#This Row],[Tech Start Date]],19),IF(Main[[#This Row],[Class]]="B", WORKDAY(Main[[#This Row],[Tech Start Date]],12),IF(Main[[#This Row],[Class]]="A",WORKDAY(Main[[#This Row],[Tech Start Date]],4),""))))</f>
        <v/>
      </c>
      <c r="O1118" s="77" t="str">
        <f>IF(Main[[#This Row],[Tech Start Date]]&lt;1/1/1990,"",IF(Main[[#This Row],[Class]]="C",WORKDAY(Main[[#This Row],[Tech Start Date]],23),IF(Main[[#This Row],[Class]]="B", WORKDAY(Main[[#This Row],[Tech Start Date]],15),IF(Main[[#This Row],[Class]]="A",WORKDAY(Main[[#This Row],[Tech Start Date]],5),""))))</f>
        <v/>
      </c>
      <c r="P1118" s="77" t="str">
        <f>IF(Main[[#This Row],[Tech Start Date]]&lt;1/1/1990,"",IF(Main[[#This Row],[Class]]="C",WORKDAY(Main[[#This Row],[Tech Start Date]],28),IF(Main[[#This Row],[Class]]="B", WORKDAY(Main[[#This Row],[Tech Start Date]],19),IF(Main[[#This Row],[Class]]="A",WORKDAY(Main[[#This Row],[Tech Start Date]],9),""))))</f>
        <v/>
      </c>
      <c r="Q1118" s="74"/>
      <c r="R1118" s="74"/>
      <c r="S1118" s="72" t="s">
        <v>6</v>
      </c>
      <c r="T1118" s="80" t="s">
        <v>4</v>
      </c>
      <c r="U1118" s="72" t="s">
        <v>29</v>
      </c>
      <c r="V1118" s="72" t="s">
        <v>1947</v>
      </c>
      <c r="W1118" s="72" t="s">
        <v>1941</v>
      </c>
      <c r="X1118" s="72" t="s">
        <v>311</v>
      </c>
      <c r="Y1118" s="72" t="s">
        <v>4</v>
      </c>
      <c r="Z1118" s="72" t="s">
        <v>4</v>
      </c>
    </row>
    <row r="1119" spans="1:26" ht="18.600000000000001" customHeight="1">
      <c r="A1119" s="142" t="str">
        <f>IF(priority(Main[[#This Row],[Comments]])&lt;&gt;0, priority(Main[[#This Row],[Comments]]),"")</f>
        <v/>
      </c>
      <c r="B1119" s="90" t="s">
        <v>2812</v>
      </c>
      <c r="C1119" s="72" t="s">
        <v>4</v>
      </c>
      <c r="D1119" s="73" t="s">
        <v>3414</v>
      </c>
      <c r="E1119" s="74">
        <v>40899.185671296298</v>
      </c>
      <c r="F1119" s="74"/>
      <c r="G1119" s="75" t="str">
        <f>IF(stdProdLT(Main[[#This Row],[Comments]])=0.1,"N/A",IF(stdProdLT(Main[[#This Row],[Comments]])=0,"",stdProdLT(Main[[#This Row],[Comments]])))</f>
        <v/>
      </c>
      <c r="H1119" s="76" t="str">
        <f>IF(AND(Main[[#This Row],[In Stock Date]]&lt;&gt;"",Main[[#This Row],[Revised Due Date]]&lt;&gt;""),Main[[#This Row],[In Stock Date]]-Main[[#This Row],[Revised Due Date]],"")</f>
        <v/>
      </c>
      <c r="I1119" s="72" t="s">
        <v>69</v>
      </c>
      <c r="J1119" s="72" t="s">
        <v>28</v>
      </c>
      <c r="K1119" s="72" t="s">
        <v>1946</v>
      </c>
      <c r="L1119" s="74"/>
      <c r="M1119" s="77" t="str">
        <f>IF(Main[[#This Row],[Tech Start Date]]&lt;1/1/1990,"",IF(Main[[#This Row],[Class]]="C",WORKDAY(Main[[#This Row],[Tech Start Date]],9),IF(Main[[#This Row],[Class]]="B", WORKDAY(Main[[#This Row],[Tech Start Date]],6),IF(Main[[#This Row],[Class]]="A",WORKDAY(Main[[#This Row],[Tech Start Date]],2),""))))</f>
        <v/>
      </c>
      <c r="N1119" s="77" t="str">
        <f>IF(Main[[#This Row],[Tech Start Date]]&lt;1/1/1990,"",IF(Main[[#This Row],[Class]]="C",WORKDAY(Main[[#This Row],[Tech Start Date]],19),IF(Main[[#This Row],[Class]]="B", WORKDAY(Main[[#This Row],[Tech Start Date]],12),IF(Main[[#This Row],[Class]]="A",WORKDAY(Main[[#This Row],[Tech Start Date]],4),""))))</f>
        <v/>
      </c>
      <c r="O1119" s="77" t="str">
        <f>IF(Main[[#This Row],[Tech Start Date]]&lt;1/1/1990,"",IF(Main[[#This Row],[Class]]="C",WORKDAY(Main[[#This Row],[Tech Start Date]],23),IF(Main[[#This Row],[Class]]="B", WORKDAY(Main[[#This Row],[Tech Start Date]],15),IF(Main[[#This Row],[Class]]="A",WORKDAY(Main[[#This Row],[Tech Start Date]],5),""))))</f>
        <v/>
      </c>
      <c r="P1119" s="77" t="str">
        <f>IF(Main[[#This Row],[Tech Start Date]]&lt;1/1/1990,"",IF(Main[[#This Row],[Class]]="C",WORKDAY(Main[[#This Row],[Tech Start Date]],28),IF(Main[[#This Row],[Class]]="B", WORKDAY(Main[[#This Row],[Tech Start Date]],19),IF(Main[[#This Row],[Class]]="A",WORKDAY(Main[[#This Row],[Tech Start Date]],9),""))))</f>
        <v/>
      </c>
      <c r="Q1119" s="74">
        <v>40931</v>
      </c>
      <c r="R1119" s="74"/>
      <c r="S1119" s="72" t="s">
        <v>6</v>
      </c>
      <c r="T1119" s="80" t="s">
        <v>4</v>
      </c>
      <c r="U1119" s="72" t="s">
        <v>29</v>
      </c>
      <c r="V1119" s="72" t="s">
        <v>1940</v>
      </c>
      <c r="W1119" s="72" t="s">
        <v>1941</v>
      </c>
      <c r="X1119" s="72" t="s">
        <v>2974</v>
      </c>
      <c r="Y1119" s="72" t="s">
        <v>3096</v>
      </c>
      <c r="Z1119" s="72" t="s">
        <v>30</v>
      </c>
    </row>
    <row r="1120" spans="1:26" ht="18.600000000000001" customHeight="1">
      <c r="A1120" s="142" t="str">
        <f>IF(priority(Main[[#This Row],[Comments]])&lt;&gt;0, priority(Main[[#This Row],[Comments]]),"")</f>
        <v/>
      </c>
      <c r="B1120" s="90" t="s">
        <v>2423</v>
      </c>
      <c r="C1120" s="72" t="s">
        <v>72</v>
      </c>
      <c r="D1120" s="73" t="s">
        <v>2424</v>
      </c>
      <c r="E1120" s="74">
        <v>40856.064849537041</v>
      </c>
      <c r="F1120" s="74"/>
      <c r="G1120" s="75" t="str">
        <f>IF(stdProdLT(Main[[#This Row],[Comments]])=0.1,"N/A",IF(stdProdLT(Main[[#This Row],[Comments]])=0,"",stdProdLT(Main[[#This Row],[Comments]])))</f>
        <v/>
      </c>
      <c r="H1120" s="76" t="str">
        <f>IF(AND(Main[[#This Row],[In Stock Date]]&lt;&gt;"",Main[[#This Row],[Revised Due Date]]&lt;&gt;""),Main[[#This Row],[In Stock Date]]-Main[[#This Row],[Revised Due Date]],"")</f>
        <v/>
      </c>
      <c r="I1120" s="72" t="s">
        <v>4</v>
      </c>
      <c r="J1120" s="72" t="s">
        <v>4</v>
      </c>
      <c r="K1120" s="81" t="s">
        <v>4</v>
      </c>
      <c r="L1120" s="74"/>
      <c r="M1120" s="77" t="str">
        <f>IF(Main[[#This Row],[Tech Start Date]]&lt;1/1/1990,"",IF(Main[[#This Row],[Class]]="C",WORKDAY(Main[[#This Row],[Tech Start Date]],9),IF(Main[[#This Row],[Class]]="B", WORKDAY(Main[[#This Row],[Tech Start Date]],6),IF(Main[[#This Row],[Class]]="A",WORKDAY(Main[[#This Row],[Tech Start Date]],2),""))))</f>
        <v/>
      </c>
      <c r="N1120" s="77" t="str">
        <f>IF(Main[[#This Row],[Tech Start Date]]&lt;1/1/1990,"",IF(Main[[#This Row],[Class]]="C",WORKDAY(Main[[#This Row],[Tech Start Date]],19),IF(Main[[#This Row],[Class]]="B", WORKDAY(Main[[#This Row],[Tech Start Date]],12),IF(Main[[#This Row],[Class]]="A",WORKDAY(Main[[#This Row],[Tech Start Date]],4),""))))</f>
        <v/>
      </c>
      <c r="O1120" s="77" t="str">
        <f>IF(Main[[#This Row],[Tech Start Date]]&lt;1/1/1990,"",IF(Main[[#This Row],[Class]]="C",WORKDAY(Main[[#This Row],[Tech Start Date]],23),IF(Main[[#This Row],[Class]]="B", WORKDAY(Main[[#This Row],[Tech Start Date]],15),IF(Main[[#This Row],[Class]]="A",WORKDAY(Main[[#This Row],[Tech Start Date]],5),""))))</f>
        <v/>
      </c>
      <c r="P1120" s="77" t="str">
        <f>IF(Main[[#This Row],[Tech Start Date]]&lt;1/1/1990,"",IF(Main[[#This Row],[Class]]="C",WORKDAY(Main[[#This Row],[Tech Start Date]],28),IF(Main[[#This Row],[Class]]="B", WORKDAY(Main[[#This Row],[Tech Start Date]],19),IF(Main[[#This Row],[Class]]="A",WORKDAY(Main[[#This Row],[Tech Start Date]],9),""))))</f>
        <v/>
      </c>
      <c r="Q1120" s="74"/>
      <c r="R1120" s="74"/>
      <c r="S1120" s="72" t="s">
        <v>17</v>
      </c>
      <c r="T1120" s="80" t="s">
        <v>4</v>
      </c>
      <c r="U1120" s="72" t="s">
        <v>7</v>
      </c>
      <c r="V1120" s="72" t="s">
        <v>1938</v>
      </c>
      <c r="W1120" s="72" t="s">
        <v>1939</v>
      </c>
      <c r="X1120" s="72" t="s">
        <v>3042</v>
      </c>
      <c r="Y1120" s="72" t="s">
        <v>3205</v>
      </c>
      <c r="Z1120" s="72" t="s">
        <v>4</v>
      </c>
    </row>
    <row r="1121" spans="1:26" ht="18.600000000000001" customHeight="1">
      <c r="A1121" s="142" t="str">
        <f>IF(priority(Main[[#This Row],[Comments]])&lt;&gt;0, priority(Main[[#This Row],[Comments]]),"")</f>
        <v/>
      </c>
      <c r="B1121" s="90" t="s">
        <v>2515</v>
      </c>
      <c r="C1121" s="72" t="s">
        <v>47</v>
      </c>
      <c r="D1121" s="73" t="s">
        <v>2516</v>
      </c>
      <c r="E1121" s="74">
        <v>40847.703182870369</v>
      </c>
      <c r="F1121" s="74"/>
      <c r="G1121" s="75" t="str">
        <f>IF(stdProdLT(Main[[#This Row],[Comments]])=0.1,"N/A",IF(stdProdLT(Main[[#This Row],[Comments]])=0,"",stdProdLT(Main[[#This Row],[Comments]])))</f>
        <v/>
      </c>
      <c r="H1121" s="76" t="str">
        <f>IF(AND(Main[[#This Row],[In Stock Date]]&lt;&gt;"",Main[[#This Row],[Revised Due Date]]&lt;&gt;""),Main[[#This Row],[In Stock Date]]-Main[[#This Row],[Revised Due Date]],"")</f>
        <v/>
      </c>
      <c r="I1121" s="72" t="s">
        <v>69</v>
      </c>
      <c r="J1121" s="72" t="s">
        <v>28</v>
      </c>
      <c r="K1121" s="81" t="s">
        <v>1946</v>
      </c>
      <c r="L1121" s="74"/>
      <c r="M1121" s="77" t="str">
        <f>IF(Main[[#This Row],[Tech Start Date]]&lt;1/1/1990,"",IF(Main[[#This Row],[Class]]="C",WORKDAY(Main[[#This Row],[Tech Start Date]],9),IF(Main[[#This Row],[Class]]="B", WORKDAY(Main[[#This Row],[Tech Start Date]],6),IF(Main[[#This Row],[Class]]="A",WORKDAY(Main[[#This Row],[Tech Start Date]],2),""))))</f>
        <v/>
      </c>
      <c r="N1121" s="77" t="str">
        <f>IF(Main[[#This Row],[Tech Start Date]]&lt;1/1/1990,"",IF(Main[[#This Row],[Class]]="C",WORKDAY(Main[[#This Row],[Tech Start Date]],19),IF(Main[[#This Row],[Class]]="B", WORKDAY(Main[[#This Row],[Tech Start Date]],12),IF(Main[[#This Row],[Class]]="A",WORKDAY(Main[[#This Row],[Tech Start Date]],4),""))))</f>
        <v/>
      </c>
      <c r="O1121" s="77" t="str">
        <f>IF(Main[[#This Row],[Tech Start Date]]&lt;1/1/1990,"",IF(Main[[#This Row],[Class]]="C",WORKDAY(Main[[#This Row],[Tech Start Date]],23),IF(Main[[#This Row],[Class]]="B", WORKDAY(Main[[#This Row],[Tech Start Date]],15),IF(Main[[#This Row],[Class]]="A",WORKDAY(Main[[#This Row],[Tech Start Date]],5),""))))</f>
        <v/>
      </c>
      <c r="P1121" s="77" t="str">
        <f>IF(Main[[#This Row],[Tech Start Date]]&lt;1/1/1990,"",IF(Main[[#This Row],[Class]]="C",WORKDAY(Main[[#This Row],[Tech Start Date]],28),IF(Main[[#This Row],[Class]]="B", WORKDAY(Main[[#This Row],[Tech Start Date]],19),IF(Main[[#This Row],[Class]]="A",WORKDAY(Main[[#This Row],[Tech Start Date]],9),""))))</f>
        <v/>
      </c>
      <c r="Q1121" s="74">
        <v>40862</v>
      </c>
      <c r="R1121" s="74"/>
      <c r="S1121" s="72" t="s">
        <v>6</v>
      </c>
      <c r="T1121" s="80" t="s">
        <v>4</v>
      </c>
      <c r="U1121" s="72" t="s">
        <v>29</v>
      </c>
      <c r="V1121" s="72" t="s">
        <v>1940</v>
      </c>
      <c r="W1121" s="72" t="s">
        <v>1941</v>
      </c>
      <c r="X1121" s="72" t="s">
        <v>3017</v>
      </c>
      <c r="Y1121" s="72" t="s">
        <v>3168</v>
      </c>
      <c r="Z1121" s="72" t="s">
        <v>30</v>
      </c>
    </row>
    <row r="1122" spans="1:26" ht="18.600000000000001" customHeight="1">
      <c r="A1122" s="142" t="str">
        <f>IF(priority(Main[[#This Row],[Comments]])&lt;&gt;0, priority(Main[[#This Row],[Comments]]),"")</f>
        <v/>
      </c>
      <c r="B1122" s="90" t="s">
        <v>2541</v>
      </c>
      <c r="C1122" s="72" t="s">
        <v>4</v>
      </c>
      <c r="D1122" s="73" t="s">
        <v>2542</v>
      </c>
      <c r="E1122" s="74">
        <v>40855.647002314814</v>
      </c>
      <c r="F1122" s="74"/>
      <c r="G1122" s="75" t="str">
        <f>IF(stdProdLT(Main[[#This Row],[Comments]])=0.1,"N/A",IF(stdProdLT(Main[[#This Row],[Comments]])=0,"",stdProdLT(Main[[#This Row],[Comments]])))</f>
        <v/>
      </c>
      <c r="H1122" s="76" t="str">
        <f>IF(AND(Main[[#This Row],[In Stock Date]]&lt;&gt;"",Main[[#This Row],[Revised Due Date]]&lt;&gt;""),Main[[#This Row],[In Stock Date]]-Main[[#This Row],[Revised Due Date]],"")</f>
        <v/>
      </c>
      <c r="I1122" s="72" t="s">
        <v>4</v>
      </c>
      <c r="J1122" s="72" t="s">
        <v>4</v>
      </c>
      <c r="K1122" s="72" t="s">
        <v>4</v>
      </c>
      <c r="L1122" s="74"/>
      <c r="M1122" s="77" t="str">
        <f>IF(Main[[#This Row],[Tech Start Date]]&lt;1/1/1990,"",IF(Main[[#This Row],[Class]]="C",WORKDAY(Main[[#This Row],[Tech Start Date]],9),IF(Main[[#This Row],[Class]]="B", WORKDAY(Main[[#This Row],[Tech Start Date]],6),IF(Main[[#This Row],[Class]]="A",WORKDAY(Main[[#This Row],[Tech Start Date]],2),""))))</f>
        <v/>
      </c>
      <c r="N1122" s="77" t="str">
        <f>IF(Main[[#This Row],[Tech Start Date]]&lt;1/1/1990,"",IF(Main[[#This Row],[Class]]="C",WORKDAY(Main[[#This Row],[Tech Start Date]],19),IF(Main[[#This Row],[Class]]="B", WORKDAY(Main[[#This Row],[Tech Start Date]],12),IF(Main[[#This Row],[Class]]="A",WORKDAY(Main[[#This Row],[Tech Start Date]],4),""))))</f>
        <v/>
      </c>
      <c r="O1122" s="77" t="str">
        <f>IF(Main[[#This Row],[Tech Start Date]]&lt;1/1/1990,"",IF(Main[[#This Row],[Class]]="C",WORKDAY(Main[[#This Row],[Tech Start Date]],23),IF(Main[[#This Row],[Class]]="B", WORKDAY(Main[[#This Row],[Tech Start Date]],15),IF(Main[[#This Row],[Class]]="A",WORKDAY(Main[[#This Row],[Tech Start Date]],5),""))))</f>
        <v/>
      </c>
      <c r="P1122" s="77" t="str">
        <f>IF(Main[[#This Row],[Tech Start Date]]&lt;1/1/1990,"",IF(Main[[#This Row],[Class]]="C",WORKDAY(Main[[#This Row],[Tech Start Date]],28),IF(Main[[#This Row],[Class]]="B", WORKDAY(Main[[#This Row],[Tech Start Date]],19),IF(Main[[#This Row],[Class]]="A",WORKDAY(Main[[#This Row],[Tech Start Date]],9),""))))</f>
        <v/>
      </c>
      <c r="Q1122" s="74">
        <v>40892</v>
      </c>
      <c r="R1122" s="74"/>
      <c r="S1122" s="72" t="s">
        <v>6</v>
      </c>
      <c r="T1122" s="80" t="s">
        <v>4</v>
      </c>
      <c r="U1122" s="72" t="s">
        <v>7</v>
      </c>
      <c r="V1122" s="72" t="s">
        <v>1937</v>
      </c>
      <c r="W1122" s="72" t="s">
        <v>1945</v>
      </c>
      <c r="X1122" s="72" t="s">
        <v>2973</v>
      </c>
      <c r="Y1122" s="72" t="s">
        <v>3094</v>
      </c>
      <c r="Z1122" s="72" t="s">
        <v>4</v>
      </c>
    </row>
    <row r="1123" spans="1:26" ht="18.600000000000001" customHeight="1">
      <c r="A1123" s="142" t="str">
        <f>IF(priority(Main[[#This Row],[Comments]])&lt;&gt;0, priority(Main[[#This Row],[Comments]]),"")</f>
        <v/>
      </c>
      <c r="B1123" s="90" t="s">
        <v>2545</v>
      </c>
      <c r="C1123" s="72" t="s">
        <v>47</v>
      </c>
      <c r="D1123" s="73" t="s">
        <v>2546</v>
      </c>
      <c r="E1123" s="74">
        <v>40865.812858796293</v>
      </c>
      <c r="F1123" s="74"/>
      <c r="G1123" s="75" t="str">
        <f>IF(stdProdLT(Main[[#This Row],[Comments]])=0.1,"N/A",IF(stdProdLT(Main[[#This Row],[Comments]])=0,"",stdProdLT(Main[[#This Row],[Comments]])))</f>
        <v/>
      </c>
      <c r="H1123" s="76" t="str">
        <f>IF(AND(Main[[#This Row],[In Stock Date]]&lt;&gt;"",Main[[#This Row],[Revised Due Date]]&lt;&gt;""),Main[[#This Row],[In Stock Date]]-Main[[#This Row],[Revised Due Date]],"")</f>
        <v/>
      </c>
      <c r="I1123" s="72" t="s">
        <v>4</v>
      </c>
      <c r="J1123" s="72" t="s">
        <v>4</v>
      </c>
      <c r="K1123" s="72" t="s">
        <v>4</v>
      </c>
      <c r="L1123" s="74"/>
      <c r="M1123" s="77" t="str">
        <f>IF(Main[[#This Row],[Tech Start Date]]&lt;1/1/1990,"",IF(Main[[#This Row],[Class]]="C",WORKDAY(Main[[#This Row],[Tech Start Date]],9),IF(Main[[#This Row],[Class]]="B", WORKDAY(Main[[#This Row],[Tech Start Date]],6),IF(Main[[#This Row],[Class]]="A",WORKDAY(Main[[#This Row],[Tech Start Date]],2),""))))</f>
        <v/>
      </c>
      <c r="N1123" s="77" t="str">
        <f>IF(Main[[#This Row],[Tech Start Date]]&lt;1/1/1990,"",IF(Main[[#This Row],[Class]]="C",WORKDAY(Main[[#This Row],[Tech Start Date]],19),IF(Main[[#This Row],[Class]]="B", WORKDAY(Main[[#This Row],[Tech Start Date]],12),IF(Main[[#This Row],[Class]]="A",WORKDAY(Main[[#This Row],[Tech Start Date]],4),""))))</f>
        <v/>
      </c>
      <c r="O1123" s="77" t="str">
        <f>IF(Main[[#This Row],[Tech Start Date]]&lt;1/1/1990,"",IF(Main[[#This Row],[Class]]="C",WORKDAY(Main[[#This Row],[Tech Start Date]],23),IF(Main[[#This Row],[Class]]="B", WORKDAY(Main[[#This Row],[Tech Start Date]],15),IF(Main[[#This Row],[Class]]="A",WORKDAY(Main[[#This Row],[Tech Start Date]],5),""))))</f>
        <v/>
      </c>
      <c r="P1123" s="77" t="str">
        <f>IF(Main[[#This Row],[Tech Start Date]]&lt;1/1/1990,"",IF(Main[[#This Row],[Class]]="C",WORKDAY(Main[[#This Row],[Tech Start Date]],28),IF(Main[[#This Row],[Class]]="B", WORKDAY(Main[[#This Row],[Tech Start Date]],19),IF(Main[[#This Row],[Class]]="A",WORKDAY(Main[[#This Row],[Tech Start Date]],9),""))))</f>
        <v/>
      </c>
      <c r="Q1123" s="74">
        <v>40906</v>
      </c>
      <c r="R1123" s="74"/>
      <c r="S1123" s="72" t="s">
        <v>6</v>
      </c>
      <c r="T1123" s="80" t="s">
        <v>4</v>
      </c>
      <c r="U1123" s="72" t="s">
        <v>29</v>
      </c>
      <c r="V1123" s="72" t="s">
        <v>2317</v>
      </c>
      <c r="W1123" s="72" t="s">
        <v>4</v>
      </c>
      <c r="X1123" s="72" t="s">
        <v>3017</v>
      </c>
      <c r="Y1123" s="72" t="s">
        <v>3168</v>
      </c>
      <c r="Z1123" s="72" t="s">
        <v>4</v>
      </c>
    </row>
    <row r="1124" spans="1:26" ht="18.600000000000001" customHeight="1">
      <c r="A1124" s="142" t="str">
        <f>IF(priority(Main[[#This Row],[Comments]])&lt;&gt;0, priority(Main[[#This Row],[Comments]]),"")</f>
        <v/>
      </c>
      <c r="B1124" s="90" t="s">
        <v>2399</v>
      </c>
      <c r="C1124" s="72" t="s">
        <v>4</v>
      </c>
      <c r="D1124" s="73" t="s">
        <v>2400</v>
      </c>
      <c r="E1124" s="74">
        <v>40854.718263888892</v>
      </c>
      <c r="F1124" s="74"/>
      <c r="G1124" s="75" t="str">
        <f>IF(stdProdLT(Main[[#This Row],[Comments]])=0.1,"N/A",IF(stdProdLT(Main[[#This Row],[Comments]])=0,"",stdProdLT(Main[[#This Row],[Comments]])))</f>
        <v/>
      </c>
      <c r="H1124" s="76" t="str">
        <f>IF(AND(Main[[#This Row],[In Stock Date]]&lt;&gt;"",Main[[#This Row],[Revised Due Date]]&lt;&gt;""),Main[[#This Row],[In Stock Date]]-Main[[#This Row],[Revised Due Date]],"")</f>
        <v/>
      </c>
      <c r="I1124" s="72" t="s">
        <v>4</v>
      </c>
      <c r="J1124" s="72" t="s">
        <v>4</v>
      </c>
      <c r="K1124" s="72" t="s">
        <v>4</v>
      </c>
      <c r="L1124" s="74"/>
      <c r="M1124" s="77" t="str">
        <f>IF(Main[[#This Row],[Tech Start Date]]&lt;1/1/1990,"",IF(Main[[#This Row],[Class]]="C",WORKDAY(Main[[#This Row],[Tech Start Date]],9),IF(Main[[#This Row],[Class]]="B", WORKDAY(Main[[#This Row],[Tech Start Date]],6),IF(Main[[#This Row],[Class]]="A",WORKDAY(Main[[#This Row],[Tech Start Date]],2),""))))</f>
        <v/>
      </c>
      <c r="N1124" s="77" t="str">
        <f>IF(Main[[#This Row],[Tech Start Date]]&lt;1/1/1990,"",IF(Main[[#This Row],[Class]]="C",WORKDAY(Main[[#This Row],[Tech Start Date]],19),IF(Main[[#This Row],[Class]]="B", WORKDAY(Main[[#This Row],[Tech Start Date]],12),IF(Main[[#This Row],[Class]]="A",WORKDAY(Main[[#This Row],[Tech Start Date]],4),""))))</f>
        <v/>
      </c>
      <c r="O1124" s="77" t="str">
        <f>IF(Main[[#This Row],[Tech Start Date]]&lt;1/1/1990,"",IF(Main[[#This Row],[Class]]="C",WORKDAY(Main[[#This Row],[Tech Start Date]],23),IF(Main[[#This Row],[Class]]="B", WORKDAY(Main[[#This Row],[Tech Start Date]],15),IF(Main[[#This Row],[Class]]="A",WORKDAY(Main[[#This Row],[Tech Start Date]],5),""))))</f>
        <v/>
      </c>
      <c r="P1124" s="77" t="str">
        <f>IF(Main[[#This Row],[Tech Start Date]]&lt;1/1/1990,"",IF(Main[[#This Row],[Class]]="C",WORKDAY(Main[[#This Row],[Tech Start Date]],28),IF(Main[[#This Row],[Class]]="B", WORKDAY(Main[[#This Row],[Tech Start Date]],19),IF(Main[[#This Row],[Class]]="A",WORKDAY(Main[[#This Row],[Tech Start Date]],9),""))))</f>
        <v/>
      </c>
      <c r="Q1124" s="74">
        <v>40884</v>
      </c>
      <c r="R1124" s="74"/>
      <c r="S1124" s="72" t="s">
        <v>6</v>
      </c>
      <c r="T1124" s="80" t="s">
        <v>4</v>
      </c>
      <c r="U1124" s="72" t="s">
        <v>7</v>
      </c>
      <c r="V1124" s="72" t="s">
        <v>2317</v>
      </c>
      <c r="W1124" s="72" t="s">
        <v>4</v>
      </c>
      <c r="X1124" s="72" t="s">
        <v>3017</v>
      </c>
      <c r="Y1124" s="72" t="s">
        <v>3168</v>
      </c>
      <c r="Z1124" s="72" t="s">
        <v>4</v>
      </c>
    </row>
    <row r="1125" spans="1:26" ht="18.600000000000001" customHeight="1">
      <c r="A1125" s="142" t="str">
        <f>IF(priority(Main[[#This Row],[Comments]])&lt;&gt;0, priority(Main[[#This Row],[Comments]]),"")</f>
        <v/>
      </c>
      <c r="B1125" s="90" t="s">
        <v>2551</v>
      </c>
      <c r="C1125" s="72" t="s">
        <v>4</v>
      </c>
      <c r="D1125" s="73" t="s">
        <v>2552</v>
      </c>
      <c r="E1125" s="74"/>
      <c r="F1125" s="74"/>
      <c r="G1125" s="75" t="str">
        <f>IF(stdProdLT(Main[[#This Row],[Comments]])=0.1,"N/A",IF(stdProdLT(Main[[#This Row],[Comments]])=0,"",stdProdLT(Main[[#This Row],[Comments]])))</f>
        <v/>
      </c>
      <c r="H1125" s="76" t="str">
        <f>IF(AND(Main[[#This Row],[In Stock Date]]&lt;&gt;"",Main[[#This Row],[Revised Due Date]]&lt;&gt;""),Main[[#This Row],[In Stock Date]]-Main[[#This Row],[Revised Due Date]],"")</f>
        <v/>
      </c>
      <c r="I1125" s="72" t="s">
        <v>4</v>
      </c>
      <c r="J1125" s="72" t="s">
        <v>4</v>
      </c>
      <c r="K1125" s="72" t="s">
        <v>4</v>
      </c>
      <c r="L1125" s="74"/>
      <c r="M1125" s="77" t="str">
        <f>IF(Main[[#This Row],[Tech Start Date]]&lt;1/1/1990,"",IF(Main[[#This Row],[Class]]="C",WORKDAY(Main[[#This Row],[Tech Start Date]],9),IF(Main[[#This Row],[Class]]="B", WORKDAY(Main[[#This Row],[Tech Start Date]],6),IF(Main[[#This Row],[Class]]="A",WORKDAY(Main[[#This Row],[Tech Start Date]],2),""))))</f>
        <v/>
      </c>
      <c r="N1125" s="77" t="str">
        <f>IF(Main[[#This Row],[Tech Start Date]]&lt;1/1/1990,"",IF(Main[[#This Row],[Class]]="C",WORKDAY(Main[[#This Row],[Tech Start Date]],19),IF(Main[[#This Row],[Class]]="B", WORKDAY(Main[[#This Row],[Tech Start Date]],12),IF(Main[[#This Row],[Class]]="A",WORKDAY(Main[[#This Row],[Tech Start Date]],4),""))))</f>
        <v/>
      </c>
      <c r="O1125" s="77" t="str">
        <f>IF(Main[[#This Row],[Tech Start Date]]&lt;1/1/1990,"",IF(Main[[#This Row],[Class]]="C",WORKDAY(Main[[#This Row],[Tech Start Date]],23),IF(Main[[#This Row],[Class]]="B", WORKDAY(Main[[#This Row],[Tech Start Date]],15),IF(Main[[#This Row],[Class]]="A",WORKDAY(Main[[#This Row],[Tech Start Date]],5),""))))</f>
        <v/>
      </c>
      <c r="P1125" s="77" t="str">
        <f>IF(Main[[#This Row],[Tech Start Date]]&lt;1/1/1990,"",IF(Main[[#This Row],[Class]]="C",WORKDAY(Main[[#This Row],[Tech Start Date]],28),IF(Main[[#This Row],[Class]]="B", WORKDAY(Main[[#This Row],[Tech Start Date]],19),IF(Main[[#This Row],[Class]]="A",WORKDAY(Main[[#This Row],[Tech Start Date]],9),""))))</f>
        <v/>
      </c>
      <c r="Q1125" s="74"/>
      <c r="R1125" s="74"/>
      <c r="S1125" s="72" t="s">
        <v>11</v>
      </c>
      <c r="T1125" s="80" t="s">
        <v>4</v>
      </c>
      <c r="U1125" s="72" t="s">
        <v>14</v>
      </c>
      <c r="V1125" s="72" t="s">
        <v>1937</v>
      </c>
      <c r="W1125" s="72" t="s">
        <v>1945</v>
      </c>
      <c r="X1125" s="72" t="s">
        <v>3058</v>
      </c>
      <c r="Y1125" s="72" t="s">
        <v>3255</v>
      </c>
      <c r="Z1125" s="72" t="s">
        <v>891</v>
      </c>
    </row>
    <row r="1126" spans="1:26" ht="18.600000000000001" customHeight="1">
      <c r="A1126" s="142" t="str">
        <f>IF(priority(Main[[#This Row],[Comments]])&lt;&gt;0, priority(Main[[#This Row],[Comments]]),"")</f>
        <v/>
      </c>
      <c r="B1126" s="90" t="s">
        <v>1871</v>
      </c>
      <c r="C1126" s="72" t="s">
        <v>4</v>
      </c>
      <c r="D1126" s="73" t="s">
        <v>919</v>
      </c>
      <c r="E1126" s="74">
        <v>39968.569513888891</v>
      </c>
      <c r="F1126" s="74">
        <v>40298</v>
      </c>
      <c r="G1126" s="75" t="str">
        <f>IF(stdProdLT(Main[[#This Row],[Comments]])=0.1,"N/A",IF(stdProdLT(Main[[#This Row],[Comments]])=0,"",stdProdLT(Main[[#This Row],[Comments]])))</f>
        <v/>
      </c>
      <c r="H1126" s="76">
        <f>IF(AND(Main[[#This Row],[In Stock Date]]&lt;&gt;"",Main[[#This Row],[Revised Due Date]]&lt;&gt;""),Main[[#This Row],[In Stock Date]]-Main[[#This Row],[Revised Due Date]],"")</f>
        <v>-704</v>
      </c>
      <c r="I1126" s="72" t="s">
        <v>990</v>
      </c>
      <c r="J1126" s="72" t="s">
        <v>4</v>
      </c>
      <c r="K1126" s="72" t="s">
        <v>1949</v>
      </c>
      <c r="L1126" s="74"/>
      <c r="M1126" s="77" t="str">
        <f>IF(Main[[#This Row],[Tech Start Date]]&lt;1/1/1990,"",IF(Main[[#This Row],[Class]]="C",WORKDAY(Main[[#This Row],[Tech Start Date]],9),IF(Main[[#This Row],[Class]]="B", WORKDAY(Main[[#This Row],[Tech Start Date]],6),IF(Main[[#This Row],[Class]]="A",WORKDAY(Main[[#This Row],[Tech Start Date]],2),""))))</f>
        <v/>
      </c>
      <c r="N1126" s="77" t="str">
        <f>IF(Main[[#This Row],[Tech Start Date]]&lt;1/1/1990,"",IF(Main[[#This Row],[Class]]="C",WORKDAY(Main[[#This Row],[Tech Start Date]],19),IF(Main[[#This Row],[Class]]="B", WORKDAY(Main[[#This Row],[Tech Start Date]],12),IF(Main[[#This Row],[Class]]="A",WORKDAY(Main[[#This Row],[Tech Start Date]],4),""))))</f>
        <v/>
      </c>
      <c r="O1126" s="77" t="str">
        <f>IF(Main[[#This Row],[Tech Start Date]]&lt;1/1/1990,"",IF(Main[[#This Row],[Class]]="C",WORKDAY(Main[[#This Row],[Tech Start Date]],23),IF(Main[[#This Row],[Class]]="B", WORKDAY(Main[[#This Row],[Tech Start Date]],15),IF(Main[[#This Row],[Class]]="A",WORKDAY(Main[[#This Row],[Tech Start Date]],5),""))))</f>
        <v/>
      </c>
      <c r="P1126" s="77" t="str">
        <f>IF(Main[[#This Row],[Tech Start Date]]&lt;1/1/1990,"",IF(Main[[#This Row],[Class]]="C",WORKDAY(Main[[#This Row],[Tech Start Date]],28),IF(Main[[#This Row],[Class]]="B", WORKDAY(Main[[#This Row],[Tech Start Date]],19),IF(Main[[#This Row],[Class]]="A",WORKDAY(Main[[#This Row],[Tech Start Date]],9),""))))</f>
        <v/>
      </c>
      <c r="Q1126" s="74">
        <v>40165</v>
      </c>
      <c r="R1126" s="74">
        <v>41002</v>
      </c>
      <c r="S1126" s="72" t="s">
        <v>17</v>
      </c>
      <c r="T1126" s="80" t="s">
        <v>4</v>
      </c>
      <c r="U1126" s="72" t="s">
        <v>29</v>
      </c>
      <c r="V1126" s="72" t="s">
        <v>1940</v>
      </c>
      <c r="W1126" s="72" t="s">
        <v>1942</v>
      </c>
      <c r="X1126" s="72" t="s">
        <v>984</v>
      </c>
      <c r="Y1126" s="72" t="s">
        <v>3276</v>
      </c>
      <c r="Z1126" s="72" t="s">
        <v>421</v>
      </c>
    </row>
    <row r="1127" spans="1:26" ht="18.600000000000001" customHeight="1">
      <c r="A1127" s="142" t="str">
        <f>IF(priority(Main[[#This Row],[Comments]])&lt;&gt;0, priority(Main[[#This Row],[Comments]]),"")</f>
        <v/>
      </c>
      <c r="B1127" s="90" t="s">
        <v>2558</v>
      </c>
      <c r="C1127" s="72" t="s">
        <v>4</v>
      </c>
      <c r="D1127" s="73" t="s">
        <v>2559</v>
      </c>
      <c r="E1127" s="74"/>
      <c r="F1127" s="74"/>
      <c r="G1127" s="75" t="str">
        <f>IF(stdProdLT(Main[[#This Row],[Comments]])=0.1,"N/A",IF(stdProdLT(Main[[#This Row],[Comments]])=0,"",stdProdLT(Main[[#This Row],[Comments]])))</f>
        <v/>
      </c>
      <c r="H1127" s="76" t="str">
        <f>IF(AND(Main[[#This Row],[In Stock Date]]&lt;&gt;"",Main[[#This Row],[Revised Due Date]]&lt;&gt;""),Main[[#This Row],[In Stock Date]]-Main[[#This Row],[Revised Due Date]],"")</f>
        <v/>
      </c>
      <c r="I1127" s="72" t="s">
        <v>4</v>
      </c>
      <c r="J1127" s="72" t="s">
        <v>4</v>
      </c>
      <c r="K1127" s="72" t="s">
        <v>4</v>
      </c>
      <c r="L1127" s="74"/>
      <c r="M1127" s="77" t="str">
        <f>IF(Main[[#This Row],[Tech Start Date]]&lt;1/1/1990,"",IF(Main[[#This Row],[Class]]="C",WORKDAY(Main[[#This Row],[Tech Start Date]],9),IF(Main[[#This Row],[Class]]="B", WORKDAY(Main[[#This Row],[Tech Start Date]],6),IF(Main[[#This Row],[Class]]="A",WORKDAY(Main[[#This Row],[Tech Start Date]],2),""))))</f>
        <v/>
      </c>
      <c r="N1127" s="77" t="str">
        <f>IF(Main[[#This Row],[Tech Start Date]]&lt;1/1/1990,"",IF(Main[[#This Row],[Class]]="C",WORKDAY(Main[[#This Row],[Tech Start Date]],19),IF(Main[[#This Row],[Class]]="B", WORKDAY(Main[[#This Row],[Tech Start Date]],12),IF(Main[[#This Row],[Class]]="A",WORKDAY(Main[[#This Row],[Tech Start Date]],4),""))))</f>
        <v/>
      </c>
      <c r="O1127" s="77" t="str">
        <f>IF(Main[[#This Row],[Tech Start Date]]&lt;1/1/1990,"",IF(Main[[#This Row],[Class]]="C",WORKDAY(Main[[#This Row],[Tech Start Date]],23),IF(Main[[#This Row],[Class]]="B", WORKDAY(Main[[#This Row],[Tech Start Date]],15),IF(Main[[#This Row],[Class]]="A",WORKDAY(Main[[#This Row],[Tech Start Date]],5),""))))</f>
        <v/>
      </c>
      <c r="P1127" s="77" t="str">
        <f>IF(Main[[#This Row],[Tech Start Date]]&lt;1/1/1990,"",IF(Main[[#This Row],[Class]]="C",WORKDAY(Main[[#This Row],[Tech Start Date]],28),IF(Main[[#This Row],[Class]]="B", WORKDAY(Main[[#This Row],[Tech Start Date]],19),IF(Main[[#This Row],[Class]]="A",WORKDAY(Main[[#This Row],[Tech Start Date]],9),""))))</f>
        <v/>
      </c>
      <c r="Q1127" s="74">
        <v>40837</v>
      </c>
      <c r="R1127" s="74"/>
      <c r="S1127" s="72" t="s">
        <v>11</v>
      </c>
      <c r="T1127" s="80" t="s">
        <v>4</v>
      </c>
      <c r="U1127" s="72" t="s">
        <v>14</v>
      </c>
      <c r="V1127" s="72" t="s">
        <v>1938</v>
      </c>
      <c r="W1127" s="72" t="s">
        <v>1945</v>
      </c>
      <c r="X1127" s="72" t="s">
        <v>3058</v>
      </c>
      <c r="Y1127" s="72" t="s">
        <v>3255</v>
      </c>
      <c r="Z1127" s="72" t="s">
        <v>4</v>
      </c>
    </row>
    <row r="1128" spans="1:26" ht="18.600000000000001" customHeight="1">
      <c r="A1128" s="142" t="str">
        <f>IF(priority(Main[[#This Row],[Comments]])&lt;&gt;0, priority(Main[[#This Row],[Comments]]),"")</f>
        <v/>
      </c>
      <c r="B1128" s="90" t="s">
        <v>1399</v>
      </c>
      <c r="C1128" s="72" t="s">
        <v>4</v>
      </c>
      <c r="D1128" s="73" t="s">
        <v>2041</v>
      </c>
      <c r="E1128" s="74"/>
      <c r="F1128" s="74"/>
      <c r="G1128" s="75" t="str">
        <f>IF(stdProdLT(Main[[#This Row],[Comments]])=0.1,"N/A",IF(stdProdLT(Main[[#This Row],[Comments]])=0,"",stdProdLT(Main[[#This Row],[Comments]])))</f>
        <v/>
      </c>
      <c r="H1128" s="76" t="str">
        <f>IF(AND(Main[[#This Row],[In Stock Date]]&lt;&gt;"",Main[[#This Row],[Revised Due Date]]&lt;&gt;""),Main[[#This Row],[In Stock Date]]-Main[[#This Row],[Revised Due Date]],"")</f>
        <v/>
      </c>
      <c r="I1128" s="72" t="s">
        <v>4</v>
      </c>
      <c r="J1128" s="72" t="s">
        <v>4</v>
      </c>
      <c r="K1128" s="81" t="s">
        <v>4</v>
      </c>
      <c r="L1128" s="74"/>
      <c r="M1128" s="77" t="str">
        <f>IF(Main[[#This Row],[Tech Start Date]]&lt;1/1/1990,"",IF(Main[[#This Row],[Class]]="C",WORKDAY(Main[[#This Row],[Tech Start Date]],9),IF(Main[[#This Row],[Class]]="B", WORKDAY(Main[[#This Row],[Tech Start Date]],6),IF(Main[[#This Row],[Class]]="A",WORKDAY(Main[[#This Row],[Tech Start Date]],2),""))))</f>
        <v/>
      </c>
      <c r="N1128" s="77" t="str">
        <f>IF(Main[[#This Row],[Tech Start Date]]&lt;1/1/1990,"",IF(Main[[#This Row],[Class]]="C",WORKDAY(Main[[#This Row],[Tech Start Date]],19),IF(Main[[#This Row],[Class]]="B", WORKDAY(Main[[#This Row],[Tech Start Date]],12),IF(Main[[#This Row],[Class]]="A",WORKDAY(Main[[#This Row],[Tech Start Date]],4),""))))</f>
        <v/>
      </c>
      <c r="O1128" s="77" t="str">
        <f>IF(Main[[#This Row],[Tech Start Date]]&lt;1/1/1990,"",IF(Main[[#This Row],[Class]]="C",WORKDAY(Main[[#This Row],[Tech Start Date]],23),IF(Main[[#This Row],[Class]]="B", WORKDAY(Main[[#This Row],[Tech Start Date]],15),IF(Main[[#This Row],[Class]]="A",WORKDAY(Main[[#This Row],[Tech Start Date]],5),""))))</f>
        <v/>
      </c>
      <c r="P1128" s="77" t="str">
        <f>IF(Main[[#This Row],[Tech Start Date]]&lt;1/1/1990,"",IF(Main[[#This Row],[Class]]="C",WORKDAY(Main[[#This Row],[Tech Start Date]],28),IF(Main[[#This Row],[Class]]="B", WORKDAY(Main[[#This Row],[Tech Start Date]],19),IF(Main[[#This Row],[Class]]="A",WORKDAY(Main[[#This Row],[Tech Start Date]],9),""))))</f>
        <v/>
      </c>
      <c r="Q1128" s="74">
        <v>40310</v>
      </c>
      <c r="R1128" s="74"/>
      <c r="S1128" s="72" t="s">
        <v>6</v>
      </c>
      <c r="T1128" s="80" t="s">
        <v>4</v>
      </c>
      <c r="U1128" s="72" t="s">
        <v>14</v>
      </c>
      <c r="V1128" s="72" t="s">
        <v>1937</v>
      </c>
      <c r="W1128" s="72" t="s">
        <v>1942</v>
      </c>
      <c r="X1128" s="72" t="s">
        <v>897</v>
      </c>
      <c r="Y1128" s="72" t="s">
        <v>3121</v>
      </c>
      <c r="Z1128" s="72" t="s">
        <v>4</v>
      </c>
    </row>
    <row r="1129" spans="1:26" ht="18.600000000000001" customHeight="1">
      <c r="A1129" s="142" t="str">
        <f>IF(priority(Main[[#This Row],[Comments]])&lt;&gt;0, priority(Main[[#This Row],[Comments]]),"")</f>
        <v/>
      </c>
      <c r="B1129" s="90" t="s">
        <v>2648</v>
      </c>
      <c r="C1129" s="72" t="s">
        <v>4</v>
      </c>
      <c r="D1129" s="73" t="s">
        <v>2872</v>
      </c>
      <c r="E1129" s="74"/>
      <c r="F1129" s="74"/>
      <c r="G1129" s="75" t="str">
        <f>IF(stdProdLT(Main[[#This Row],[Comments]])=0.1,"N/A",IF(stdProdLT(Main[[#This Row],[Comments]])=0,"",stdProdLT(Main[[#This Row],[Comments]])))</f>
        <v/>
      </c>
      <c r="H1129" s="76" t="str">
        <f>IF(AND(Main[[#This Row],[In Stock Date]]&lt;&gt;"",Main[[#This Row],[Revised Due Date]]&lt;&gt;""),Main[[#This Row],[In Stock Date]]-Main[[#This Row],[Revised Due Date]],"")</f>
        <v/>
      </c>
      <c r="I1129" s="72" t="s">
        <v>242</v>
      </c>
      <c r="J1129" s="72" t="s">
        <v>28</v>
      </c>
      <c r="K1129" s="72" t="s">
        <v>1946</v>
      </c>
      <c r="L1129" s="74"/>
      <c r="M1129" s="77" t="str">
        <f>IF(Main[[#This Row],[Tech Start Date]]&lt;1/1/1990,"",IF(Main[[#This Row],[Class]]="C",WORKDAY(Main[[#This Row],[Tech Start Date]],9),IF(Main[[#This Row],[Class]]="B", WORKDAY(Main[[#This Row],[Tech Start Date]],6),IF(Main[[#This Row],[Class]]="A",WORKDAY(Main[[#This Row],[Tech Start Date]],2),""))))</f>
        <v/>
      </c>
      <c r="N1129" s="77" t="str">
        <f>IF(Main[[#This Row],[Tech Start Date]]&lt;1/1/1990,"",IF(Main[[#This Row],[Class]]="C",WORKDAY(Main[[#This Row],[Tech Start Date]],19),IF(Main[[#This Row],[Class]]="B", WORKDAY(Main[[#This Row],[Tech Start Date]],12),IF(Main[[#This Row],[Class]]="A",WORKDAY(Main[[#This Row],[Tech Start Date]],4),""))))</f>
        <v/>
      </c>
      <c r="O1129" s="77" t="str">
        <f>IF(Main[[#This Row],[Tech Start Date]]&lt;1/1/1990,"",IF(Main[[#This Row],[Class]]="C",WORKDAY(Main[[#This Row],[Tech Start Date]],23),IF(Main[[#This Row],[Class]]="B", WORKDAY(Main[[#This Row],[Tech Start Date]],15),IF(Main[[#This Row],[Class]]="A",WORKDAY(Main[[#This Row],[Tech Start Date]],5),""))))</f>
        <v/>
      </c>
      <c r="P1129" s="77" t="str">
        <f>IF(Main[[#This Row],[Tech Start Date]]&lt;1/1/1990,"",IF(Main[[#This Row],[Class]]="C",WORKDAY(Main[[#This Row],[Tech Start Date]],28),IF(Main[[#This Row],[Class]]="B", WORKDAY(Main[[#This Row],[Tech Start Date]],19),IF(Main[[#This Row],[Class]]="A",WORKDAY(Main[[#This Row],[Tech Start Date]],9),""))))</f>
        <v/>
      </c>
      <c r="Q1129" s="74">
        <v>40907</v>
      </c>
      <c r="R1129" s="74"/>
      <c r="S1129" s="72" t="s">
        <v>6</v>
      </c>
      <c r="T1129" s="80" t="s">
        <v>4</v>
      </c>
      <c r="U1129" s="72" t="s">
        <v>14</v>
      </c>
      <c r="V1129" s="72" t="s">
        <v>1940</v>
      </c>
      <c r="W1129" s="72" t="s">
        <v>1941</v>
      </c>
      <c r="X1129" s="72" t="s">
        <v>2971</v>
      </c>
      <c r="Y1129" s="72" t="s">
        <v>3090</v>
      </c>
      <c r="Z1129" s="72" t="s">
        <v>30</v>
      </c>
    </row>
    <row r="1130" spans="1:26" ht="18.600000000000001" customHeight="1">
      <c r="A1130" s="142" t="str">
        <f>IF(priority(Main[[#This Row],[Comments]])&lt;&gt;0, priority(Main[[#This Row],[Comments]]),"")</f>
        <v/>
      </c>
      <c r="B1130" s="90" t="s">
        <v>2560</v>
      </c>
      <c r="C1130" s="72" t="s">
        <v>2561</v>
      </c>
      <c r="D1130" s="73" t="s">
        <v>2562</v>
      </c>
      <c r="E1130" s="74"/>
      <c r="F1130" s="74"/>
      <c r="G1130" s="75" t="str">
        <f>IF(stdProdLT(Main[[#This Row],[Comments]])=0.1,"N/A",IF(stdProdLT(Main[[#This Row],[Comments]])=0,"",stdProdLT(Main[[#This Row],[Comments]])))</f>
        <v/>
      </c>
      <c r="H1130" s="76" t="str">
        <f>IF(AND(Main[[#This Row],[In Stock Date]]&lt;&gt;"",Main[[#This Row],[Revised Due Date]]&lt;&gt;""),Main[[#This Row],[In Stock Date]]-Main[[#This Row],[Revised Due Date]],"")</f>
        <v/>
      </c>
      <c r="I1130" s="72" t="s">
        <v>4</v>
      </c>
      <c r="J1130" s="72" t="s">
        <v>4</v>
      </c>
      <c r="K1130" s="72" t="s">
        <v>4</v>
      </c>
      <c r="L1130" s="74"/>
      <c r="M1130" s="77" t="str">
        <f>IF(Main[[#This Row],[Tech Start Date]]&lt;1/1/1990,"",IF(Main[[#This Row],[Class]]="C",WORKDAY(Main[[#This Row],[Tech Start Date]],9),IF(Main[[#This Row],[Class]]="B", WORKDAY(Main[[#This Row],[Tech Start Date]],6),IF(Main[[#This Row],[Class]]="A",WORKDAY(Main[[#This Row],[Tech Start Date]],2),""))))</f>
        <v/>
      </c>
      <c r="N1130" s="77" t="str">
        <f>IF(Main[[#This Row],[Tech Start Date]]&lt;1/1/1990,"",IF(Main[[#This Row],[Class]]="C",WORKDAY(Main[[#This Row],[Tech Start Date]],19),IF(Main[[#This Row],[Class]]="B", WORKDAY(Main[[#This Row],[Tech Start Date]],12),IF(Main[[#This Row],[Class]]="A",WORKDAY(Main[[#This Row],[Tech Start Date]],4),""))))</f>
        <v/>
      </c>
      <c r="O1130" s="77" t="str">
        <f>IF(Main[[#This Row],[Tech Start Date]]&lt;1/1/1990,"",IF(Main[[#This Row],[Class]]="C",WORKDAY(Main[[#This Row],[Tech Start Date]],23),IF(Main[[#This Row],[Class]]="B", WORKDAY(Main[[#This Row],[Tech Start Date]],15),IF(Main[[#This Row],[Class]]="A",WORKDAY(Main[[#This Row],[Tech Start Date]],5),""))))</f>
        <v/>
      </c>
      <c r="P1130" s="77" t="str">
        <f>IF(Main[[#This Row],[Tech Start Date]]&lt;1/1/1990,"",IF(Main[[#This Row],[Class]]="C",WORKDAY(Main[[#This Row],[Tech Start Date]],28),IF(Main[[#This Row],[Class]]="B", WORKDAY(Main[[#This Row],[Tech Start Date]],19),IF(Main[[#This Row],[Class]]="A",WORKDAY(Main[[#This Row],[Tech Start Date]],9),""))))</f>
        <v/>
      </c>
      <c r="Q1130" s="74"/>
      <c r="R1130" s="74"/>
      <c r="S1130" s="72" t="s">
        <v>11</v>
      </c>
      <c r="T1130" s="80" t="s">
        <v>4</v>
      </c>
      <c r="U1130" s="72" t="s">
        <v>14</v>
      </c>
      <c r="V1130" s="72" t="s">
        <v>1938</v>
      </c>
      <c r="W1130" s="72" t="s">
        <v>1945</v>
      </c>
      <c r="X1130" s="72" t="s">
        <v>2283</v>
      </c>
      <c r="Y1130" s="72" t="s">
        <v>4</v>
      </c>
      <c r="Z1130" s="72" t="s">
        <v>4</v>
      </c>
    </row>
    <row r="1131" spans="1:26" ht="18.600000000000001" customHeight="1">
      <c r="A1131" s="142" t="str">
        <f>IF(priority(Main[[#This Row],[Comments]])&lt;&gt;0, priority(Main[[#This Row],[Comments]]),"")</f>
        <v/>
      </c>
      <c r="B1131" s="90" t="s">
        <v>2565</v>
      </c>
      <c r="C1131" s="72" t="s">
        <v>4</v>
      </c>
      <c r="D1131" s="73" t="s">
        <v>2566</v>
      </c>
      <c r="E1131" s="74"/>
      <c r="F1131" s="74"/>
      <c r="G1131" s="75" t="str">
        <f>IF(stdProdLT(Main[[#This Row],[Comments]])=0.1,"N/A",IF(stdProdLT(Main[[#This Row],[Comments]])=0,"",stdProdLT(Main[[#This Row],[Comments]])))</f>
        <v/>
      </c>
      <c r="H1131" s="76" t="str">
        <f>IF(AND(Main[[#This Row],[In Stock Date]]&lt;&gt;"",Main[[#This Row],[Revised Due Date]]&lt;&gt;""),Main[[#This Row],[In Stock Date]]-Main[[#This Row],[Revised Due Date]],"")</f>
        <v/>
      </c>
      <c r="I1131" s="72" t="s">
        <v>4</v>
      </c>
      <c r="J1131" s="72" t="s">
        <v>4</v>
      </c>
      <c r="K1131" s="72" t="s">
        <v>4</v>
      </c>
      <c r="L1131" s="74"/>
      <c r="M1131" s="77" t="str">
        <f>IF(Main[[#This Row],[Tech Start Date]]&lt;1/1/1990,"",IF(Main[[#This Row],[Class]]="C",WORKDAY(Main[[#This Row],[Tech Start Date]],9),IF(Main[[#This Row],[Class]]="B", WORKDAY(Main[[#This Row],[Tech Start Date]],6),IF(Main[[#This Row],[Class]]="A",WORKDAY(Main[[#This Row],[Tech Start Date]],2),""))))</f>
        <v/>
      </c>
      <c r="N1131" s="77" t="str">
        <f>IF(Main[[#This Row],[Tech Start Date]]&lt;1/1/1990,"",IF(Main[[#This Row],[Class]]="C",WORKDAY(Main[[#This Row],[Tech Start Date]],19),IF(Main[[#This Row],[Class]]="B", WORKDAY(Main[[#This Row],[Tech Start Date]],12),IF(Main[[#This Row],[Class]]="A",WORKDAY(Main[[#This Row],[Tech Start Date]],4),""))))</f>
        <v/>
      </c>
      <c r="O1131" s="77" t="str">
        <f>IF(Main[[#This Row],[Tech Start Date]]&lt;1/1/1990,"",IF(Main[[#This Row],[Class]]="C",WORKDAY(Main[[#This Row],[Tech Start Date]],23),IF(Main[[#This Row],[Class]]="B", WORKDAY(Main[[#This Row],[Tech Start Date]],15),IF(Main[[#This Row],[Class]]="A",WORKDAY(Main[[#This Row],[Tech Start Date]],5),""))))</f>
        <v/>
      </c>
      <c r="P1131" s="77" t="str">
        <f>IF(Main[[#This Row],[Tech Start Date]]&lt;1/1/1990,"",IF(Main[[#This Row],[Class]]="C",WORKDAY(Main[[#This Row],[Tech Start Date]],28),IF(Main[[#This Row],[Class]]="B", WORKDAY(Main[[#This Row],[Tech Start Date]],19),IF(Main[[#This Row],[Class]]="A",WORKDAY(Main[[#This Row],[Tech Start Date]],9),""))))</f>
        <v/>
      </c>
      <c r="Q1131" s="74">
        <v>40878</v>
      </c>
      <c r="R1131" s="74"/>
      <c r="S1131" s="72" t="s">
        <v>6</v>
      </c>
      <c r="T1131" s="80" t="s">
        <v>4</v>
      </c>
      <c r="U1131" s="72" t="s">
        <v>12</v>
      </c>
      <c r="V1131" s="72" t="s">
        <v>2317</v>
      </c>
      <c r="W1131" s="72" t="s">
        <v>4</v>
      </c>
      <c r="X1131" s="72" t="s">
        <v>2988</v>
      </c>
      <c r="Y1131" s="72" t="s">
        <v>3123</v>
      </c>
      <c r="Z1131" s="72" t="s">
        <v>4</v>
      </c>
    </row>
    <row r="1132" spans="1:26" ht="18.600000000000001" customHeight="1">
      <c r="A1132" s="142" t="str">
        <f>IF(priority(Main[[#This Row],[Comments]])&lt;&gt;0, priority(Main[[#This Row],[Comments]]),"")</f>
        <v/>
      </c>
      <c r="B1132" s="90" t="s">
        <v>2864</v>
      </c>
      <c r="C1132" s="72" t="s">
        <v>4</v>
      </c>
      <c r="D1132" s="73" t="s">
        <v>2865</v>
      </c>
      <c r="E1132" s="74">
        <v>40907.447002314817</v>
      </c>
      <c r="F1132" s="74"/>
      <c r="G1132" s="75" t="str">
        <f>IF(stdProdLT(Main[[#This Row],[Comments]])=0.1,"N/A",IF(stdProdLT(Main[[#This Row],[Comments]])=0,"",stdProdLT(Main[[#This Row],[Comments]])))</f>
        <v/>
      </c>
      <c r="H1132" s="76" t="str">
        <f>IF(AND(Main[[#This Row],[In Stock Date]]&lt;&gt;"",Main[[#This Row],[Revised Due Date]]&lt;&gt;""),Main[[#This Row],[In Stock Date]]-Main[[#This Row],[Revised Due Date]],"")</f>
        <v/>
      </c>
      <c r="I1132" s="72" t="s">
        <v>4</v>
      </c>
      <c r="J1132" s="72" t="s">
        <v>4</v>
      </c>
      <c r="K1132" s="72" t="s">
        <v>4</v>
      </c>
      <c r="L1132" s="74"/>
      <c r="M1132" s="77" t="str">
        <f>IF(Main[[#This Row],[Tech Start Date]]&lt;1/1/1990,"",IF(Main[[#This Row],[Class]]="C",WORKDAY(Main[[#This Row],[Tech Start Date]],9),IF(Main[[#This Row],[Class]]="B", WORKDAY(Main[[#This Row],[Tech Start Date]],6),IF(Main[[#This Row],[Class]]="A",WORKDAY(Main[[#This Row],[Tech Start Date]],2),""))))</f>
        <v/>
      </c>
      <c r="N1132" s="77" t="str">
        <f>IF(Main[[#This Row],[Tech Start Date]]&lt;1/1/1990,"",IF(Main[[#This Row],[Class]]="C",WORKDAY(Main[[#This Row],[Tech Start Date]],19),IF(Main[[#This Row],[Class]]="B", WORKDAY(Main[[#This Row],[Tech Start Date]],12),IF(Main[[#This Row],[Class]]="A",WORKDAY(Main[[#This Row],[Tech Start Date]],4),""))))</f>
        <v/>
      </c>
      <c r="O1132" s="77" t="str">
        <f>IF(Main[[#This Row],[Tech Start Date]]&lt;1/1/1990,"",IF(Main[[#This Row],[Class]]="C",WORKDAY(Main[[#This Row],[Tech Start Date]],23),IF(Main[[#This Row],[Class]]="B", WORKDAY(Main[[#This Row],[Tech Start Date]],15),IF(Main[[#This Row],[Class]]="A",WORKDAY(Main[[#This Row],[Tech Start Date]],5),""))))</f>
        <v/>
      </c>
      <c r="P1132" s="77" t="str">
        <f>IF(Main[[#This Row],[Tech Start Date]]&lt;1/1/1990,"",IF(Main[[#This Row],[Class]]="C",WORKDAY(Main[[#This Row],[Tech Start Date]],28),IF(Main[[#This Row],[Class]]="B", WORKDAY(Main[[#This Row],[Tech Start Date]],19),IF(Main[[#This Row],[Class]]="A",WORKDAY(Main[[#This Row],[Tech Start Date]],9),""))))</f>
        <v/>
      </c>
      <c r="Q1132" s="74">
        <v>40921</v>
      </c>
      <c r="R1132" s="74"/>
      <c r="S1132" s="72" t="s">
        <v>6</v>
      </c>
      <c r="T1132" s="80" t="s">
        <v>4</v>
      </c>
      <c r="U1132" s="72" t="s">
        <v>7</v>
      </c>
      <c r="V1132" s="72" t="s">
        <v>2317</v>
      </c>
      <c r="W1132" s="72" t="s">
        <v>1945</v>
      </c>
      <c r="X1132" s="72" t="s">
        <v>3037</v>
      </c>
      <c r="Y1132" s="72" t="s">
        <v>3199</v>
      </c>
      <c r="Z1132" s="72" t="s">
        <v>4</v>
      </c>
    </row>
    <row r="1133" spans="1:26" ht="18.600000000000001" customHeight="1">
      <c r="A1133" s="142" t="str">
        <f>IF(priority(Main[[#This Row],[Comments]])&lt;&gt;0, priority(Main[[#This Row],[Comments]]),"")</f>
        <v/>
      </c>
      <c r="B1133" s="90" t="s">
        <v>2866</v>
      </c>
      <c r="C1133" s="72" t="s">
        <v>4</v>
      </c>
      <c r="D1133" s="73" t="s">
        <v>2867</v>
      </c>
      <c r="E1133" s="74">
        <v>40911.566932870373</v>
      </c>
      <c r="F1133" s="74"/>
      <c r="G1133" s="75" t="str">
        <f>IF(stdProdLT(Main[[#This Row],[Comments]])=0.1,"N/A",IF(stdProdLT(Main[[#This Row],[Comments]])=0,"",stdProdLT(Main[[#This Row],[Comments]])))</f>
        <v/>
      </c>
      <c r="H1133" s="76" t="str">
        <f>IF(AND(Main[[#This Row],[In Stock Date]]&lt;&gt;"",Main[[#This Row],[Revised Due Date]]&lt;&gt;""),Main[[#This Row],[In Stock Date]]-Main[[#This Row],[Revised Due Date]],"")</f>
        <v/>
      </c>
      <c r="I1133" s="72" t="s">
        <v>536</v>
      </c>
      <c r="J1133" s="72" t="s">
        <v>28</v>
      </c>
      <c r="K1133" s="72" t="s">
        <v>1946</v>
      </c>
      <c r="L1133" s="74"/>
      <c r="M1133" s="77" t="str">
        <f>IF(Main[[#This Row],[Tech Start Date]]&lt;1/1/1990,"",IF(Main[[#This Row],[Class]]="C",WORKDAY(Main[[#This Row],[Tech Start Date]],9),IF(Main[[#This Row],[Class]]="B", WORKDAY(Main[[#This Row],[Tech Start Date]],6),IF(Main[[#This Row],[Class]]="A",WORKDAY(Main[[#This Row],[Tech Start Date]],2),""))))</f>
        <v/>
      </c>
      <c r="N1133" s="77" t="str">
        <f>IF(Main[[#This Row],[Tech Start Date]]&lt;1/1/1990,"",IF(Main[[#This Row],[Class]]="C",WORKDAY(Main[[#This Row],[Tech Start Date]],19),IF(Main[[#This Row],[Class]]="B", WORKDAY(Main[[#This Row],[Tech Start Date]],12),IF(Main[[#This Row],[Class]]="A",WORKDAY(Main[[#This Row],[Tech Start Date]],4),""))))</f>
        <v/>
      </c>
      <c r="O1133" s="77" t="str">
        <f>IF(Main[[#This Row],[Tech Start Date]]&lt;1/1/1990,"",IF(Main[[#This Row],[Class]]="C",WORKDAY(Main[[#This Row],[Tech Start Date]],23),IF(Main[[#This Row],[Class]]="B", WORKDAY(Main[[#This Row],[Tech Start Date]],15),IF(Main[[#This Row],[Class]]="A",WORKDAY(Main[[#This Row],[Tech Start Date]],5),""))))</f>
        <v/>
      </c>
      <c r="P1133" s="77" t="str">
        <f>IF(Main[[#This Row],[Tech Start Date]]&lt;1/1/1990,"",IF(Main[[#This Row],[Class]]="C",WORKDAY(Main[[#This Row],[Tech Start Date]],28),IF(Main[[#This Row],[Class]]="B", WORKDAY(Main[[#This Row],[Tech Start Date]],19),IF(Main[[#This Row],[Class]]="A",WORKDAY(Main[[#This Row],[Tech Start Date]],9),""))))</f>
        <v/>
      </c>
      <c r="Q1133" s="74">
        <v>40963</v>
      </c>
      <c r="R1133" s="74"/>
      <c r="S1133" s="72" t="s">
        <v>6</v>
      </c>
      <c r="T1133" s="80" t="s">
        <v>4</v>
      </c>
      <c r="U1133" s="72" t="s">
        <v>29</v>
      </c>
      <c r="V1133" s="72" t="s">
        <v>1940</v>
      </c>
      <c r="W1133" s="72" t="s">
        <v>1941</v>
      </c>
      <c r="X1133" s="72" t="s">
        <v>777</v>
      </c>
      <c r="Y1133" s="72" t="s">
        <v>3093</v>
      </c>
      <c r="Z1133" s="72" t="s">
        <v>30</v>
      </c>
    </row>
    <row r="1134" spans="1:26" ht="18.600000000000001" customHeight="1">
      <c r="A1134" s="142" t="str">
        <f>IF(priority(Main[[#This Row],[Comments]])&lt;&gt;0, priority(Main[[#This Row],[Comments]]),"")</f>
        <v/>
      </c>
      <c r="B1134" s="90" t="s">
        <v>2861</v>
      </c>
      <c r="C1134" s="72" t="s">
        <v>4</v>
      </c>
      <c r="D1134" s="73" t="s">
        <v>3527</v>
      </c>
      <c r="E1134" s="74">
        <v>40885.513043981482</v>
      </c>
      <c r="F1134" s="74"/>
      <c r="G1134" s="75" t="str">
        <f>IF(stdProdLT(Main[[#This Row],[Comments]])=0.1,"N/A",IF(stdProdLT(Main[[#This Row],[Comments]])=0,"",stdProdLT(Main[[#This Row],[Comments]])))</f>
        <v/>
      </c>
      <c r="H1134" s="76" t="str">
        <f>IF(AND(Main[[#This Row],[In Stock Date]]&lt;&gt;"",Main[[#This Row],[Revised Due Date]]&lt;&gt;""),Main[[#This Row],[In Stock Date]]-Main[[#This Row],[Revised Due Date]],"")</f>
        <v/>
      </c>
      <c r="I1134" s="72" t="s">
        <v>311</v>
      </c>
      <c r="J1134" s="72" t="s">
        <v>51</v>
      </c>
      <c r="K1134" s="72" t="s">
        <v>1946</v>
      </c>
      <c r="L1134" s="74"/>
      <c r="M1134" s="77" t="str">
        <f>IF(Main[[#This Row],[Tech Start Date]]&lt;1/1/1990,"",IF(Main[[#This Row],[Class]]="C",WORKDAY(Main[[#This Row],[Tech Start Date]],9),IF(Main[[#This Row],[Class]]="B", WORKDAY(Main[[#This Row],[Tech Start Date]],6),IF(Main[[#This Row],[Class]]="A",WORKDAY(Main[[#This Row],[Tech Start Date]],2),""))))</f>
        <v/>
      </c>
      <c r="N1134" s="77" t="str">
        <f>IF(Main[[#This Row],[Tech Start Date]]&lt;1/1/1990,"",IF(Main[[#This Row],[Class]]="C",WORKDAY(Main[[#This Row],[Tech Start Date]],19),IF(Main[[#This Row],[Class]]="B", WORKDAY(Main[[#This Row],[Tech Start Date]],12),IF(Main[[#This Row],[Class]]="A",WORKDAY(Main[[#This Row],[Tech Start Date]],4),""))))</f>
        <v/>
      </c>
      <c r="O1134" s="77" t="str">
        <f>IF(Main[[#This Row],[Tech Start Date]]&lt;1/1/1990,"",IF(Main[[#This Row],[Class]]="C",WORKDAY(Main[[#This Row],[Tech Start Date]],23),IF(Main[[#This Row],[Class]]="B", WORKDAY(Main[[#This Row],[Tech Start Date]],15),IF(Main[[#This Row],[Class]]="A",WORKDAY(Main[[#This Row],[Tech Start Date]],5),""))))</f>
        <v/>
      </c>
      <c r="P1134" s="77" t="str">
        <f>IF(Main[[#This Row],[Tech Start Date]]&lt;1/1/1990,"",IF(Main[[#This Row],[Class]]="C",WORKDAY(Main[[#This Row],[Tech Start Date]],28),IF(Main[[#This Row],[Class]]="B", WORKDAY(Main[[#This Row],[Tech Start Date]],19),IF(Main[[#This Row],[Class]]="A",WORKDAY(Main[[#This Row],[Tech Start Date]],9),""))))</f>
        <v/>
      </c>
      <c r="Q1134" s="74"/>
      <c r="R1134" s="74"/>
      <c r="S1134" s="72" t="s">
        <v>11</v>
      </c>
      <c r="T1134" s="80" t="s">
        <v>3423</v>
      </c>
      <c r="U1134" s="72" t="s">
        <v>29</v>
      </c>
      <c r="V1134" s="72" t="s">
        <v>1940</v>
      </c>
      <c r="W1134" s="72" t="s">
        <v>1943</v>
      </c>
      <c r="X1134" s="72" t="s">
        <v>311</v>
      </c>
      <c r="Y1134" s="72" t="s">
        <v>4</v>
      </c>
      <c r="Z1134" s="72" t="s">
        <v>311</v>
      </c>
    </row>
    <row r="1135" spans="1:26" ht="18.600000000000001" customHeight="1">
      <c r="A1135" s="142" t="str">
        <f>IF(priority(Main[[#This Row],[Comments]])&lt;&gt;0, priority(Main[[#This Row],[Comments]]),"")</f>
        <v/>
      </c>
      <c r="B1135" s="90" t="s">
        <v>2491</v>
      </c>
      <c r="C1135" s="72" t="s">
        <v>4</v>
      </c>
      <c r="D1135" s="73" t="s">
        <v>3437</v>
      </c>
      <c r="E1135" s="74">
        <v>40820.793587962966</v>
      </c>
      <c r="F1135" s="74"/>
      <c r="G1135" s="75" t="str">
        <f>IF(stdProdLT(Main[[#This Row],[Comments]])=0.1,"N/A",IF(stdProdLT(Main[[#This Row],[Comments]])=0,"",stdProdLT(Main[[#This Row],[Comments]])))</f>
        <v/>
      </c>
      <c r="H1135" s="76" t="str">
        <f>IF(AND(Main[[#This Row],[In Stock Date]]&lt;&gt;"",Main[[#This Row],[Revised Due Date]]&lt;&gt;""),Main[[#This Row],[In Stock Date]]-Main[[#This Row],[Revised Due Date]],"")</f>
        <v/>
      </c>
      <c r="I1135" s="72" t="s">
        <v>2078</v>
      </c>
      <c r="J1135" s="72" t="s">
        <v>28</v>
      </c>
      <c r="K1135" s="72" t="s">
        <v>1946</v>
      </c>
      <c r="L1135" s="74"/>
      <c r="M1135" s="77" t="str">
        <f>IF(Main[[#This Row],[Tech Start Date]]&lt;1/1/1990,"",IF(Main[[#This Row],[Class]]="C",WORKDAY(Main[[#This Row],[Tech Start Date]],9),IF(Main[[#This Row],[Class]]="B", WORKDAY(Main[[#This Row],[Tech Start Date]],6),IF(Main[[#This Row],[Class]]="A",WORKDAY(Main[[#This Row],[Tech Start Date]],2),""))))</f>
        <v/>
      </c>
      <c r="N1135" s="77" t="str">
        <f>IF(Main[[#This Row],[Tech Start Date]]&lt;1/1/1990,"",IF(Main[[#This Row],[Class]]="C",WORKDAY(Main[[#This Row],[Tech Start Date]],19),IF(Main[[#This Row],[Class]]="B", WORKDAY(Main[[#This Row],[Tech Start Date]],12),IF(Main[[#This Row],[Class]]="A",WORKDAY(Main[[#This Row],[Tech Start Date]],4),""))))</f>
        <v/>
      </c>
      <c r="O1135" s="77" t="str">
        <f>IF(Main[[#This Row],[Tech Start Date]]&lt;1/1/1990,"",IF(Main[[#This Row],[Class]]="C",WORKDAY(Main[[#This Row],[Tech Start Date]],23),IF(Main[[#This Row],[Class]]="B", WORKDAY(Main[[#This Row],[Tech Start Date]],15),IF(Main[[#This Row],[Class]]="A",WORKDAY(Main[[#This Row],[Tech Start Date]],5),""))))</f>
        <v/>
      </c>
      <c r="P1135" s="77" t="str">
        <f>IF(Main[[#This Row],[Tech Start Date]]&lt;1/1/1990,"",IF(Main[[#This Row],[Class]]="C",WORKDAY(Main[[#This Row],[Tech Start Date]],28),IF(Main[[#This Row],[Class]]="B", WORKDAY(Main[[#This Row],[Tech Start Date]],19),IF(Main[[#This Row],[Class]]="A",WORKDAY(Main[[#This Row],[Tech Start Date]],9),""))))</f>
        <v/>
      </c>
      <c r="Q1135" s="74">
        <v>40847</v>
      </c>
      <c r="R1135" s="74"/>
      <c r="S1135" s="72" t="s">
        <v>6</v>
      </c>
      <c r="T1135" s="80" t="s">
        <v>4</v>
      </c>
      <c r="U1135" s="72" t="s">
        <v>29</v>
      </c>
      <c r="V1135" s="72" t="s">
        <v>1940</v>
      </c>
      <c r="W1135" s="72" t="s">
        <v>1941</v>
      </c>
      <c r="X1135" s="72" t="s">
        <v>30</v>
      </c>
      <c r="Y1135" s="72" t="s">
        <v>3293</v>
      </c>
      <c r="Z1135" s="72" t="s">
        <v>30</v>
      </c>
    </row>
    <row r="1136" spans="1:26" ht="18.600000000000001" customHeight="1">
      <c r="A1136" s="142" t="str">
        <f>IF(priority(Main[[#This Row],[Comments]])&lt;&gt;0, priority(Main[[#This Row],[Comments]]),"")</f>
        <v/>
      </c>
      <c r="B1136" s="90" t="s">
        <v>2568</v>
      </c>
      <c r="C1136" s="72" t="s">
        <v>4</v>
      </c>
      <c r="D1136" s="73" t="s">
        <v>2569</v>
      </c>
      <c r="E1136" s="74">
        <v>40840.652592592596</v>
      </c>
      <c r="F1136" s="74"/>
      <c r="G1136" s="75" t="str">
        <f>IF(stdProdLT(Main[[#This Row],[Comments]])=0.1,"N/A",IF(stdProdLT(Main[[#This Row],[Comments]])=0,"",stdProdLT(Main[[#This Row],[Comments]])))</f>
        <v/>
      </c>
      <c r="H1136" s="76" t="str">
        <f>IF(AND(Main[[#This Row],[In Stock Date]]&lt;&gt;"",Main[[#This Row],[Revised Due Date]]&lt;&gt;""),Main[[#This Row],[In Stock Date]]-Main[[#This Row],[Revised Due Date]],"")</f>
        <v/>
      </c>
      <c r="I1136" s="72" t="s">
        <v>4</v>
      </c>
      <c r="J1136" s="72" t="s">
        <v>4</v>
      </c>
      <c r="K1136" s="72" t="s">
        <v>4</v>
      </c>
      <c r="L1136" s="74"/>
      <c r="M1136" s="77" t="str">
        <f>IF(Main[[#This Row],[Tech Start Date]]&lt;1/1/1990,"",IF(Main[[#This Row],[Class]]="C",WORKDAY(Main[[#This Row],[Tech Start Date]],9),IF(Main[[#This Row],[Class]]="B", WORKDAY(Main[[#This Row],[Tech Start Date]],6),IF(Main[[#This Row],[Class]]="A",WORKDAY(Main[[#This Row],[Tech Start Date]],2),""))))</f>
        <v/>
      </c>
      <c r="N1136" s="77" t="str">
        <f>IF(Main[[#This Row],[Tech Start Date]]&lt;1/1/1990,"",IF(Main[[#This Row],[Class]]="C",WORKDAY(Main[[#This Row],[Tech Start Date]],19),IF(Main[[#This Row],[Class]]="B", WORKDAY(Main[[#This Row],[Tech Start Date]],12),IF(Main[[#This Row],[Class]]="A",WORKDAY(Main[[#This Row],[Tech Start Date]],4),""))))</f>
        <v/>
      </c>
      <c r="O1136" s="77" t="str">
        <f>IF(Main[[#This Row],[Tech Start Date]]&lt;1/1/1990,"",IF(Main[[#This Row],[Class]]="C",WORKDAY(Main[[#This Row],[Tech Start Date]],23),IF(Main[[#This Row],[Class]]="B", WORKDAY(Main[[#This Row],[Tech Start Date]],15),IF(Main[[#This Row],[Class]]="A",WORKDAY(Main[[#This Row],[Tech Start Date]],5),""))))</f>
        <v/>
      </c>
      <c r="P1136" s="77" t="str">
        <f>IF(Main[[#This Row],[Tech Start Date]]&lt;1/1/1990,"",IF(Main[[#This Row],[Class]]="C",WORKDAY(Main[[#This Row],[Tech Start Date]],28),IF(Main[[#This Row],[Class]]="B", WORKDAY(Main[[#This Row],[Tech Start Date]],19),IF(Main[[#This Row],[Class]]="A",WORKDAY(Main[[#This Row],[Tech Start Date]],9),""))))</f>
        <v/>
      </c>
      <c r="Q1136" s="74"/>
      <c r="R1136" s="74"/>
      <c r="S1136" s="72" t="s">
        <v>6</v>
      </c>
      <c r="T1136" s="80" t="s">
        <v>4</v>
      </c>
      <c r="U1136" s="72" t="s">
        <v>29</v>
      </c>
      <c r="V1136" s="72" t="s">
        <v>1937</v>
      </c>
      <c r="W1136" s="72" t="s">
        <v>4</v>
      </c>
      <c r="X1136" s="72" t="s">
        <v>953</v>
      </c>
      <c r="Y1136" s="72" t="s">
        <v>3142</v>
      </c>
      <c r="Z1136" s="72" t="s">
        <v>4</v>
      </c>
    </row>
    <row r="1137" spans="1:26" ht="18.600000000000001" customHeight="1">
      <c r="A1137" s="142" t="str">
        <f>IF(priority(Main[[#This Row],[Comments]])&lt;&gt;0, priority(Main[[#This Row],[Comments]]),"")</f>
        <v/>
      </c>
      <c r="B1137" s="90" t="s">
        <v>1478</v>
      </c>
      <c r="C1137" s="72" t="s">
        <v>200</v>
      </c>
      <c r="D1137" s="73" t="s">
        <v>2570</v>
      </c>
      <c r="E1137" s="74">
        <v>40711.410266203704</v>
      </c>
      <c r="F1137" s="74"/>
      <c r="G1137" s="75" t="str">
        <f>IF(stdProdLT(Main[[#This Row],[Comments]])=0.1,"N/A",IF(stdProdLT(Main[[#This Row],[Comments]])=0,"",stdProdLT(Main[[#This Row],[Comments]])))</f>
        <v/>
      </c>
      <c r="H1137" s="76" t="str">
        <f>IF(AND(Main[[#This Row],[In Stock Date]]&lt;&gt;"",Main[[#This Row],[Revised Due Date]]&lt;&gt;""),Main[[#This Row],[In Stock Date]]-Main[[#This Row],[Revised Due Date]],"")</f>
        <v/>
      </c>
      <c r="I1137" s="72" t="s">
        <v>4</v>
      </c>
      <c r="J1137" s="72" t="s">
        <v>4</v>
      </c>
      <c r="K1137" s="81" t="s">
        <v>4</v>
      </c>
      <c r="L1137" s="74"/>
      <c r="M1137" s="77" t="str">
        <f>IF(Main[[#This Row],[Tech Start Date]]&lt;1/1/1990,"",IF(Main[[#This Row],[Class]]="C",WORKDAY(Main[[#This Row],[Tech Start Date]],9),IF(Main[[#This Row],[Class]]="B", WORKDAY(Main[[#This Row],[Tech Start Date]],6),IF(Main[[#This Row],[Class]]="A",WORKDAY(Main[[#This Row],[Tech Start Date]],2),""))))</f>
        <v/>
      </c>
      <c r="N1137" s="77" t="str">
        <f>IF(Main[[#This Row],[Tech Start Date]]&lt;1/1/1990,"",IF(Main[[#This Row],[Class]]="C",WORKDAY(Main[[#This Row],[Tech Start Date]],19),IF(Main[[#This Row],[Class]]="B", WORKDAY(Main[[#This Row],[Tech Start Date]],12),IF(Main[[#This Row],[Class]]="A",WORKDAY(Main[[#This Row],[Tech Start Date]],4),""))))</f>
        <v/>
      </c>
      <c r="O1137" s="77" t="str">
        <f>IF(Main[[#This Row],[Tech Start Date]]&lt;1/1/1990,"",IF(Main[[#This Row],[Class]]="C",WORKDAY(Main[[#This Row],[Tech Start Date]],23),IF(Main[[#This Row],[Class]]="B", WORKDAY(Main[[#This Row],[Tech Start Date]],15),IF(Main[[#This Row],[Class]]="A",WORKDAY(Main[[#This Row],[Tech Start Date]],5),""))))</f>
        <v/>
      </c>
      <c r="P1137" s="77" t="str">
        <f>IF(Main[[#This Row],[Tech Start Date]]&lt;1/1/1990,"",IF(Main[[#This Row],[Class]]="C",WORKDAY(Main[[#This Row],[Tech Start Date]],28),IF(Main[[#This Row],[Class]]="B", WORKDAY(Main[[#This Row],[Tech Start Date]],19),IF(Main[[#This Row],[Class]]="A",WORKDAY(Main[[#This Row],[Tech Start Date]],9),""))))</f>
        <v/>
      </c>
      <c r="Q1137" s="74">
        <v>40846</v>
      </c>
      <c r="R1137" s="74"/>
      <c r="S1137" s="72" t="s">
        <v>17</v>
      </c>
      <c r="T1137" s="80" t="s">
        <v>4</v>
      </c>
      <c r="U1137" s="72" t="s">
        <v>29</v>
      </c>
      <c r="V1137" s="72" t="s">
        <v>1940</v>
      </c>
      <c r="W1137" s="72" t="s">
        <v>1945</v>
      </c>
      <c r="X1137" s="72" t="s">
        <v>560</v>
      </c>
      <c r="Y1137" s="72" t="s">
        <v>3110</v>
      </c>
      <c r="Z1137" s="72" t="s">
        <v>4</v>
      </c>
    </row>
    <row r="1138" spans="1:26" ht="18.600000000000001" customHeight="1">
      <c r="A1138" s="142" t="str">
        <f>IF(priority(Main[[#This Row],[Comments]])&lt;&gt;0, priority(Main[[#This Row],[Comments]]),"")</f>
        <v/>
      </c>
      <c r="B1138" s="90" t="s">
        <v>2349</v>
      </c>
      <c r="C1138" s="72" t="s">
        <v>4</v>
      </c>
      <c r="D1138" s="73" t="s">
        <v>2350</v>
      </c>
      <c r="E1138" s="74">
        <v>40819.669872685183</v>
      </c>
      <c r="F1138" s="74"/>
      <c r="G1138" s="75" t="str">
        <f>IF(stdProdLT(Main[[#This Row],[Comments]])=0.1,"N/A",IF(stdProdLT(Main[[#This Row],[Comments]])=0,"",stdProdLT(Main[[#This Row],[Comments]])))</f>
        <v/>
      </c>
      <c r="H1138" s="76" t="str">
        <f>IF(AND(Main[[#This Row],[In Stock Date]]&lt;&gt;"",Main[[#This Row],[Revised Due Date]]&lt;&gt;""),Main[[#This Row],[In Stock Date]]-Main[[#This Row],[Revised Due Date]],"")</f>
        <v/>
      </c>
      <c r="I1138" s="72" t="s">
        <v>242</v>
      </c>
      <c r="J1138" s="72" t="s">
        <v>28</v>
      </c>
      <c r="K1138" s="72" t="s">
        <v>1946</v>
      </c>
      <c r="L1138" s="74"/>
      <c r="M1138" s="77" t="str">
        <f>IF(Main[[#This Row],[Tech Start Date]]&lt;1/1/1990,"",IF(Main[[#This Row],[Class]]="C",WORKDAY(Main[[#This Row],[Tech Start Date]],9),IF(Main[[#This Row],[Class]]="B", WORKDAY(Main[[#This Row],[Tech Start Date]],6),IF(Main[[#This Row],[Class]]="A",WORKDAY(Main[[#This Row],[Tech Start Date]],2),""))))</f>
        <v/>
      </c>
      <c r="N1138" s="77" t="str">
        <f>IF(Main[[#This Row],[Tech Start Date]]&lt;1/1/1990,"",IF(Main[[#This Row],[Class]]="C",WORKDAY(Main[[#This Row],[Tech Start Date]],19),IF(Main[[#This Row],[Class]]="B", WORKDAY(Main[[#This Row],[Tech Start Date]],12),IF(Main[[#This Row],[Class]]="A",WORKDAY(Main[[#This Row],[Tech Start Date]],4),""))))</f>
        <v/>
      </c>
      <c r="O1138" s="77" t="str">
        <f>IF(Main[[#This Row],[Tech Start Date]]&lt;1/1/1990,"",IF(Main[[#This Row],[Class]]="C",WORKDAY(Main[[#This Row],[Tech Start Date]],23),IF(Main[[#This Row],[Class]]="B", WORKDAY(Main[[#This Row],[Tech Start Date]],15),IF(Main[[#This Row],[Class]]="A",WORKDAY(Main[[#This Row],[Tech Start Date]],5),""))))</f>
        <v/>
      </c>
      <c r="P1138" s="77" t="str">
        <f>IF(Main[[#This Row],[Tech Start Date]]&lt;1/1/1990,"",IF(Main[[#This Row],[Class]]="C",WORKDAY(Main[[#This Row],[Tech Start Date]],28),IF(Main[[#This Row],[Class]]="B", WORKDAY(Main[[#This Row],[Tech Start Date]],19),IF(Main[[#This Row],[Class]]="A",WORKDAY(Main[[#This Row],[Tech Start Date]],9),""))))</f>
        <v/>
      </c>
      <c r="Q1138" s="74">
        <v>40847</v>
      </c>
      <c r="R1138" s="74"/>
      <c r="S1138" s="72" t="s">
        <v>6</v>
      </c>
      <c r="T1138" s="80" t="s">
        <v>4</v>
      </c>
      <c r="U1138" s="72" t="s">
        <v>29</v>
      </c>
      <c r="V1138" s="72" t="s">
        <v>1940</v>
      </c>
      <c r="W1138" s="72" t="s">
        <v>1941</v>
      </c>
      <c r="X1138" s="72" t="s">
        <v>30</v>
      </c>
      <c r="Y1138" s="72" t="s">
        <v>3098</v>
      </c>
      <c r="Z1138" s="72" t="s">
        <v>30</v>
      </c>
    </row>
    <row r="1139" spans="1:26" ht="18.600000000000001" customHeight="1">
      <c r="A1139" s="142" t="str">
        <f>IF(priority(Main[[#This Row],[Comments]])&lt;&gt;0, priority(Main[[#This Row],[Comments]]),"")</f>
        <v/>
      </c>
      <c r="B1139" s="90" t="s">
        <v>2571</v>
      </c>
      <c r="C1139" s="72" t="s">
        <v>2561</v>
      </c>
      <c r="D1139" s="73" t="s">
        <v>2572</v>
      </c>
      <c r="E1139" s="74"/>
      <c r="F1139" s="74"/>
      <c r="G1139" s="75" t="str">
        <f>IF(stdProdLT(Main[[#This Row],[Comments]])=0.1,"N/A",IF(stdProdLT(Main[[#This Row],[Comments]])=0,"",stdProdLT(Main[[#This Row],[Comments]])))</f>
        <v/>
      </c>
      <c r="H1139" s="76" t="str">
        <f>IF(AND(Main[[#This Row],[In Stock Date]]&lt;&gt;"",Main[[#This Row],[Revised Due Date]]&lt;&gt;""),Main[[#This Row],[In Stock Date]]-Main[[#This Row],[Revised Due Date]],"")</f>
        <v/>
      </c>
      <c r="I1139" s="72" t="s">
        <v>4</v>
      </c>
      <c r="J1139" s="72" t="s">
        <v>4</v>
      </c>
      <c r="K1139" s="72" t="s">
        <v>4</v>
      </c>
      <c r="L1139" s="74"/>
      <c r="M1139" s="77" t="str">
        <f>IF(Main[[#This Row],[Tech Start Date]]&lt;1/1/1990,"",IF(Main[[#This Row],[Class]]="C",WORKDAY(Main[[#This Row],[Tech Start Date]],9),IF(Main[[#This Row],[Class]]="B", WORKDAY(Main[[#This Row],[Tech Start Date]],6),IF(Main[[#This Row],[Class]]="A",WORKDAY(Main[[#This Row],[Tech Start Date]],2),""))))</f>
        <v/>
      </c>
      <c r="N1139" s="77" t="str">
        <f>IF(Main[[#This Row],[Tech Start Date]]&lt;1/1/1990,"",IF(Main[[#This Row],[Class]]="C",WORKDAY(Main[[#This Row],[Tech Start Date]],19),IF(Main[[#This Row],[Class]]="B", WORKDAY(Main[[#This Row],[Tech Start Date]],12),IF(Main[[#This Row],[Class]]="A",WORKDAY(Main[[#This Row],[Tech Start Date]],4),""))))</f>
        <v/>
      </c>
      <c r="O1139" s="77" t="str">
        <f>IF(Main[[#This Row],[Tech Start Date]]&lt;1/1/1990,"",IF(Main[[#This Row],[Class]]="C",WORKDAY(Main[[#This Row],[Tech Start Date]],23),IF(Main[[#This Row],[Class]]="B", WORKDAY(Main[[#This Row],[Tech Start Date]],15),IF(Main[[#This Row],[Class]]="A",WORKDAY(Main[[#This Row],[Tech Start Date]],5),""))))</f>
        <v/>
      </c>
      <c r="P1139" s="77" t="str">
        <f>IF(Main[[#This Row],[Tech Start Date]]&lt;1/1/1990,"",IF(Main[[#This Row],[Class]]="C",WORKDAY(Main[[#This Row],[Tech Start Date]],28),IF(Main[[#This Row],[Class]]="B", WORKDAY(Main[[#This Row],[Tech Start Date]],19),IF(Main[[#This Row],[Class]]="A",WORKDAY(Main[[#This Row],[Tech Start Date]],9),""))))</f>
        <v/>
      </c>
      <c r="Q1139" s="74"/>
      <c r="R1139" s="74"/>
      <c r="S1139" s="72" t="s">
        <v>11</v>
      </c>
      <c r="T1139" s="80" t="s">
        <v>4</v>
      </c>
      <c r="U1139" s="72" t="s">
        <v>14</v>
      </c>
      <c r="V1139" s="72" t="s">
        <v>1938</v>
      </c>
      <c r="W1139" s="72" t="s">
        <v>1945</v>
      </c>
      <c r="X1139" s="72" t="s">
        <v>311</v>
      </c>
      <c r="Y1139" s="72" t="s">
        <v>4</v>
      </c>
      <c r="Z1139" s="72" t="s">
        <v>4</v>
      </c>
    </row>
    <row r="1140" spans="1:26" ht="18.600000000000001" customHeight="1">
      <c r="A1140" s="142" t="str">
        <f>IF(priority(Main[[#This Row],[Comments]])&lt;&gt;0, priority(Main[[#This Row],[Comments]]),"")</f>
        <v/>
      </c>
      <c r="B1140" s="90" t="s">
        <v>2573</v>
      </c>
      <c r="C1140" s="72" t="s">
        <v>2361</v>
      </c>
      <c r="D1140" s="73" t="s">
        <v>2574</v>
      </c>
      <c r="E1140" s="74">
        <v>40843.623680555553</v>
      </c>
      <c r="F1140" s="74"/>
      <c r="G1140" s="75" t="str">
        <f>IF(stdProdLT(Main[[#This Row],[Comments]])=0.1,"N/A",IF(stdProdLT(Main[[#This Row],[Comments]])=0,"",stdProdLT(Main[[#This Row],[Comments]])))</f>
        <v/>
      </c>
      <c r="H1140" s="76" t="str">
        <f>IF(AND(Main[[#This Row],[In Stock Date]]&lt;&gt;"",Main[[#This Row],[Revised Due Date]]&lt;&gt;""),Main[[#This Row],[In Stock Date]]-Main[[#This Row],[Revised Due Date]],"")</f>
        <v/>
      </c>
      <c r="I1140" s="72" t="s">
        <v>4</v>
      </c>
      <c r="J1140" s="72" t="s">
        <v>4</v>
      </c>
      <c r="K1140" s="81" t="s">
        <v>4</v>
      </c>
      <c r="L1140" s="74"/>
      <c r="M1140" s="77" t="str">
        <f>IF(Main[[#This Row],[Tech Start Date]]&lt;1/1/1990,"",IF(Main[[#This Row],[Class]]="C",WORKDAY(Main[[#This Row],[Tech Start Date]],9),IF(Main[[#This Row],[Class]]="B", WORKDAY(Main[[#This Row],[Tech Start Date]],6),IF(Main[[#This Row],[Class]]="A",WORKDAY(Main[[#This Row],[Tech Start Date]],2),""))))</f>
        <v/>
      </c>
      <c r="N1140" s="77" t="str">
        <f>IF(Main[[#This Row],[Tech Start Date]]&lt;1/1/1990,"",IF(Main[[#This Row],[Class]]="C",WORKDAY(Main[[#This Row],[Tech Start Date]],19),IF(Main[[#This Row],[Class]]="B", WORKDAY(Main[[#This Row],[Tech Start Date]],12),IF(Main[[#This Row],[Class]]="A",WORKDAY(Main[[#This Row],[Tech Start Date]],4),""))))</f>
        <v/>
      </c>
      <c r="O1140" s="77" t="str">
        <f>IF(Main[[#This Row],[Tech Start Date]]&lt;1/1/1990,"",IF(Main[[#This Row],[Class]]="C",WORKDAY(Main[[#This Row],[Tech Start Date]],23),IF(Main[[#This Row],[Class]]="B", WORKDAY(Main[[#This Row],[Tech Start Date]],15),IF(Main[[#This Row],[Class]]="A",WORKDAY(Main[[#This Row],[Tech Start Date]],5),""))))</f>
        <v/>
      </c>
      <c r="P1140" s="77" t="str">
        <f>IF(Main[[#This Row],[Tech Start Date]]&lt;1/1/1990,"",IF(Main[[#This Row],[Class]]="C",WORKDAY(Main[[#This Row],[Tech Start Date]],28),IF(Main[[#This Row],[Class]]="B", WORKDAY(Main[[#This Row],[Tech Start Date]],19),IF(Main[[#This Row],[Class]]="A",WORKDAY(Main[[#This Row],[Tech Start Date]],9),""))))</f>
        <v/>
      </c>
      <c r="Q1140" s="74"/>
      <c r="R1140" s="74"/>
      <c r="S1140" s="72" t="s">
        <v>6</v>
      </c>
      <c r="T1140" s="80" t="s">
        <v>4</v>
      </c>
      <c r="U1140" s="72" t="s">
        <v>7</v>
      </c>
      <c r="V1140" s="72" t="s">
        <v>1937</v>
      </c>
      <c r="W1140" s="72" t="s">
        <v>1941</v>
      </c>
      <c r="X1140" s="72" t="s">
        <v>3031</v>
      </c>
      <c r="Y1140" s="72" t="s">
        <v>3185</v>
      </c>
      <c r="Z1140" s="72" t="s">
        <v>4</v>
      </c>
    </row>
    <row r="1141" spans="1:26" ht="18.600000000000001" customHeight="1">
      <c r="A1141" s="142" t="str">
        <f>IF(priority(Main[[#This Row],[Comments]])&lt;&gt;0, priority(Main[[#This Row],[Comments]]),"")</f>
        <v/>
      </c>
      <c r="B1141" s="90" t="s">
        <v>2751</v>
      </c>
      <c r="C1141" s="72" t="s">
        <v>4</v>
      </c>
      <c r="D1141" s="73" t="s">
        <v>2752</v>
      </c>
      <c r="E1141" s="74">
        <v>40882.367037037038</v>
      </c>
      <c r="F1141" s="74"/>
      <c r="G1141" s="75" t="str">
        <f>IF(stdProdLT(Main[[#This Row],[Comments]])=0.1,"N/A",IF(stdProdLT(Main[[#This Row],[Comments]])=0,"",stdProdLT(Main[[#This Row],[Comments]])))</f>
        <v/>
      </c>
      <c r="H1141" s="76" t="str">
        <f>IF(AND(Main[[#This Row],[In Stock Date]]&lt;&gt;"",Main[[#This Row],[Revised Due Date]]&lt;&gt;""),Main[[#This Row],[In Stock Date]]-Main[[#This Row],[Revised Due Date]],"")</f>
        <v/>
      </c>
      <c r="I1141" s="72" t="s">
        <v>69</v>
      </c>
      <c r="J1141" s="72" t="s">
        <v>70</v>
      </c>
      <c r="K1141" s="72" t="s">
        <v>1946</v>
      </c>
      <c r="L1141" s="74"/>
      <c r="M1141" s="77" t="str">
        <f>IF(Main[[#This Row],[Tech Start Date]]&lt;1/1/1990,"",IF(Main[[#This Row],[Class]]="C",WORKDAY(Main[[#This Row],[Tech Start Date]],9),IF(Main[[#This Row],[Class]]="B", WORKDAY(Main[[#This Row],[Tech Start Date]],6),IF(Main[[#This Row],[Class]]="A",WORKDAY(Main[[#This Row],[Tech Start Date]],2),""))))</f>
        <v/>
      </c>
      <c r="N1141" s="77" t="str">
        <f>IF(Main[[#This Row],[Tech Start Date]]&lt;1/1/1990,"",IF(Main[[#This Row],[Class]]="C",WORKDAY(Main[[#This Row],[Tech Start Date]],19),IF(Main[[#This Row],[Class]]="B", WORKDAY(Main[[#This Row],[Tech Start Date]],12),IF(Main[[#This Row],[Class]]="A",WORKDAY(Main[[#This Row],[Tech Start Date]],4),""))))</f>
        <v/>
      </c>
      <c r="O1141" s="77" t="str">
        <f>IF(Main[[#This Row],[Tech Start Date]]&lt;1/1/1990,"",IF(Main[[#This Row],[Class]]="C",WORKDAY(Main[[#This Row],[Tech Start Date]],23),IF(Main[[#This Row],[Class]]="B", WORKDAY(Main[[#This Row],[Tech Start Date]],15),IF(Main[[#This Row],[Class]]="A",WORKDAY(Main[[#This Row],[Tech Start Date]],5),""))))</f>
        <v/>
      </c>
      <c r="P1141" s="77" t="str">
        <f>IF(Main[[#This Row],[Tech Start Date]]&lt;1/1/1990,"",IF(Main[[#This Row],[Class]]="C",WORKDAY(Main[[#This Row],[Tech Start Date]],28),IF(Main[[#This Row],[Class]]="B", WORKDAY(Main[[#This Row],[Tech Start Date]],19),IF(Main[[#This Row],[Class]]="A",WORKDAY(Main[[#This Row],[Tech Start Date]],9),""))))</f>
        <v/>
      </c>
      <c r="Q1141" s="74">
        <v>40928</v>
      </c>
      <c r="R1141" s="74"/>
      <c r="S1141" s="72" t="s">
        <v>6</v>
      </c>
      <c r="T1141" s="80" t="s">
        <v>4</v>
      </c>
      <c r="U1141" s="72" t="s">
        <v>29</v>
      </c>
      <c r="V1141" s="72" t="s">
        <v>1940</v>
      </c>
      <c r="W1141" s="72" t="s">
        <v>1941</v>
      </c>
      <c r="X1141" s="72" t="s">
        <v>2970</v>
      </c>
      <c r="Y1141" s="72" t="s">
        <v>3087</v>
      </c>
      <c r="Z1141" s="72" t="s">
        <v>30</v>
      </c>
    </row>
    <row r="1142" spans="1:26" ht="18.600000000000001" customHeight="1">
      <c r="A1142" s="142" t="str">
        <f>IF(priority(Main[[#This Row],[Comments]])&lt;&gt;0, priority(Main[[#This Row],[Comments]]),"")</f>
        <v/>
      </c>
      <c r="B1142" s="90" t="s">
        <v>2517</v>
      </c>
      <c r="C1142" s="72" t="s">
        <v>4</v>
      </c>
      <c r="D1142" s="73" t="s">
        <v>2518</v>
      </c>
      <c r="E1142" s="74"/>
      <c r="F1142" s="74"/>
      <c r="G1142" s="75" t="str">
        <f>IF(stdProdLT(Main[[#This Row],[Comments]])=0.1,"N/A",IF(stdProdLT(Main[[#This Row],[Comments]])=0,"",stdProdLT(Main[[#This Row],[Comments]])))</f>
        <v/>
      </c>
      <c r="H1142" s="76" t="str">
        <f>IF(AND(Main[[#This Row],[In Stock Date]]&lt;&gt;"",Main[[#This Row],[Revised Due Date]]&lt;&gt;""),Main[[#This Row],[In Stock Date]]-Main[[#This Row],[Revised Due Date]],"")</f>
        <v/>
      </c>
      <c r="I1142" s="72" t="s">
        <v>4</v>
      </c>
      <c r="J1142" s="72" t="s">
        <v>4</v>
      </c>
      <c r="K1142" s="72" t="s">
        <v>4</v>
      </c>
      <c r="L1142" s="74"/>
      <c r="M1142" s="77" t="str">
        <f>IF(Main[[#This Row],[Tech Start Date]]&lt;1/1/1990,"",IF(Main[[#This Row],[Class]]="C",WORKDAY(Main[[#This Row],[Tech Start Date]],9),IF(Main[[#This Row],[Class]]="B", WORKDAY(Main[[#This Row],[Tech Start Date]],6),IF(Main[[#This Row],[Class]]="A",WORKDAY(Main[[#This Row],[Tech Start Date]],2),""))))</f>
        <v/>
      </c>
      <c r="N1142" s="77" t="str">
        <f>IF(Main[[#This Row],[Tech Start Date]]&lt;1/1/1990,"",IF(Main[[#This Row],[Class]]="C",WORKDAY(Main[[#This Row],[Tech Start Date]],19),IF(Main[[#This Row],[Class]]="B", WORKDAY(Main[[#This Row],[Tech Start Date]],12),IF(Main[[#This Row],[Class]]="A",WORKDAY(Main[[#This Row],[Tech Start Date]],4),""))))</f>
        <v/>
      </c>
      <c r="O1142" s="77" t="str">
        <f>IF(Main[[#This Row],[Tech Start Date]]&lt;1/1/1990,"",IF(Main[[#This Row],[Class]]="C",WORKDAY(Main[[#This Row],[Tech Start Date]],23),IF(Main[[#This Row],[Class]]="B", WORKDAY(Main[[#This Row],[Tech Start Date]],15),IF(Main[[#This Row],[Class]]="A",WORKDAY(Main[[#This Row],[Tech Start Date]],5),""))))</f>
        <v/>
      </c>
      <c r="P1142" s="77" t="str">
        <f>IF(Main[[#This Row],[Tech Start Date]]&lt;1/1/1990,"",IF(Main[[#This Row],[Class]]="C",WORKDAY(Main[[#This Row],[Tech Start Date]],28),IF(Main[[#This Row],[Class]]="B", WORKDAY(Main[[#This Row],[Tech Start Date]],19),IF(Main[[#This Row],[Class]]="A",WORKDAY(Main[[#This Row],[Tech Start Date]],9),""))))</f>
        <v/>
      </c>
      <c r="Q1142" s="74"/>
      <c r="R1142" s="74"/>
      <c r="S1142" s="72" t="s">
        <v>11</v>
      </c>
      <c r="T1142" s="80" t="s">
        <v>4</v>
      </c>
      <c r="U1142" s="72" t="s">
        <v>14</v>
      </c>
      <c r="V1142" s="72" t="s">
        <v>1938</v>
      </c>
      <c r="W1142" s="72" t="s">
        <v>4</v>
      </c>
      <c r="X1142" s="72" t="s">
        <v>2283</v>
      </c>
      <c r="Y1142" s="72" t="s">
        <v>4</v>
      </c>
      <c r="Z1142" s="72" t="s">
        <v>4</v>
      </c>
    </row>
    <row r="1143" spans="1:26" ht="18.600000000000001" customHeight="1">
      <c r="A1143" s="142" t="str">
        <f>IF(priority(Main[[#This Row],[Comments]])&lt;&gt;0, priority(Main[[#This Row],[Comments]]),"")</f>
        <v/>
      </c>
      <c r="B1143" s="90" t="s">
        <v>2519</v>
      </c>
      <c r="C1143" s="72" t="s">
        <v>2464</v>
      </c>
      <c r="D1143" s="73" t="s">
        <v>2520</v>
      </c>
      <c r="E1143" s="74"/>
      <c r="F1143" s="74">
        <v>40969</v>
      </c>
      <c r="G1143" s="75" t="str">
        <f>IF(stdProdLT(Main[[#This Row],[Comments]])=0.1,"N/A",IF(stdProdLT(Main[[#This Row],[Comments]])=0,"",stdProdLT(Main[[#This Row],[Comments]])))</f>
        <v/>
      </c>
      <c r="H1143" s="76" t="str">
        <f>IF(AND(Main[[#This Row],[In Stock Date]]&lt;&gt;"",Main[[#This Row],[Revised Due Date]]&lt;&gt;""),Main[[#This Row],[In Stock Date]]-Main[[#This Row],[Revised Due Date]],"")</f>
        <v/>
      </c>
      <c r="I1143" s="72" t="s">
        <v>4</v>
      </c>
      <c r="J1143" s="72" t="s">
        <v>4</v>
      </c>
      <c r="K1143" s="72" t="s">
        <v>4</v>
      </c>
      <c r="L1143" s="74"/>
      <c r="M1143" s="77" t="str">
        <f>IF(Main[[#This Row],[Tech Start Date]]&lt;1/1/1990,"",IF(Main[[#This Row],[Class]]="C",WORKDAY(Main[[#This Row],[Tech Start Date]],9),IF(Main[[#This Row],[Class]]="B", WORKDAY(Main[[#This Row],[Tech Start Date]],6),IF(Main[[#This Row],[Class]]="A",WORKDAY(Main[[#This Row],[Tech Start Date]],2),""))))</f>
        <v/>
      </c>
      <c r="N1143" s="77" t="str">
        <f>IF(Main[[#This Row],[Tech Start Date]]&lt;1/1/1990,"",IF(Main[[#This Row],[Class]]="C",WORKDAY(Main[[#This Row],[Tech Start Date]],19),IF(Main[[#This Row],[Class]]="B", WORKDAY(Main[[#This Row],[Tech Start Date]],12),IF(Main[[#This Row],[Class]]="A",WORKDAY(Main[[#This Row],[Tech Start Date]],4),""))))</f>
        <v/>
      </c>
      <c r="O1143" s="77" t="str">
        <f>IF(Main[[#This Row],[Tech Start Date]]&lt;1/1/1990,"",IF(Main[[#This Row],[Class]]="C",WORKDAY(Main[[#This Row],[Tech Start Date]],23),IF(Main[[#This Row],[Class]]="B", WORKDAY(Main[[#This Row],[Tech Start Date]],15),IF(Main[[#This Row],[Class]]="A",WORKDAY(Main[[#This Row],[Tech Start Date]],5),""))))</f>
        <v/>
      </c>
      <c r="P1143" s="77" t="str">
        <f>IF(Main[[#This Row],[Tech Start Date]]&lt;1/1/1990,"",IF(Main[[#This Row],[Class]]="C",WORKDAY(Main[[#This Row],[Tech Start Date]],28),IF(Main[[#This Row],[Class]]="B", WORKDAY(Main[[#This Row],[Tech Start Date]],19),IF(Main[[#This Row],[Class]]="A",WORKDAY(Main[[#This Row],[Tech Start Date]],9),""))))</f>
        <v/>
      </c>
      <c r="Q1143" s="74"/>
      <c r="R1143" s="74"/>
      <c r="S1143" s="72" t="s">
        <v>4</v>
      </c>
      <c r="T1143" s="80" t="s">
        <v>2521</v>
      </c>
      <c r="U1143" s="72" t="s">
        <v>14</v>
      </c>
      <c r="V1143" s="72" t="s">
        <v>1940</v>
      </c>
      <c r="W1143" s="72" t="s">
        <v>4</v>
      </c>
      <c r="X1143" s="72" t="s">
        <v>3008</v>
      </c>
      <c r="Y1143" s="72" t="s">
        <v>4</v>
      </c>
      <c r="Z1143" s="72" t="s">
        <v>4</v>
      </c>
    </row>
    <row r="1144" spans="1:26" ht="18.600000000000001" customHeight="1">
      <c r="A1144" s="142" t="str">
        <f>IF(priority(Main[[#This Row],[Comments]])&lt;&gt;0, priority(Main[[#This Row],[Comments]]),"")</f>
        <v/>
      </c>
      <c r="B1144" s="126" t="s">
        <v>2522</v>
      </c>
      <c r="C1144" s="118" t="s">
        <v>4</v>
      </c>
      <c r="D1144" s="119" t="s">
        <v>2523</v>
      </c>
      <c r="E1144" s="120">
        <v>40849.40829861111</v>
      </c>
      <c r="F1144" s="120"/>
      <c r="G1144" s="121" t="str">
        <f>IF(stdProdLT(Main[[#This Row],[Comments]])=0.1,"N/A",IF(stdProdLT(Main[[#This Row],[Comments]])=0,"",stdProdLT(Main[[#This Row],[Comments]])))</f>
        <v/>
      </c>
      <c r="H1144" s="122" t="str">
        <f>IF(AND(Main[[#This Row],[In Stock Date]]&lt;&gt;"",Main[[#This Row],[Revised Due Date]]&lt;&gt;""),Main[[#This Row],[In Stock Date]]-Main[[#This Row],[Revised Due Date]],"")</f>
        <v/>
      </c>
      <c r="I1144" s="118" t="s">
        <v>69</v>
      </c>
      <c r="J1144" s="118" t="s">
        <v>70</v>
      </c>
      <c r="K1144" s="118" t="s">
        <v>1946</v>
      </c>
      <c r="L1144" s="120"/>
      <c r="M1144" s="123" t="str">
        <f>IF(Main[[#This Row],[Tech Start Date]]&lt;1/1/1990,"",IF(Main[[#This Row],[Class]]="C",WORKDAY(Main[[#This Row],[Tech Start Date]],9),IF(Main[[#This Row],[Class]]="B", WORKDAY(Main[[#This Row],[Tech Start Date]],6),IF(Main[[#This Row],[Class]]="A",WORKDAY(Main[[#This Row],[Tech Start Date]],2),""))))</f>
        <v/>
      </c>
      <c r="N1144" s="123" t="str">
        <f>IF(Main[[#This Row],[Tech Start Date]]&lt;1/1/1990,"",IF(Main[[#This Row],[Class]]="C",WORKDAY(Main[[#This Row],[Tech Start Date]],19),IF(Main[[#This Row],[Class]]="B", WORKDAY(Main[[#This Row],[Tech Start Date]],12),IF(Main[[#This Row],[Class]]="A",WORKDAY(Main[[#This Row],[Tech Start Date]],4),""))))</f>
        <v/>
      </c>
      <c r="O1144" s="123" t="str">
        <f>IF(Main[[#This Row],[Tech Start Date]]&lt;1/1/1990,"",IF(Main[[#This Row],[Class]]="C",WORKDAY(Main[[#This Row],[Tech Start Date]],23),IF(Main[[#This Row],[Class]]="B", WORKDAY(Main[[#This Row],[Tech Start Date]],15),IF(Main[[#This Row],[Class]]="A",WORKDAY(Main[[#This Row],[Tech Start Date]],5),""))))</f>
        <v/>
      </c>
      <c r="P1144" s="123" t="str">
        <f>IF(Main[[#This Row],[Tech Start Date]]&lt;1/1/1990,"",IF(Main[[#This Row],[Class]]="C",WORKDAY(Main[[#This Row],[Tech Start Date]],28),IF(Main[[#This Row],[Class]]="B", WORKDAY(Main[[#This Row],[Tech Start Date]],19),IF(Main[[#This Row],[Class]]="A",WORKDAY(Main[[#This Row],[Tech Start Date]],9),""))))</f>
        <v/>
      </c>
      <c r="Q1144" s="120">
        <v>40856</v>
      </c>
      <c r="R1144" s="120"/>
      <c r="S1144" s="118" t="s">
        <v>6</v>
      </c>
      <c r="T1144" s="124" t="s">
        <v>4</v>
      </c>
      <c r="U1144" s="118" t="s">
        <v>29</v>
      </c>
      <c r="V1144" s="118" t="s">
        <v>1940</v>
      </c>
      <c r="W1144" s="118" t="s">
        <v>1941</v>
      </c>
      <c r="X1144" s="118" t="s">
        <v>3055</v>
      </c>
      <c r="Y1144" s="118" t="s">
        <v>3241</v>
      </c>
      <c r="Z1144" s="118" t="s">
        <v>4</v>
      </c>
    </row>
    <row r="1145" spans="1:26" ht="18.600000000000001" customHeight="1">
      <c r="A1145" s="142" t="str">
        <f>IF(priority(Main[[#This Row],[Comments]])&lt;&gt;0, priority(Main[[#This Row],[Comments]]),"")</f>
        <v/>
      </c>
      <c r="B1145" s="90" t="s">
        <v>2524</v>
      </c>
      <c r="C1145" s="72" t="s">
        <v>4</v>
      </c>
      <c r="D1145" s="73" t="s">
        <v>2525</v>
      </c>
      <c r="E1145" s="74">
        <v>40834.323900462965</v>
      </c>
      <c r="F1145" s="74"/>
      <c r="G1145" s="75" t="str">
        <f>IF(stdProdLT(Main[[#This Row],[Comments]])=0.1,"N/A",IF(stdProdLT(Main[[#This Row],[Comments]])=0,"",stdProdLT(Main[[#This Row],[Comments]])))</f>
        <v/>
      </c>
      <c r="H1145" s="76" t="str">
        <f>IF(AND(Main[[#This Row],[In Stock Date]]&lt;&gt;"",Main[[#This Row],[Revised Due Date]]&lt;&gt;""),Main[[#This Row],[In Stock Date]]-Main[[#This Row],[Revised Due Date]],"")</f>
        <v/>
      </c>
      <c r="I1145" s="72" t="s">
        <v>4</v>
      </c>
      <c r="J1145" s="72" t="s">
        <v>4</v>
      </c>
      <c r="K1145" s="72" t="s">
        <v>4</v>
      </c>
      <c r="L1145" s="74"/>
      <c r="M1145" s="77" t="str">
        <f>IF(Main[[#This Row],[Tech Start Date]]&lt;1/1/1990,"",IF(Main[[#This Row],[Class]]="C",WORKDAY(Main[[#This Row],[Tech Start Date]],9),IF(Main[[#This Row],[Class]]="B", WORKDAY(Main[[#This Row],[Tech Start Date]],6),IF(Main[[#This Row],[Class]]="A",WORKDAY(Main[[#This Row],[Tech Start Date]],2),""))))</f>
        <v/>
      </c>
      <c r="N1145" s="77" t="str">
        <f>IF(Main[[#This Row],[Tech Start Date]]&lt;1/1/1990,"",IF(Main[[#This Row],[Class]]="C",WORKDAY(Main[[#This Row],[Tech Start Date]],19),IF(Main[[#This Row],[Class]]="B", WORKDAY(Main[[#This Row],[Tech Start Date]],12),IF(Main[[#This Row],[Class]]="A",WORKDAY(Main[[#This Row],[Tech Start Date]],4),""))))</f>
        <v/>
      </c>
      <c r="O1145" s="77" t="str">
        <f>IF(Main[[#This Row],[Tech Start Date]]&lt;1/1/1990,"",IF(Main[[#This Row],[Class]]="C",WORKDAY(Main[[#This Row],[Tech Start Date]],23),IF(Main[[#This Row],[Class]]="B", WORKDAY(Main[[#This Row],[Tech Start Date]],15),IF(Main[[#This Row],[Class]]="A",WORKDAY(Main[[#This Row],[Tech Start Date]],5),""))))</f>
        <v/>
      </c>
      <c r="P1145" s="77" t="str">
        <f>IF(Main[[#This Row],[Tech Start Date]]&lt;1/1/1990,"",IF(Main[[#This Row],[Class]]="C",WORKDAY(Main[[#This Row],[Tech Start Date]],28),IF(Main[[#This Row],[Class]]="B", WORKDAY(Main[[#This Row],[Tech Start Date]],19),IF(Main[[#This Row],[Class]]="A",WORKDAY(Main[[#This Row],[Tech Start Date]],9),""))))</f>
        <v/>
      </c>
      <c r="Q1145" s="74"/>
      <c r="R1145" s="74"/>
      <c r="S1145" s="72" t="s">
        <v>6</v>
      </c>
      <c r="T1145" s="80" t="s">
        <v>4</v>
      </c>
      <c r="U1145" s="72" t="s">
        <v>7</v>
      </c>
      <c r="V1145" s="72" t="s">
        <v>1937</v>
      </c>
      <c r="W1145" s="72" t="s">
        <v>1941</v>
      </c>
      <c r="X1145" s="72" t="s">
        <v>404</v>
      </c>
      <c r="Y1145" s="72" t="s">
        <v>4</v>
      </c>
      <c r="Z1145" s="72" t="s">
        <v>4</v>
      </c>
    </row>
    <row r="1146" spans="1:26" ht="18.600000000000001" customHeight="1">
      <c r="A1146" s="142" t="str">
        <f>IF(priority(Main[[#This Row],[Comments]])&lt;&gt;0, priority(Main[[#This Row],[Comments]]),"")</f>
        <v/>
      </c>
      <c r="B1146" s="90" t="s">
        <v>2526</v>
      </c>
      <c r="C1146" s="72" t="s">
        <v>352</v>
      </c>
      <c r="D1146" s="73" t="s">
        <v>2371</v>
      </c>
      <c r="E1146" s="74">
        <v>40827.600601851853</v>
      </c>
      <c r="F1146" s="74"/>
      <c r="G1146" s="75" t="str">
        <f>IF(stdProdLT(Main[[#This Row],[Comments]])=0.1,"N/A",IF(stdProdLT(Main[[#This Row],[Comments]])=0,"",stdProdLT(Main[[#This Row],[Comments]])))</f>
        <v/>
      </c>
      <c r="H1146" s="76" t="str">
        <f>IF(AND(Main[[#This Row],[In Stock Date]]&lt;&gt;"",Main[[#This Row],[Revised Due Date]]&lt;&gt;""),Main[[#This Row],[In Stock Date]]-Main[[#This Row],[Revised Due Date]],"")</f>
        <v/>
      </c>
      <c r="I1146" s="72" t="s">
        <v>4</v>
      </c>
      <c r="J1146" s="72" t="s">
        <v>4</v>
      </c>
      <c r="K1146" s="72" t="s">
        <v>4</v>
      </c>
      <c r="L1146" s="74"/>
      <c r="M1146" s="77" t="str">
        <f>IF(Main[[#This Row],[Tech Start Date]]&lt;1/1/1990,"",IF(Main[[#This Row],[Class]]="C",WORKDAY(Main[[#This Row],[Tech Start Date]],9),IF(Main[[#This Row],[Class]]="B", WORKDAY(Main[[#This Row],[Tech Start Date]],6),IF(Main[[#This Row],[Class]]="A",WORKDAY(Main[[#This Row],[Tech Start Date]],2),""))))</f>
        <v/>
      </c>
      <c r="N1146" s="77" t="str">
        <f>IF(Main[[#This Row],[Tech Start Date]]&lt;1/1/1990,"",IF(Main[[#This Row],[Class]]="C",WORKDAY(Main[[#This Row],[Tech Start Date]],19),IF(Main[[#This Row],[Class]]="B", WORKDAY(Main[[#This Row],[Tech Start Date]],12),IF(Main[[#This Row],[Class]]="A",WORKDAY(Main[[#This Row],[Tech Start Date]],4),""))))</f>
        <v/>
      </c>
      <c r="O1146" s="77" t="str">
        <f>IF(Main[[#This Row],[Tech Start Date]]&lt;1/1/1990,"",IF(Main[[#This Row],[Class]]="C",WORKDAY(Main[[#This Row],[Tech Start Date]],23),IF(Main[[#This Row],[Class]]="B", WORKDAY(Main[[#This Row],[Tech Start Date]],15),IF(Main[[#This Row],[Class]]="A",WORKDAY(Main[[#This Row],[Tech Start Date]],5),""))))</f>
        <v/>
      </c>
      <c r="P1146" s="77" t="str">
        <f>IF(Main[[#This Row],[Tech Start Date]]&lt;1/1/1990,"",IF(Main[[#This Row],[Class]]="C",WORKDAY(Main[[#This Row],[Tech Start Date]],28),IF(Main[[#This Row],[Class]]="B", WORKDAY(Main[[#This Row],[Tech Start Date]],19),IF(Main[[#This Row],[Class]]="A",WORKDAY(Main[[#This Row],[Tech Start Date]],9),""))))</f>
        <v/>
      </c>
      <c r="Q1146" s="74">
        <v>40847</v>
      </c>
      <c r="R1146" s="74"/>
      <c r="S1146" s="72" t="s">
        <v>4</v>
      </c>
      <c r="T1146" s="80" t="s">
        <v>4</v>
      </c>
      <c r="U1146" s="72" t="s">
        <v>7</v>
      </c>
      <c r="V1146" s="72" t="s">
        <v>1937</v>
      </c>
      <c r="W1146" s="72" t="s">
        <v>4</v>
      </c>
      <c r="X1146" s="72" t="s">
        <v>3001</v>
      </c>
      <c r="Y1146" s="72" t="s">
        <v>3141</v>
      </c>
      <c r="Z1146" s="72" t="s">
        <v>4</v>
      </c>
    </row>
    <row r="1147" spans="1:26" ht="18.600000000000001" customHeight="1">
      <c r="A1147" s="142" t="str">
        <f>IF(priority(Main[[#This Row],[Comments]])&lt;&gt;0, priority(Main[[#This Row],[Comments]]),"")</f>
        <v/>
      </c>
      <c r="B1147" s="90" t="s">
        <v>2527</v>
      </c>
      <c r="C1147" s="72" t="s">
        <v>352</v>
      </c>
      <c r="D1147" s="73" t="s">
        <v>2528</v>
      </c>
      <c r="E1147" s="74">
        <v>40827.603530092594</v>
      </c>
      <c r="F1147" s="74"/>
      <c r="G1147" s="75" t="str">
        <f>IF(stdProdLT(Main[[#This Row],[Comments]])=0.1,"N/A",IF(stdProdLT(Main[[#This Row],[Comments]])=0,"",stdProdLT(Main[[#This Row],[Comments]])))</f>
        <v/>
      </c>
      <c r="H1147" s="76" t="str">
        <f>IF(AND(Main[[#This Row],[In Stock Date]]&lt;&gt;"",Main[[#This Row],[Revised Due Date]]&lt;&gt;""),Main[[#This Row],[In Stock Date]]-Main[[#This Row],[Revised Due Date]],"")</f>
        <v/>
      </c>
      <c r="I1147" s="72" t="s">
        <v>4</v>
      </c>
      <c r="J1147" s="72" t="s">
        <v>4</v>
      </c>
      <c r="K1147" s="72" t="s">
        <v>4</v>
      </c>
      <c r="L1147" s="74"/>
      <c r="M1147" s="77" t="str">
        <f>IF(Main[[#This Row],[Tech Start Date]]&lt;1/1/1990,"",IF(Main[[#This Row],[Class]]="C",WORKDAY(Main[[#This Row],[Tech Start Date]],9),IF(Main[[#This Row],[Class]]="B", WORKDAY(Main[[#This Row],[Tech Start Date]],6),IF(Main[[#This Row],[Class]]="A",WORKDAY(Main[[#This Row],[Tech Start Date]],2),""))))</f>
        <v/>
      </c>
      <c r="N1147" s="77" t="str">
        <f>IF(Main[[#This Row],[Tech Start Date]]&lt;1/1/1990,"",IF(Main[[#This Row],[Class]]="C",WORKDAY(Main[[#This Row],[Tech Start Date]],19),IF(Main[[#This Row],[Class]]="B", WORKDAY(Main[[#This Row],[Tech Start Date]],12),IF(Main[[#This Row],[Class]]="A",WORKDAY(Main[[#This Row],[Tech Start Date]],4),""))))</f>
        <v/>
      </c>
      <c r="O1147" s="77" t="str">
        <f>IF(Main[[#This Row],[Tech Start Date]]&lt;1/1/1990,"",IF(Main[[#This Row],[Class]]="C",WORKDAY(Main[[#This Row],[Tech Start Date]],23),IF(Main[[#This Row],[Class]]="B", WORKDAY(Main[[#This Row],[Tech Start Date]],15),IF(Main[[#This Row],[Class]]="A",WORKDAY(Main[[#This Row],[Tech Start Date]],5),""))))</f>
        <v/>
      </c>
      <c r="P1147" s="77" t="str">
        <f>IF(Main[[#This Row],[Tech Start Date]]&lt;1/1/1990,"",IF(Main[[#This Row],[Class]]="C",WORKDAY(Main[[#This Row],[Tech Start Date]],28),IF(Main[[#This Row],[Class]]="B", WORKDAY(Main[[#This Row],[Tech Start Date]],19),IF(Main[[#This Row],[Class]]="A",WORKDAY(Main[[#This Row],[Tech Start Date]],9),""))))</f>
        <v/>
      </c>
      <c r="Q1147" s="74">
        <v>40847</v>
      </c>
      <c r="R1147" s="74"/>
      <c r="S1147" s="72" t="s">
        <v>11</v>
      </c>
      <c r="T1147" s="80" t="s">
        <v>4</v>
      </c>
      <c r="U1147" s="72" t="s">
        <v>7</v>
      </c>
      <c r="V1147" s="72" t="s">
        <v>1937</v>
      </c>
      <c r="W1147" s="72" t="s">
        <v>4</v>
      </c>
      <c r="X1147" s="72" t="s">
        <v>3001</v>
      </c>
      <c r="Y1147" s="72" t="s">
        <v>3141</v>
      </c>
      <c r="Z1147" s="72" t="s">
        <v>4</v>
      </c>
    </row>
    <row r="1148" spans="1:26" ht="18.600000000000001" customHeight="1">
      <c r="A1148" s="142" t="str">
        <f>IF(priority(Main[[#This Row],[Comments]])&lt;&gt;0, priority(Main[[#This Row],[Comments]]),"")</f>
        <v/>
      </c>
      <c r="B1148" s="90" t="s">
        <v>2529</v>
      </c>
      <c r="C1148" s="72" t="s">
        <v>4</v>
      </c>
      <c r="D1148" s="73" t="s">
        <v>2530</v>
      </c>
      <c r="E1148" s="74"/>
      <c r="F1148" s="74"/>
      <c r="G1148" s="75" t="str">
        <f>IF(stdProdLT(Main[[#This Row],[Comments]])=0.1,"N/A",IF(stdProdLT(Main[[#This Row],[Comments]])=0,"",stdProdLT(Main[[#This Row],[Comments]])))</f>
        <v/>
      </c>
      <c r="H1148" s="76" t="str">
        <f>IF(AND(Main[[#This Row],[In Stock Date]]&lt;&gt;"",Main[[#This Row],[Revised Due Date]]&lt;&gt;""),Main[[#This Row],[In Stock Date]]-Main[[#This Row],[Revised Due Date]],"")</f>
        <v/>
      </c>
      <c r="I1148" s="72" t="s">
        <v>4</v>
      </c>
      <c r="J1148" s="72" t="s">
        <v>4</v>
      </c>
      <c r="K1148" s="72" t="s">
        <v>4</v>
      </c>
      <c r="L1148" s="74"/>
      <c r="M1148" s="77" t="str">
        <f>IF(Main[[#This Row],[Tech Start Date]]&lt;1/1/1990,"",IF(Main[[#This Row],[Class]]="C",WORKDAY(Main[[#This Row],[Tech Start Date]],9),IF(Main[[#This Row],[Class]]="B", WORKDAY(Main[[#This Row],[Tech Start Date]],6),IF(Main[[#This Row],[Class]]="A",WORKDAY(Main[[#This Row],[Tech Start Date]],2),""))))</f>
        <v/>
      </c>
      <c r="N1148" s="77" t="str">
        <f>IF(Main[[#This Row],[Tech Start Date]]&lt;1/1/1990,"",IF(Main[[#This Row],[Class]]="C",WORKDAY(Main[[#This Row],[Tech Start Date]],19),IF(Main[[#This Row],[Class]]="B", WORKDAY(Main[[#This Row],[Tech Start Date]],12),IF(Main[[#This Row],[Class]]="A",WORKDAY(Main[[#This Row],[Tech Start Date]],4),""))))</f>
        <v/>
      </c>
      <c r="O1148" s="77" t="str">
        <f>IF(Main[[#This Row],[Tech Start Date]]&lt;1/1/1990,"",IF(Main[[#This Row],[Class]]="C",WORKDAY(Main[[#This Row],[Tech Start Date]],23),IF(Main[[#This Row],[Class]]="B", WORKDAY(Main[[#This Row],[Tech Start Date]],15),IF(Main[[#This Row],[Class]]="A",WORKDAY(Main[[#This Row],[Tech Start Date]],5),""))))</f>
        <v/>
      </c>
      <c r="P1148" s="77" t="str">
        <f>IF(Main[[#This Row],[Tech Start Date]]&lt;1/1/1990,"",IF(Main[[#This Row],[Class]]="C",WORKDAY(Main[[#This Row],[Tech Start Date]],28),IF(Main[[#This Row],[Class]]="B", WORKDAY(Main[[#This Row],[Tech Start Date]],19),IF(Main[[#This Row],[Class]]="A",WORKDAY(Main[[#This Row],[Tech Start Date]],9),""))))</f>
        <v/>
      </c>
      <c r="Q1148" s="74"/>
      <c r="R1148" s="74"/>
      <c r="S1148" s="72" t="s">
        <v>11</v>
      </c>
      <c r="T1148" s="80" t="s">
        <v>4</v>
      </c>
      <c r="U1148" s="72" t="s">
        <v>14</v>
      </c>
      <c r="V1148" s="72" t="s">
        <v>1938</v>
      </c>
      <c r="W1148" s="72" t="s">
        <v>4</v>
      </c>
      <c r="X1148" s="72" t="s">
        <v>2283</v>
      </c>
      <c r="Y1148" s="72" t="s">
        <v>4</v>
      </c>
      <c r="Z1148" s="72" t="s">
        <v>4</v>
      </c>
    </row>
    <row r="1149" spans="1:26" ht="18.600000000000001" customHeight="1">
      <c r="A1149" s="142" t="str">
        <f>IF(priority(Main[[#This Row],[Comments]])&lt;&gt;0, priority(Main[[#This Row],[Comments]]),"")</f>
        <v/>
      </c>
      <c r="B1149" s="90" t="s">
        <v>1301</v>
      </c>
      <c r="C1149" s="72" t="s">
        <v>37</v>
      </c>
      <c r="D1149" s="73" t="s">
        <v>2531</v>
      </c>
      <c r="E1149" s="74">
        <v>40767.457106481481</v>
      </c>
      <c r="F1149" s="74"/>
      <c r="G1149" s="75" t="str">
        <f>IF(stdProdLT(Main[[#This Row],[Comments]])=0.1,"N/A",IF(stdProdLT(Main[[#This Row],[Comments]])=0,"",stdProdLT(Main[[#This Row],[Comments]])))</f>
        <v/>
      </c>
      <c r="H1149" s="76" t="str">
        <f>IF(AND(Main[[#This Row],[In Stock Date]]&lt;&gt;"",Main[[#This Row],[Revised Due Date]]&lt;&gt;""),Main[[#This Row],[In Stock Date]]-Main[[#This Row],[Revised Due Date]],"")</f>
        <v/>
      </c>
      <c r="I1149" s="72" t="s">
        <v>4</v>
      </c>
      <c r="J1149" s="72" t="s">
        <v>4</v>
      </c>
      <c r="K1149" s="72" t="s">
        <v>4</v>
      </c>
      <c r="L1149" s="74"/>
      <c r="M1149" s="77" t="str">
        <f>IF(Main[[#This Row],[Tech Start Date]]&lt;1/1/1990,"",IF(Main[[#This Row],[Class]]="C",WORKDAY(Main[[#This Row],[Tech Start Date]],9),IF(Main[[#This Row],[Class]]="B", WORKDAY(Main[[#This Row],[Tech Start Date]],6),IF(Main[[#This Row],[Class]]="A",WORKDAY(Main[[#This Row],[Tech Start Date]],2),""))))</f>
        <v/>
      </c>
      <c r="N1149" s="77" t="str">
        <f>IF(Main[[#This Row],[Tech Start Date]]&lt;1/1/1990,"",IF(Main[[#This Row],[Class]]="C",WORKDAY(Main[[#This Row],[Tech Start Date]],19),IF(Main[[#This Row],[Class]]="B", WORKDAY(Main[[#This Row],[Tech Start Date]],12),IF(Main[[#This Row],[Class]]="A",WORKDAY(Main[[#This Row],[Tech Start Date]],4),""))))</f>
        <v/>
      </c>
      <c r="O1149" s="77" t="str">
        <f>IF(Main[[#This Row],[Tech Start Date]]&lt;1/1/1990,"",IF(Main[[#This Row],[Class]]="C",WORKDAY(Main[[#This Row],[Tech Start Date]],23),IF(Main[[#This Row],[Class]]="B", WORKDAY(Main[[#This Row],[Tech Start Date]],15),IF(Main[[#This Row],[Class]]="A",WORKDAY(Main[[#This Row],[Tech Start Date]],5),""))))</f>
        <v/>
      </c>
      <c r="P1149" s="77" t="str">
        <f>IF(Main[[#This Row],[Tech Start Date]]&lt;1/1/1990,"",IF(Main[[#This Row],[Class]]="C",WORKDAY(Main[[#This Row],[Tech Start Date]],28),IF(Main[[#This Row],[Class]]="B", WORKDAY(Main[[#This Row],[Tech Start Date]],19),IF(Main[[#This Row],[Class]]="A",WORKDAY(Main[[#This Row],[Tech Start Date]],9),""))))</f>
        <v/>
      </c>
      <c r="Q1149" s="74">
        <v>40715</v>
      </c>
      <c r="R1149" s="74"/>
      <c r="S1149" s="72" t="s">
        <v>6</v>
      </c>
      <c r="T1149" s="80" t="s">
        <v>4</v>
      </c>
      <c r="U1149" s="72" t="s">
        <v>7</v>
      </c>
      <c r="V1149" s="72" t="s">
        <v>1937</v>
      </c>
      <c r="W1149" s="72" t="s">
        <v>1948</v>
      </c>
      <c r="X1149" s="72" t="s">
        <v>986</v>
      </c>
      <c r="Y1149" s="72" t="s">
        <v>3256</v>
      </c>
      <c r="Z1149" s="72" t="s">
        <v>4</v>
      </c>
    </row>
    <row r="1150" spans="1:26" ht="18.600000000000001" customHeight="1">
      <c r="A1150" s="142" t="str">
        <f>IF(priority(Main[[#This Row],[Comments]])&lt;&gt;0, priority(Main[[#This Row],[Comments]]),"")</f>
        <v/>
      </c>
      <c r="B1150" s="90" t="s">
        <v>1130</v>
      </c>
      <c r="C1150" s="72" t="s">
        <v>37</v>
      </c>
      <c r="D1150" s="73" t="s">
        <v>2532</v>
      </c>
      <c r="E1150" s="74">
        <v>40767.459861111114</v>
      </c>
      <c r="F1150" s="74"/>
      <c r="G1150" s="75" t="str">
        <f>IF(stdProdLT(Main[[#This Row],[Comments]])=0.1,"N/A",IF(stdProdLT(Main[[#This Row],[Comments]])=0,"",stdProdLT(Main[[#This Row],[Comments]])))</f>
        <v/>
      </c>
      <c r="H1150" s="76" t="str">
        <f>IF(AND(Main[[#This Row],[In Stock Date]]&lt;&gt;"",Main[[#This Row],[Revised Due Date]]&lt;&gt;""),Main[[#This Row],[In Stock Date]]-Main[[#This Row],[Revised Due Date]],"")</f>
        <v/>
      </c>
      <c r="I1150" s="72" t="s">
        <v>4</v>
      </c>
      <c r="J1150" s="72" t="s">
        <v>4</v>
      </c>
      <c r="K1150" s="72" t="s">
        <v>4</v>
      </c>
      <c r="L1150" s="74"/>
      <c r="M1150" s="77" t="str">
        <f>IF(Main[[#This Row],[Tech Start Date]]&lt;1/1/1990,"",IF(Main[[#This Row],[Class]]="C",WORKDAY(Main[[#This Row],[Tech Start Date]],9),IF(Main[[#This Row],[Class]]="B", WORKDAY(Main[[#This Row],[Tech Start Date]],6),IF(Main[[#This Row],[Class]]="A",WORKDAY(Main[[#This Row],[Tech Start Date]],2),""))))</f>
        <v/>
      </c>
      <c r="N1150" s="77" t="str">
        <f>IF(Main[[#This Row],[Tech Start Date]]&lt;1/1/1990,"",IF(Main[[#This Row],[Class]]="C",WORKDAY(Main[[#This Row],[Tech Start Date]],19),IF(Main[[#This Row],[Class]]="B", WORKDAY(Main[[#This Row],[Tech Start Date]],12),IF(Main[[#This Row],[Class]]="A",WORKDAY(Main[[#This Row],[Tech Start Date]],4),""))))</f>
        <v/>
      </c>
      <c r="O1150" s="77" t="str">
        <f>IF(Main[[#This Row],[Tech Start Date]]&lt;1/1/1990,"",IF(Main[[#This Row],[Class]]="C",WORKDAY(Main[[#This Row],[Tech Start Date]],23),IF(Main[[#This Row],[Class]]="B", WORKDAY(Main[[#This Row],[Tech Start Date]],15),IF(Main[[#This Row],[Class]]="A",WORKDAY(Main[[#This Row],[Tech Start Date]],5),""))))</f>
        <v/>
      </c>
      <c r="P1150" s="77" t="str">
        <f>IF(Main[[#This Row],[Tech Start Date]]&lt;1/1/1990,"",IF(Main[[#This Row],[Class]]="C",WORKDAY(Main[[#This Row],[Tech Start Date]],28),IF(Main[[#This Row],[Class]]="B", WORKDAY(Main[[#This Row],[Tech Start Date]],19),IF(Main[[#This Row],[Class]]="A",WORKDAY(Main[[#This Row],[Tech Start Date]],9),""))))</f>
        <v/>
      </c>
      <c r="Q1150" s="74">
        <v>40716</v>
      </c>
      <c r="R1150" s="74"/>
      <c r="S1150" s="72" t="s">
        <v>6</v>
      </c>
      <c r="T1150" s="80" t="s">
        <v>4</v>
      </c>
      <c r="U1150" s="72" t="s">
        <v>7</v>
      </c>
      <c r="V1150" s="72" t="s">
        <v>1937</v>
      </c>
      <c r="W1150" s="72" t="s">
        <v>1948</v>
      </c>
      <c r="X1150" s="72" t="s">
        <v>986</v>
      </c>
      <c r="Y1150" s="72" t="s">
        <v>3256</v>
      </c>
      <c r="Z1150" s="72" t="s">
        <v>4</v>
      </c>
    </row>
    <row r="1151" spans="1:26" ht="18.600000000000001" customHeight="1">
      <c r="A1151" s="142" t="str">
        <f>IF(priority(Main[[#This Row],[Comments]])&lt;&gt;0, priority(Main[[#This Row],[Comments]]),"")</f>
        <v/>
      </c>
      <c r="B1151" s="90" t="s">
        <v>2535</v>
      </c>
      <c r="C1151" s="72" t="s">
        <v>4</v>
      </c>
      <c r="D1151" s="73" t="s">
        <v>2536</v>
      </c>
      <c r="E1151" s="74">
        <v>40857.542858796296</v>
      </c>
      <c r="F1151" s="74"/>
      <c r="G1151" s="75" t="str">
        <f>IF(stdProdLT(Main[[#This Row],[Comments]])=0.1,"N/A",IF(stdProdLT(Main[[#This Row],[Comments]])=0,"",stdProdLT(Main[[#This Row],[Comments]])))</f>
        <v/>
      </c>
      <c r="H1151" s="76" t="str">
        <f>IF(AND(Main[[#This Row],[In Stock Date]]&lt;&gt;"",Main[[#This Row],[Revised Due Date]]&lt;&gt;""),Main[[#This Row],[In Stock Date]]-Main[[#This Row],[Revised Due Date]],"")</f>
        <v/>
      </c>
      <c r="I1151" s="72" t="s">
        <v>4</v>
      </c>
      <c r="J1151" s="72" t="s">
        <v>4</v>
      </c>
      <c r="K1151" s="72" t="s">
        <v>4</v>
      </c>
      <c r="L1151" s="74"/>
      <c r="M1151" s="77" t="str">
        <f>IF(Main[[#This Row],[Tech Start Date]]&lt;1/1/1990,"",IF(Main[[#This Row],[Class]]="C",WORKDAY(Main[[#This Row],[Tech Start Date]],9),IF(Main[[#This Row],[Class]]="B", WORKDAY(Main[[#This Row],[Tech Start Date]],6),IF(Main[[#This Row],[Class]]="A",WORKDAY(Main[[#This Row],[Tech Start Date]],2),""))))</f>
        <v/>
      </c>
      <c r="N1151" s="77" t="str">
        <f>IF(Main[[#This Row],[Tech Start Date]]&lt;1/1/1990,"",IF(Main[[#This Row],[Class]]="C",WORKDAY(Main[[#This Row],[Tech Start Date]],19),IF(Main[[#This Row],[Class]]="B", WORKDAY(Main[[#This Row],[Tech Start Date]],12),IF(Main[[#This Row],[Class]]="A",WORKDAY(Main[[#This Row],[Tech Start Date]],4),""))))</f>
        <v/>
      </c>
      <c r="O1151" s="77" t="str">
        <f>IF(Main[[#This Row],[Tech Start Date]]&lt;1/1/1990,"",IF(Main[[#This Row],[Class]]="C",WORKDAY(Main[[#This Row],[Tech Start Date]],23),IF(Main[[#This Row],[Class]]="B", WORKDAY(Main[[#This Row],[Tech Start Date]],15),IF(Main[[#This Row],[Class]]="A",WORKDAY(Main[[#This Row],[Tech Start Date]],5),""))))</f>
        <v/>
      </c>
      <c r="P1151" s="77" t="str">
        <f>IF(Main[[#This Row],[Tech Start Date]]&lt;1/1/1990,"",IF(Main[[#This Row],[Class]]="C",WORKDAY(Main[[#This Row],[Tech Start Date]],28),IF(Main[[#This Row],[Class]]="B", WORKDAY(Main[[#This Row],[Tech Start Date]],19),IF(Main[[#This Row],[Class]]="A",WORKDAY(Main[[#This Row],[Tech Start Date]],9),""))))</f>
        <v/>
      </c>
      <c r="Q1151" s="74"/>
      <c r="R1151" s="74"/>
      <c r="S1151" s="72" t="s">
        <v>11</v>
      </c>
      <c r="T1151" s="80" t="s">
        <v>4</v>
      </c>
      <c r="U1151" s="72" t="s">
        <v>29</v>
      </c>
      <c r="V1151" s="72" t="s">
        <v>1938</v>
      </c>
      <c r="W1151" s="72" t="s">
        <v>4</v>
      </c>
      <c r="X1151" s="72" t="s">
        <v>2283</v>
      </c>
      <c r="Y1151" s="72" t="s">
        <v>4</v>
      </c>
      <c r="Z1151" s="72" t="s">
        <v>4</v>
      </c>
    </row>
    <row r="1152" spans="1:26" ht="18.600000000000001" customHeight="1">
      <c r="A1152" s="142" t="str">
        <f>IF(priority(Main[[#This Row],[Comments]])&lt;&gt;0, priority(Main[[#This Row],[Comments]]),"")</f>
        <v/>
      </c>
      <c r="B1152" s="90" t="s">
        <v>2537</v>
      </c>
      <c r="C1152" s="72" t="s">
        <v>4</v>
      </c>
      <c r="D1152" s="73" t="s">
        <v>2538</v>
      </c>
      <c r="E1152" s="74">
        <v>40820.695763888885</v>
      </c>
      <c r="F1152" s="74"/>
      <c r="G1152" s="75" t="str">
        <f>IF(stdProdLT(Main[[#This Row],[Comments]])=0.1,"N/A",IF(stdProdLT(Main[[#This Row],[Comments]])=0,"",stdProdLT(Main[[#This Row],[Comments]])))</f>
        <v/>
      </c>
      <c r="H1152" s="76" t="str">
        <f>IF(AND(Main[[#This Row],[In Stock Date]]&lt;&gt;"",Main[[#This Row],[Revised Due Date]]&lt;&gt;""),Main[[#This Row],[In Stock Date]]-Main[[#This Row],[Revised Due Date]],"")</f>
        <v/>
      </c>
      <c r="I1152" s="72" t="s">
        <v>4</v>
      </c>
      <c r="J1152" s="72" t="s">
        <v>4</v>
      </c>
      <c r="K1152" s="72" t="s">
        <v>4</v>
      </c>
      <c r="L1152" s="74"/>
      <c r="M1152" s="77" t="str">
        <f>IF(Main[[#This Row],[Tech Start Date]]&lt;1/1/1990,"",IF(Main[[#This Row],[Class]]="C",WORKDAY(Main[[#This Row],[Tech Start Date]],9),IF(Main[[#This Row],[Class]]="B", WORKDAY(Main[[#This Row],[Tech Start Date]],6),IF(Main[[#This Row],[Class]]="A",WORKDAY(Main[[#This Row],[Tech Start Date]],2),""))))</f>
        <v/>
      </c>
      <c r="N1152" s="77" t="str">
        <f>IF(Main[[#This Row],[Tech Start Date]]&lt;1/1/1990,"",IF(Main[[#This Row],[Class]]="C",WORKDAY(Main[[#This Row],[Tech Start Date]],19),IF(Main[[#This Row],[Class]]="B", WORKDAY(Main[[#This Row],[Tech Start Date]],12),IF(Main[[#This Row],[Class]]="A",WORKDAY(Main[[#This Row],[Tech Start Date]],4),""))))</f>
        <v/>
      </c>
      <c r="O1152" s="77" t="str">
        <f>IF(Main[[#This Row],[Tech Start Date]]&lt;1/1/1990,"",IF(Main[[#This Row],[Class]]="C",WORKDAY(Main[[#This Row],[Tech Start Date]],23),IF(Main[[#This Row],[Class]]="B", WORKDAY(Main[[#This Row],[Tech Start Date]],15),IF(Main[[#This Row],[Class]]="A",WORKDAY(Main[[#This Row],[Tech Start Date]],5),""))))</f>
        <v/>
      </c>
      <c r="P1152" s="77" t="str">
        <f>IF(Main[[#This Row],[Tech Start Date]]&lt;1/1/1990,"",IF(Main[[#This Row],[Class]]="C",WORKDAY(Main[[#This Row],[Tech Start Date]],28),IF(Main[[#This Row],[Class]]="B", WORKDAY(Main[[#This Row],[Tech Start Date]],19),IF(Main[[#This Row],[Class]]="A",WORKDAY(Main[[#This Row],[Tech Start Date]],9),""))))</f>
        <v/>
      </c>
      <c r="Q1152" s="74"/>
      <c r="R1152" s="74"/>
      <c r="S1152" s="72" t="s">
        <v>6</v>
      </c>
      <c r="T1152" s="80" t="s">
        <v>4</v>
      </c>
      <c r="U1152" s="72" t="s">
        <v>29</v>
      </c>
      <c r="V1152" s="72" t="s">
        <v>1940</v>
      </c>
      <c r="W1152" s="72" t="s">
        <v>1941</v>
      </c>
      <c r="X1152" s="72" t="s">
        <v>102</v>
      </c>
      <c r="Y1152" s="72" t="s">
        <v>3275</v>
      </c>
      <c r="Z1152" s="72" t="s">
        <v>4</v>
      </c>
    </row>
    <row r="1153" spans="1:26" ht="18.600000000000001" customHeight="1">
      <c r="A1153" s="142" t="str">
        <f>IF(priority(Main[[#This Row],[Comments]])&lt;&gt;0, priority(Main[[#This Row],[Comments]]),"")</f>
        <v/>
      </c>
      <c r="B1153" s="90" t="s">
        <v>2837</v>
      </c>
      <c r="C1153" s="72" t="s">
        <v>4</v>
      </c>
      <c r="D1153" s="73" t="s">
        <v>3528</v>
      </c>
      <c r="E1153" s="74"/>
      <c r="F1153" s="74"/>
      <c r="G1153" s="75" t="str">
        <f>IF(stdProdLT(Main[[#This Row],[Comments]])=0.1,"N/A",IF(stdProdLT(Main[[#This Row],[Comments]])=0,"",stdProdLT(Main[[#This Row],[Comments]])))</f>
        <v/>
      </c>
      <c r="H1153" s="76" t="str">
        <f>IF(AND(Main[[#This Row],[In Stock Date]]&lt;&gt;"",Main[[#This Row],[Revised Due Date]]&lt;&gt;""),Main[[#This Row],[In Stock Date]]-Main[[#This Row],[Revised Due Date]],"")</f>
        <v/>
      </c>
      <c r="I1153" s="72" t="s">
        <v>2239</v>
      </c>
      <c r="J1153" s="72" t="s">
        <v>75</v>
      </c>
      <c r="K1153" s="72" t="s">
        <v>1946</v>
      </c>
      <c r="L1153" s="74"/>
      <c r="M1153" s="77" t="str">
        <f>IF(Main[[#This Row],[Tech Start Date]]&lt;1/1/1990,"",IF(Main[[#This Row],[Class]]="C",WORKDAY(Main[[#This Row],[Tech Start Date]],9),IF(Main[[#This Row],[Class]]="B", WORKDAY(Main[[#This Row],[Tech Start Date]],6),IF(Main[[#This Row],[Class]]="A",WORKDAY(Main[[#This Row],[Tech Start Date]],2),""))))</f>
        <v/>
      </c>
      <c r="N1153" s="77" t="str">
        <f>IF(Main[[#This Row],[Tech Start Date]]&lt;1/1/1990,"",IF(Main[[#This Row],[Class]]="C",WORKDAY(Main[[#This Row],[Tech Start Date]],19),IF(Main[[#This Row],[Class]]="B", WORKDAY(Main[[#This Row],[Tech Start Date]],12),IF(Main[[#This Row],[Class]]="A",WORKDAY(Main[[#This Row],[Tech Start Date]],4),""))))</f>
        <v/>
      </c>
      <c r="O1153" s="77" t="str">
        <f>IF(Main[[#This Row],[Tech Start Date]]&lt;1/1/1990,"",IF(Main[[#This Row],[Class]]="C",WORKDAY(Main[[#This Row],[Tech Start Date]],23),IF(Main[[#This Row],[Class]]="B", WORKDAY(Main[[#This Row],[Tech Start Date]],15),IF(Main[[#This Row],[Class]]="A",WORKDAY(Main[[#This Row],[Tech Start Date]],5),""))))</f>
        <v/>
      </c>
      <c r="P1153" s="77" t="str">
        <f>IF(Main[[#This Row],[Tech Start Date]]&lt;1/1/1990,"",IF(Main[[#This Row],[Class]]="C",WORKDAY(Main[[#This Row],[Tech Start Date]],28),IF(Main[[#This Row],[Class]]="B", WORKDAY(Main[[#This Row],[Tech Start Date]],19),IF(Main[[#This Row],[Class]]="A",WORKDAY(Main[[#This Row],[Tech Start Date]],9),""))))</f>
        <v/>
      </c>
      <c r="Q1153" s="74">
        <v>40935</v>
      </c>
      <c r="R1153" s="74"/>
      <c r="S1153" s="72" t="s">
        <v>6</v>
      </c>
      <c r="T1153" s="80" t="s">
        <v>4</v>
      </c>
      <c r="U1153" s="72" t="s">
        <v>14</v>
      </c>
      <c r="V1153" s="72" t="s">
        <v>1940</v>
      </c>
      <c r="W1153" s="72" t="s">
        <v>1941</v>
      </c>
      <c r="X1153" s="72" t="s">
        <v>2971</v>
      </c>
      <c r="Y1153" s="72" t="s">
        <v>3090</v>
      </c>
      <c r="Z1153" s="72" t="s">
        <v>30</v>
      </c>
    </row>
    <row r="1154" spans="1:26" ht="18.600000000000001" customHeight="1">
      <c r="A1154" s="142" t="str">
        <f>IF(priority(Main[[#This Row],[Comments]])&lt;&gt;0, priority(Main[[#This Row],[Comments]]),"")</f>
        <v/>
      </c>
      <c r="B1154" s="90" t="s">
        <v>3442</v>
      </c>
      <c r="C1154" s="72" t="s">
        <v>138</v>
      </c>
      <c r="D1154" s="73" t="s">
        <v>3443</v>
      </c>
      <c r="E1154" s="74">
        <v>40924.463275462964</v>
      </c>
      <c r="F1154" s="74">
        <v>41008</v>
      </c>
      <c r="G1154" s="75" t="str">
        <f>IF(stdProdLT(Main[[#This Row],[Comments]])=0.1,"N/A",IF(stdProdLT(Main[[#This Row],[Comments]])=0,"",stdProdLT(Main[[#This Row],[Comments]])))</f>
        <v/>
      </c>
      <c r="H1154" s="76" t="str">
        <f>IF(AND(Main[[#This Row],[In Stock Date]]&lt;&gt;"",Main[[#This Row],[Revised Due Date]]&lt;&gt;""),Main[[#This Row],[In Stock Date]]-Main[[#This Row],[Revised Due Date]],"")</f>
        <v/>
      </c>
      <c r="I1154" s="72" t="s">
        <v>4</v>
      </c>
      <c r="J1154" s="72" t="s">
        <v>4</v>
      </c>
      <c r="K1154" s="81" t="s">
        <v>4</v>
      </c>
      <c r="L1154" s="74"/>
      <c r="M1154" s="77" t="str">
        <f>IF(Main[[#This Row],[Tech Start Date]]&lt;1/1/1990,"",IF(Main[[#This Row],[Class]]="C",WORKDAY(Main[[#This Row],[Tech Start Date]],9),IF(Main[[#This Row],[Class]]="B", WORKDAY(Main[[#This Row],[Tech Start Date]],6),IF(Main[[#This Row],[Class]]="A",WORKDAY(Main[[#This Row],[Tech Start Date]],2),""))))</f>
        <v/>
      </c>
      <c r="N1154" s="77" t="str">
        <f>IF(Main[[#This Row],[Tech Start Date]]&lt;1/1/1990,"",IF(Main[[#This Row],[Class]]="C",WORKDAY(Main[[#This Row],[Tech Start Date]],19),IF(Main[[#This Row],[Class]]="B", WORKDAY(Main[[#This Row],[Tech Start Date]],12),IF(Main[[#This Row],[Class]]="A",WORKDAY(Main[[#This Row],[Tech Start Date]],4),""))))</f>
        <v/>
      </c>
      <c r="O1154" s="77" t="str">
        <f>IF(Main[[#This Row],[Tech Start Date]]&lt;1/1/1990,"",IF(Main[[#This Row],[Class]]="C",WORKDAY(Main[[#This Row],[Tech Start Date]],23),IF(Main[[#This Row],[Class]]="B", WORKDAY(Main[[#This Row],[Tech Start Date]],15),IF(Main[[#This Row],[Class]]="A",WORKDAY(Main[[#This Row],[Tech Start Date]],5),""))))</f>
        <v/>
      </c>
      <c r="P1154" s="77" t="str">
        <f>IF(Main[[#This Row],[Tech Start Date]]&lt;1/1/1990,"",IF(Main[[#This Row],[Class]]="C",WORKDAY(Main[[#This Row],[Tech Start Date]],28),IF(Main[[#This Row],[Class]]="B", WORKDAY(Main[[#This Row],[Tech Start Date]],19),IF(Main[[#This Row],[Class]]="A",WORKDAY(Main[[#This Row],[Tech Start Date]],9),""))))</f>
        <v/>
      </c>
      <c r="Q1154" s="74">
        <v>40945</v>
      </c>
      <c r="R1154" s="74"/>
      <c r="S1154" s="72" t="s">
        <v>49</v>
      </c>
      <c r="T1154" s="80" t="s">
        <v>3444</v>
      </c>
      <c r="U1154" s="72" t="s">
        <v>7</v>
      </c>
      <c r="V1154" s="72" t="s">
        <v>1947</v>
      </c>
      <c r="W1154" s="72" t="s">
        <v>1945</v>
      </c>
      <c r="X1154" s="72" t="s">
        <v>3058</v>
      </c>
      <c r="Y1154" s="72" t="s">
        <v>3255</v>
      </c>
      <c r="Z1154" s="72" t="s">
        <v>4</v>
      </c>
    </row>
    <row r="1155" spans="1:26" ht="18.600000000000001" customHeight="1">
      <c r="A1155" s="142" t="str">
        <f>IF(priority(Main[[#This Row],[Comments]])&lt;&gt;0, priority(Main[[#This Row],[Comments]]),"")</f>
        <v/>
      </c>
      <c r="B1155" s="90" t="s">
        <v>2405</v>
      </c>
      <c r="C1155" s="72" t="s">
        <v>4</v>
      </c>
      <c r="D1155" s="73" t="s">
        <v>2406</v>
      </c>
      <c r="E1155" s="74">
        <v>40842.639374999999</v>
      </c>
      <c r="F1155" s="74"/>
      <c r="G1155" s="75" t="str">
        <f>IF(stdProdLT(Main[[#This Row],[Comments]])=0.1,"N/A",IF(stdProdLT(Main[[#This Row],[Comments]])=0,"",stdProdLT(Main[[#This Row],[Comments]])))</f>
        <v/>
      </c>
      <c r="H1155" s="76" t="str">
        <f>IF(AND(Main[[#This Row],[In Stock Date]]&lt;&gt;"",Main[[#This Row],[Revised Due Date]]&lt;&gt;""),Main[[#This Row],[In Stock Date]]-Main[[#This Row],[Revised Due Date]],"")</f>
        <v/>
      </c>
      <c r="I1155" s="72" t="s">
        <v>69</v>
      </c>
      <c r="J1155" s="72" t="s">
        <v>70</v>
      </c>
      <c r="K1155" s="72" t="s">
        <v>1946</v>
      </c>
      <c r="L1155" s="74"/>
      <c r="M1155" s="77" t="str">
        <f>IF(Main[[#This Row],[Tech Start Date]]&lt;1/1/1990,"",IF(Main[[#This Row],[Class]]="C",WORKDAY(Main[[#This Row],[Tech Start Date]],9),IF(Main[[#This Row],[Class]]="B", WORKDAY(Main[[#This Row],[Tech Start Date]],6),IF(Main[[#This Row],[Class]]="A",WORKDAY(Main[[#This Row],[Tech Start Date]],2),""))))</f>
        <v/>
      </c>
      <c r="N1155" s="77" t="str">
        <f>IF(Main[[#This Row],[Tech Start Date]]&lt;1/1/1990,"",IF(Main[[#This Row],[Class]]="C",WORKDAY(Main[[#This Row],[Tech Start Date]],19),IF(Main[[#This Row],[Class]]="B", WORKDAY(Main[[#This Row],[Tech Start Date]],12),IF(Main[[#This Row],[Class]]="A",WORKDAY(Main[[#This Row],[Tech Start Date]],4),""))))</f>
        <v/>
      </c>
      <c r="O1155" s="77" t="str">
        <f>IF(Main[[#This Row],[Tech Start Date]]&lt;1/1/1990,"",IF(Main[[#This Row],[Class]]="C",WORKDAY(Main[[#This Row],[Tech Start Date]],23),IF(Main[[#This Row],[Class]]="B", WORKDAY(Main[[#This Row],[Tech Start Date]],15),IF(Main[[#This Row],[Class]]="A",WORKDAY(Main[[#This Row],[Tech Start Date]],5),""))))</f>
        <v/>
      </c>
      <c r="P1155" s="77" t="str">
        <f>IF(Main[[#This Row],[Tech Start Date]]&lt;1/1/1990,"",IF(Main[[#This Row],[Class]]="C",WORKDAY(Main[[#This Row],[Tech Start Date]],28),IF(Main[[#This Row],[Class]]="B", WORKDAY(Main[[#This Row],[Tech Start Date]],19),IF(Main[[#This Row],[Class]]="A",WORKDAY(Main[[#This Row],[Tech Start Date]],9),""))))</f>
        <v/>
      </c>
      <c r="Q1155" s="74">
        <v>40872</v>
      </c>
      <c r="R1155" s="74"/>
      <c r="S1155" s="72" t="s">
        <v>6</v>
      </c>
      <c r="T1155" s="80" t="s">
        <v>4</v>
      </c>
      <c r="U1155" s="72" t="s">
        <v>29</v>
      </c>
      <c r="V1155" s="72" t="s">
        <v>1940</v>
      </c>
      <c r="W1155" s="72" t="s">
        <v>1941</v>
      </c>
      <c r="X1155" s="72" t="s">
        <v>2971</v>
      </c>
      <c r="Y1155" s="72" t="s">
        <v>3090</v>
      </c>
      <c r="Z1155" s="72" t="s">
        <v>30</v>
      </c>
    </row>
    <row r="1156" spans="1:26" ht="18.600000000000001" customHeight="1">
      <c r="A1156" s="142" t="str">
        <f>IF(priority(Main[[#This Row],[Comments]])&lt;&gt;0, priority(Main[[#This Row],[Comments]]),"")</f>
        <v/>
      </c>
      <c r="B1156" s="90" t="s">
        <v>2575</v>
      </c>
      <c r="C1156" s="72" t="s">
        <v>4</v>
      </c>
      <c r="D1156" s="73" t="s">
        <v>2576</v>
      </c>
      <c r="E1156" s="74"/>
      <c r="F1156" s="74"/>
      <c r="G1156" s="75" t="str">
        <f>IF(stdProdLT(Main[[#This Row],[Comments]])=0.1,"N/A",IF(stdProdLT(Main[[#This Row],[Comments]])=0,"",stdProdLT(Main[[#This Row],[Comments]])))</f>
        <v/>
      </c>
      <c r="H1156" s="76" t="str">
        <f>IF(AND(Main[[#This Row],[In Stock Date]]&lt;&gt;"",Main[[#This Row],[Revised Due Date]]&lt;&gt;""),Main[[#This Row],[In Stock Date]]-Main[[#This Row],[Revised Due Date]],"")</f>
        <v/>
      </c>
      <c r="I1156" s="72" t="s">
        <v>4</v>
      </c>
      <c r="J1156" s="72" t="s">
        <v>4</v>
      </c>
      <c r="K1156" s="72" t="s">
        <v>4</v>
      </c>
      <c r="L1156" s="74"/>
      <c r="M1156" s="77" t="str">
        <f>IF(Main[[#This Row],[Tech Start Date]]&lt;1/1/1990,"",IF(Main[[#This Row],[Class]]="C",WORKDAY(Main[[#This Row],[Tech Start Date]],9),IF(Main[[#This Row],[Class]]="B", WORKDAY(Main[[#This Row],[Tech Start Date]],6),IF(Main[[#This Row],[Class]]="A",WORKDAY(Main[[#This Row],[Tech Start Date]],2),""))))</f>
        <v/>
      </c>
      <c r="N1156" s="77" t="str">
        <f>IF(Main[[#This Row],[Tech Start Date]]&lt;1/1/1990,"",IF(Main[[#This Row],[Class]]="C",WORKDAY(Main[[#This Row],[Tech Start Date]],19),IF(Main[[#This Row],[Class]]="B", WORKDAY(Main[[#This Row],[Tech Start Date]],12),IF(Main[[#This Row],[Class]]="A",WORKDAY(Main[[#This Row],[Tech Start Date]],4),""))))</f>
        <v/>
      </c>
      <c r="O1156" s="77" t="str">
        <f>IF(Main[[#This Row],[Tech Start Date]]&lt;1/1/1990,"",IF(Main[[#This Row],[Class]]="C",WORKDAY(Main[[#This Row],[Tech Start Date]],23),IF(Main[[#This Row],[Class]]="B", WORKDAY(Main[[#This Row],[Tech Start Date]],15),IF(Main[[#This Row],[Class]]="A",WORKDAY(Main[[#This Row],[Tech Start Date]],5),""))))</f>
        <v/>
      </c>
      <c r="P1156" s="77" t="str">
        <f>IF(Main[[#This Row],[Tech Start Date]]&lt;1/1/1990,"",IF(Main[[#This Row],[Class]]="C",WORKDAY(Main[[#This Row],[Tech Start Date]],28),IF(Main[[#This Row],[Class]]="B", WORKDAY(Main[[#This Row],[Tech Start Date]],19),IF(Main[[#This Row],[Class]]="A",WORKDAY(Main[[#This Row],[Tech Start Date]],9),""))))</f>
        <v/>
      </c>
      <c r="Q1156" s="74">
        <v>40858</v>
      </c>
      <c r="R1156" s="74"/>
      <c r="S1156" s="72" t="s">
        <v>6</v>
      </c>
      <c r="T1156" s="80" t="s">
        <v>4</v>
      </c>
      <c r="U1156" s="72" t="s">
        <v>14</v>
      </c>
      <c r="V1156" s="72" t="s">
        <v>1940</v>
      </c>
      <c r="W1156" s="72" t="s">
        <v>4</v>
      </c>
      <c r="X1156" s="72" t="s">
        <v>2971</v>
      </c>
      <c r="Y1156" s="72" t="s">
        <v>3090</v>
      </c>
      <c r="Z1156" s="72" t="s">
        <v>4</v>
      </c>
    </row>
    <row r="1157" spans="1:26" ht="18.600000000000001" customHeight="1">
      <c r="A1157" s="142" t="str">
        <f>IF(priority(Main[[#This Row],[Comments]])&lt;&gt;0, priority(Main[[#This Row],[Comments]]),"")</f>
        <v/>
      </c>
      <c r="B1157" s="90" t="s">
        <v>2199</v>
      </c>
      <c r="C1157" s="72" t="s">
        <v>2191</v>
      </c>
      <c r="D1157" s="73" t="s">
        <v>3497</v>
      </c>
      <c r="E1157" s="74">
        <v>40781.402488425927</v>
      </c>
      <c r="F1157" s="74"/>
      <c r="G1157" s="75" t="str">
        <f>IF(stdProdLT(Main[[#This Row],[Comments]])=0.1,"N/A",IF(stdProdLT(Main[[#This Row],[Comments]])=0,"",stdProdLT(Main[[#This Row],[Comments]])))</f>
        <v/>
      </c>
      <c r="H1157" s="76" t="str">
        <f>IF(AND(Main[[#This Row],[In Stock Date]]&lt;&gt;"",Main[[#This Row],[Revised Due Date]]&lt;&gt;""),Main[[#This Row],[In Stock Date]]-Main[[#This Row],[Revised Due Date]],"")</f>
        <v/>
      </c>
      <c r="I1157" s="72" t="s">
        <v>2078</v>
      </c>
      <c r="J1157" s="72" t="s">
        <v>21</v>
      </c>
      <c r="K1157" s="72" t="s">
        <v>1946</v>
      </c>
      <c r="L1157" s="74"/>
      <c r="M1157" s="77" t="str">
        <f>IF(Main[[#This Row],[Tech Start Date]]&lt;1/1/1990,"",IF(Main[[#This Row],[Class]]="C",WORKDAY(Main[[#This Row],[Tech Start Date]],9),IF(Main[[#This Row],[Class]]="B", WORKDAY(Main[[#This Row],[Tech Start Date]],6),IF(Main[[#This Row],[Class]]="A",WORKDAY(Main[[#This Row],[Tech Start Date]],2),""))))</f>
        <v/>
      </c>
      <c r="N1157" s="77" t="str">
        <f>IF(Main[[#This Row],[Tech Start Date]]&lt;1/1/1990,"",IF(Main[[#This Row],[Class]]="C",WORKDAY(Main[[#This Row],[Tech Start Date]],19),IF(Main[[#This Row],[Class]]="B", WORKDAY(Main[[#This Row],[Tech Start Date]],12),IF(Main[[#This Row],[Class]]="A",WORKDAY(Main[[#This Row],[Tech Start Date]],4),""))))</f>
        <v/>
      </c>
      <c r="O1157" s="77" t="str">
        <f>IF(Main[[#This Row],[Tech Start Date]]&lt;1/1/1990,"",IF(Main[[#This Row],[Class]]="C",WORKDAY(Main[[#This Row],[Tech Start Date]],23),IF(Main[[#This Row],[Class]]="B", WORKDAY(Main[[#This Row],[Tech Start Date]],15),IF(Main[[#This Row],[Class]]="A",WORKDAY(Main[[#This Row],[Tech Start Date]],5),""))))</f>
        <v/>
      </c>
      <c r="P1157" s="77" t="str">
        <f>IF(Main[[#This Row],[Tech Start Date]]&lt;1/1/1990,"",IF(Main[[#This Row],[Class]]="C",WORKDAY(Main[[#This Row],[Tech Start Date]],28),IF(Main[[#This Row],[Class]]="B", WORKDAY(Main[[#This Row],[Tech Start Date]],19),IF(Main[[#This Row],[Class]]="A",WORKDAY(Main[[#This Row],[Tech Start Date]],9),""))))</f>
        <v/>
      </c>
      <c r="Q1157" s="74">
        <v>40836</v>
      </c>
      <c r="R1157" s="74"/>
      <c r="S1157" s="72" t="s">
        <v>6</v>
      </c>
      <c r="T1157" s="80" t="s">
        <v>4</v>
      </c>
      <c r="U1157" s="72" t="s">
        <v>29</v>
      </c>
      <c r="V1157" s="72" t="s">
        <v>1940</v>
      </c>
      <c r="W1157" s="72" t="s">
        <v>1941</v>
      </c>
      <c r="X1157" s="72" t="s">
        <v>2988</v>
      </c>
      <c r="Y1157" s="72" t="s">
        <v>3123</v>
      </c>
      <c r="Z1157" s="72" t="s">
        <v>30</v>
      </c>
    </row>
    <row r="1158" spans="1:26" ht="18.600000000000001" customHeight="1">
      <c r="A1158" s="142" t="str">
        <f>IF(priority(Main[[#This Row],[Comments]])&lt;&gt;0, priority(Main[[#This Row],[Comments]]),"")</f>
        <v/>
      </c>
      <c r="B1158" s="90" t="s">
        <v>3372</v>
      </c>
      <c r="C1158" s="72" t="s">
        <v>4</v>
      </c>
      <c r="D1158" s="73" t="s">
        <v>3373</v>
      </c>
      <c r="E1158" s="74">
        <v>40919.097627314812</v>
      </c>
      <c r="F1158" s="74"/>
      <c r="G1158" s="75" t="str">
        <f>IF(stdProdLT(Main[[#This Row],[Comments]])=0.1,"N/A",IF(stdProdLT(Main[[#This Row],[Comments]])=0,"",stdProdLT(Main[[#This Row],[Comments]])))</f>
        <v/>
      </c>
      <c r="H1158" s="76" t="str">
        <f>IF(AND(Main[[#This Row],[In Stock Date]]&lt;&gt;"",Main[[#This Row],[Revised Due Date]]&lt;&gt;""),Main[[#This Row],[In Stock Date]]-Main[[#This Row],[Revised Due Date]],"")</f>
        <v/>
      </c>
      <c r="I1158" s="72" t="s">
        <v>4</v>
      </c>
      <c r="J1158" s="72" t="s">
        <v>4</v>
      </c>
      <c r="K1158" s="72" t="s">
        <v>4</v>
      </c>
      <c r="L1158" s="74"/>
      <c r="M1158" s="77" t="str">
        <f>IF(Main[[#This Row],[Tech Start Date]]&lt;1/1/1990,"",IF(Main[[#This Row],[Class]]="C",WORKDAY(Main[[#This Row],[Tech Start Date]],9),IF(Main[[#This Row],[Class]]="B", WORKDAY(Main[[#This Row],[Tech Start Date]],6),IF(Main[[#This Row],[Class]]="A",WORKDAY(Main[[#This Row],[Tech Start Date]],2),""))))</f>
        <v/>
      </c>
      <c r="N1158" s="77" t="str">
        <f>IF(Main[[#This Row],[Tech Start Date]]&lt;1/1/1990,"",IF(Main[[#This Row],[Class]]="C",WORKDAY(Main[[#This Row],[Tech Start Date]],19),IF(Main[[#This Row],[Class]]="B", WORKDAY(Main[[#This Row],[Tech Start Date]],12),IF(Main[[#This Row],[Class]]="A",WORKDAY(Main[[#This Row],[Tech Start Date]],4),""))))</f>
        <v/>
      </c>
      <c r="O1158" s="77" t="str">
        <f>IF(Main[[#This Row],[Tech Start Date]]&lt;1/1/1990,"",IF(Main[[#This Row],[Class]]="C",WORKDAY(Main[[#This Row],[Tech Start Date]],23),IF(Main[[#This Row],[Class]]="B", WORKDAY(Main[[#This Row],[Tech Start Date]],15),IF(Main[[#This Row],[Class]]="A",WORKDAY(Main[[#This Row],[Tech Start Date]],5),""))))</f>
        <v/>
      </c>
      <c r="P1158" s="77" t="str">
        <f>IF(Main[[#This Row],[Tech Start Date]]&lt;1/1/1990,"",IF(Main[[#This Row],[Class]]="C",WORKDAY(Main[[#This Row],[Tech Start Date]],28),IF(Main[[#This Row],[Class]]="B", WORKDAY(Main[[#This Row],[Tech Start Date]],19),IF(Main[[#This Row],[Class]]="A",WORKDAY(Main[[#This Row],[Tech Start Date]],9),""))))</f>
        <v/>
      </c>
      <c r="Q1158" s="74"/>
      <c r="R1158" s="74"/>
      <c r="S1158" s="72" t="s">
        <v>11</v>
      </c>
      <c r="T1158" s="80" t="s">
        <v>4</v>
      </c>
      <c r="U1158" s="72" t="s">
        <v>7</v>
      </c>
      <c r="V1158" s="72" t="s">
        <v>1947</v>
      </c>
      <c r="W1158" s="72" t="s">
        <v>4</v>
      </c>
      <c r="X1158" s="72" t="s">
        <v>3064</v>
      </c>
      <c r="Y1158" s="72" t="s">
        <v>3374</v>
      </c>
      <c r="Z1158" s="72" t="s">
        <v>4</v>
      </c>
    </row>
    <row r="1159" spans="1:26" ht="18.600000000000001" customHeight="1">
      <c r="A1159" s="142" t="str">
        <f>IF(priority(Main[[#This Row],[Comments]])&lt;&gt;0, priority(Main[[#This Row],[Comments]]),"")</f>
        <v/>
      </c>
      <c r="B1159" s="90" t="s">
        <v>2554</v>
      </c>
      <c r="C1159" s="72" t="s">
        <v>2555</v>
      </c>
      <c r="D1159" s="73" t="s">
        <v>2732</v>
      </c>
      <c r="E1159" s="74">
        <v>40871.220509259256</v>
      </c>
      <c r="F1159" s="74"/>
      <c r="G1159" s="75" t="str">
        <f>IF(stdProdLT(Main[[#This Row],[Comments]])=0.1,"N/A",IF(stdProdLT(Main[[#This Row],[Comments]])=0,"",stdProdLT(Main[[#This Row],[Comments]])))</f>
        <v/>
      </c>
      <c r="H1159" s="76" t="str">
        <f>IF(AND(Main[[#This Row],[In Stock Date]]&lt;&gt;"",Main[[#This Row],[Revised Due Date]]&lt;&gt;""),Main[[#This Row],[In Stock Date]]-Main[[#This Row],[Revised Due Date]],"")</f>
        <v/>
      </c>
      <c r="I1159" s="72" t="s">
        <v>4</v>
      </c>
      <c r="J1159" s="72" t="s">
        <v>4</v>
      </c>
      <c r="K1159" s="72" t="s">
        <v>4</v>
      </c>
      <c r="L1159" s="74"/>
      <c r="M1159" s="77" t="str">
        <f>IF(Main[[#This Row],[Tech Start Date]]&lt;1/1/1990,"",IF(Main[[#This Row],[Class]]="C",WORKDAY(Main[[#This Row],[Tech Start Date]],9),IF(Main[[#This Row],[Class]]="B", WORKDAY(Main[[#This Row],[Tech Start Date]],6),IF(Main[[#This Row],[Class]]="A",WORKDAY(Main[[#This Row],[Tech Start Date]],2),""))))</f>
        <v/>
      </c>
      <c r="N1159" s="77" t="str">
        <f>IF(Main[[#This Row],[Tech Start Date]]&lt;1/1/1990,"",IF(Main[[#This Row],[Class]]="C",WORKDAY(Main[[#This Row],[Tech Start Date]],19),IF(Main[[#This Row],[Class]]="B", WORKDAY(Main[[#This Row],[Tech Start Date]],12),IF(Main[[#This Row],[Class]]="A",WORKDAY(Main[[#This Row],[Tech Start Date]],4),""))))</f>
        <v/>
      </c>
      <c r="O1159" s="77" t="str">
        <f>IF(Main[[#This Row],[Tech Start Date]]&lt;1/1/1990,"",IF(Main[[#This Row],[Class]]="C",WORKDAY(Main[[#This Row],[Tech Start Date]],23),IF(Main[[#This Row],[Class]]="B", WORKDAY(Main[[#This Row],[Tech Start Date]],15),IF(Main[[#This Row],[Class]]="A",WORKDAY(Main[[#This Row],[Tech Start Date]],5),""))))</f>
        <v/>
      </c>
      <c r="P1159" s="77" t="str">
        <f>IF(Main[[#This Row],[Tech Start Date]]&lt;1/1/1990,"",IF(Main[[#This Row],[Class]]="C",WORKDAY(Main[[#This Row],[Tech Start Date]],28),IF(Main[[#This Row],[Class]]="B", WORKDAY(Main[[#This Row],[Tech Start Date]],19),IF(Main[[#This Row],[Class]]="A",WORKDAY(Main[[#This Row],[Tech Start Date]],9),""))))</f>
        <v/>
      </c>
      <c r="Q1159" s="74">
        <v>40875</v>
      </c>
      <c r="R1159" s="74"/>
      <c r="S1159" s="72" t="s">
        <v>11</v>
      </c>
      <c r="T1159" s="80" t="s">
        <v>2733</v>
      </c>
      <c r="U1159" s="72" t="s">
        <v>704</v>
      </c>
      <c r="V1159" s="72" t="s">
        <v>1940</v>
      </c>
      <c r="W1159" s="72" t="s">
        <v>1945</v>
      </c>
      <c r="X1159" s="72" t="s">
        <v>3063</v>
      </c>
      <c r="Y1159" s="72" t="s">
        <v>3289</v>
      </c>
      <c r="Z1159" s="72" t="s">
        <v>4</v>
      </c>
    </row>
    <row r="1160" spans="1:26" ht="18.600000000000001" customHeight="1">
      <c r="A1160" s="142" t="str">
        <f>IF(priority(Main[[#This Row],[Comments]])&lt;&gt;0, priority(Main[[#This Row],[Comments]]),"")</f>
        <v/>
      </c>
      <c r="B1160" s="90" t="s">
        <v>1418</v>
      </c>
      <c r="C1160" s="72" t="s">
        <v>489</v>
      </c>
      <c r="D1160" s="73" t="s">
        <v>2584</v>
      </c>
      <c r="E1160" s="74"/>
      <c r="F1160" s="74">
        <v>40452</v>
      </c>
      <c r="G1160" s="75" t="str">
        <f>IF(stdProdLT(Main[[#This Row],[Comments]])=0.1,"N/A",IF(stdProdLT(Main[[#This Row],[Comments]])=0,"",stdProdLT(Main[[#This Row],[Comments]])))</f>
        <v/>
      </c>
      <c r="H1160" s="76" t="str">
        <f>IF(AND(Main[[#This Row],[In Stock Date]]&lt;&gt;"",Main[[#This Row],[Revised Due Date]]&lt;&gt;""),Main[[#This Row],[In Stock Date]]-Main[[#This Row],[Revised Due Date]],"")</f>
        <v/>
      </c>
      <c r="I1160" s="72" t="s">
        <v>4</v>
      </c>
      <c r="J1160" s="72" t="s">
        <v>4</v>
      </c>
      <c r="K1160" s="72" t="s">
        <v>4</v>
      </c>
      <c r="L1160" s="74"/>
      <c r="M1160" s="77" t="str">
        <f>IF(Main[[#This Row],[Tech Start Date]]&lt;1/1/1990,"",IF(Main[[#This Row],[Class]]="C",WORKDAY(Main[[#This Row],[Tech Start Date]],9),IF(Main[[#This Row],[Class]]="B", WORKDAY(Main[[#This Row],[Tech Start Date]],6),IF(Main[[#This Row],[Class]]="A",WORKDAY(Main[[#This Row],[Tech Start Date]],2),""))))</f>
        <v/>
      </c>
      <c r="N1160" s="77" t="str">
        <f>IF(Main[[#This Row],[Tech Start Date]]&lt;1/1/1990,"",IF(Main[[#This Row],[Class]]="C",WORKDAY(Main[[#This Row],[Tech Start Date]],19),IF(Main[[#This Row],[Class]]="B", WORKDAY(Main[[#This Row],[Tech Start Date]],12),IF(Main[[#This Row],[Class]]="A",WORKDAY(Main[[#This Row],[Tech Start Date]],4),""))))</f>
        <v/>
      </c>
      <c r="O1160" s="77" t="str">
        <f>IF(Main[[#This Row],[Tech Start Date]]&lt;1/1/1990,"",IF(Main[[#This Row],[Class]]="C",WORKDAY(Main[[#This Row],[Tech Start Date]],23),IF(Main[[#This Row],[Class]]="B", WORKDAY(Main[[#This Row],[Tech Start Date]],15),IF(Main[[#This Row],[Class]]="A",WORKDAY(Main[[#This Row],[Tech Start Date]],5),""))))</f>
        <v/>
      </c>
      <c r="P1160" s="77" t="str">
        <f>IF(Main[[#This Row],[Tech Start Date]]&lt;1/1/1990,"",IF(Main[[#This Row],[Class]]="C",WORKDAY(Main[[#This Row],[Tech Start Date]],28),IF(Main[[#This Row],[Class]]="B", WORKDAY(Main[[#This Row],[Tech Start Date]],19),IF(Main[[#This Row],[Class]]="A",WORKDAY(Main[[#This Row],[Tech Start Date]],9),""))))</f>
        <v/>
      </c>
      <c r="Q1160" s="74">
        <v>40391</v>
      </c>
      <c r="R1160" s="74"/>
      <c r="S1160" s="72" t="s">
        <v>6</v>
      </c>
      <c r="T1160" s="80" t="s">
        <v>4</v>
      </c>
      <c r="U1160" s="72" t="s">
        <v>14</v>
      </c>
      <c r="V1160" s="72" t="s">
        <v>1937</v>
      </c>
      <c r="W1160" s="72" t="s">
        <v>1942</v>
      </c>
      <c r="X1160" s="72" t="s">
        <v>2976</v>
      </c>
      <c r="Y1160" s="72" t="s">
        <v>3101</v>
      </c>
      <c r="Z1160" s="72" t="s">
        <v>4</v>
      </c>
    </row>
    <row r="1161" spans="1:26" ht="18.600000000000001" customHeight="1">
      <c r="A1161" s="142" t="str">
        <f>IF(priority(Main[[#This Row],[Comments]])&lt;&gt;0, priority(Main[[#This Row],[Comments]]),"")</f>
        <v/>
      </c>
      <c r="B1161" s="90" t="s">
        <v>2588</v>
      </c>
      <c r="C1161" s="72" t="s">
        <v>4</v>
      </c>
      <c r="D1161" s="73" t="s">
        <v>2589</v>
      </c>
      <c r="E1161" s="74">
        <v>40861.6484837963</v>
      </c>
      <c r="F1161" s="74"/>
      <c r="G1161" s="75" t="str">
        <f>IF(stdProdLT(Main[[#This Row],[Comments]])=0.1,"N/A",IF(stdProdLT(Main[[#This Row],[Comments]])=0,"",stdProdLT(Main[[#This Row],[Comments]])))</f>
        <v/>
      </c>
      <c r="H1161" s="76" t="str">
        <f>IF(AND(Main[[#This Row],[In Stock Date]]&lt;&gt;"",Main[[#This Row],[Revised Due Date]]&lt;&gt;""),Main[[#This Row],[In Stock Date]]-Main[[#This Row],[Revised Due Date]],"")</f>
        <v/>
      </c>
      <c r="I1161" s="72" t="s">
        <v>4</v>
      </c>
      <c r="J1161" s="72" t="s">
        <v>4</v>
      </c>
      <c r="K1161" s="72" t="s">
        <v>4</v>
      </c>
      <c r="L1161" s="74"/>
      <c r="M1161" s="77" t="str">
        <f>IF(Main[[#This Row],[Tech Start Date]]&lt;1/1/1990,"",IF(Main[[#This Row],[Class]]="C",WORKDAY(Main[[#This Row],[Tech Start Date]],9),IF(Main[[#This Row],[Class]]="B", WORKDAY(Main[[#This Row],[Tech Start Date]],6),IF(Main[[#This Row],[Class]]="A",WORKDAY(Main[[#This Row],[Tech Start Date]],2),""))))</f>
        <v/>
      </c>
      <c r="N1161" s="77" t="str">
        <f>IF(Main[[#This Row],[Tech Start Date]]&lt;1/1/1990,"",IF(Main[[#This Row],[Class]]="C",WORKDAY(Main[[#This Row],[Tech Start Date]],19),IF(Main[[#This Row],[Class]]="B", WORKDAY(Main[[#This Row],[Tech Start Date]],12),IF(Main[[#This Row],[Class]]="A",WORKDAY(Main[[#This Row],[Tech Start Date]],4),""))))</f>
        <v/>
      </c>
      <c r="O1161" s="77" t="str">
        <f>IF(Main[[#This Row],[Tech Start Date]]&lt;1/1/1990,"",IF(Main[[#This Row],[Class]]="C",WORKDAY(Main[[#This Row],[Tech Start Date]],23),IF(Main[[#This Row],[Class]]="B", WORKDAY(Main[[#This Row],[Tech Start Date]],15),IF(Main[[#This Row],[Class]]="A",WORKDAY(Main[[#This Row],[Tech Start Date]],5),""))))</f>
        <v/>
      </c>
      <c r="P1161" s="77" t="str">
        <f>IF(Main[[#This Row],[Tech Start Date]]&lt;1/1/1990,"",IF(Main[[#This Row],[Class]]="C",WORKDAY(Main[[#This Row],[Tech Start Date]],28),IF(Main[[#This Row],[Class]]="B", WORKDAY(Main[[#This Row],[Tech Start Date]],19),IF(Main[[#This Row],[Class]]="A",WORKDAY(Main[[#This Row],[Tech Start Date]],9),""))))</f>
        <v/>
      </c>
      <c r="Q1161" s="74">
        <v>41372</v>
      </c>
      <c r="R1161" s="74"/>
      <c r="S1161" s="72" t="s">
        <v>17</v>
      </c>
      <c r="T1161" s="80" t="s">
        <v>4</v>
      </c>
      <c r="U1161" s="72" t="s">
        <v>7</v>
      </c>
      <c r="V1161" s="72" t="s">
        <v>1940</v>
      </c>
      <c r="W1161" s="72" t="s">
        <v>1942</v>
      </c>
      <c r="X1161" s="72" t="s">
        <v>660</v>
      </c>
      <c r="Y1161" s="72" t="s">
        <v>3287</v>
      </c>
      <c r="Z1161" s="72" t="s">
        <v>4</v>
      </c>
    </row>
    <row r="1162" spans="1:26" ht="18.600000000000001" customHeight="1">
      <c r="A1162" s="142" t="str">
        <f>IF(priority(Main[[#This Row],[Comments]])&lt;&gt;0, priority(Main[[#This Row],[Comments]]),"")</f>
        <v/>
      </c>
      <c r="B1162" s="90" t="s">
        <v>2577</v>
      </c>
      <c r="C1162" s="72" t="s">
        <v>4</v>
      </c>
      <c r="D1162" s="73" t="s">
        <v>2578</v>
      </c>
      <c r="E1162" s="74"/>
      <c r="F1162" s="74"/>
      <c r="G1162" s="75" t="str">
        <f>IF(stdProdLT(Main[[#This Row],[Comments]])=0.1,"N/A",IF(stdProdLT(Main[[#This Row],[Comments]])=0,"",stdProdLT(Main[[#This Row],[Comments]])))</f>
        <v/>
      </c>
      <c r="H1162" s="76" t="str">
        <f>IF(AND(Main[[#This Row],[In Stock Date]]&lt;&gt;"",Main[[#This Row],[Revised Due Date]]&lt;&gt;""),Main[[#This Row],[In Stock Date]]-Main[[#This Row],[Revised Due Date]],"")</f>
        <v/>
      </c>
      <c r="I1162" s="72" t="s">
        <v>4</v>
      </c>
      <c r="J1162" s="72" t="s">
        <v>4</v>
      </c>
      <c r="K1162" s="72" t="s">
        <v>4</v>
      </c>
      <c r="L1162" s="74"/>
      <c r="M1162" s="77" t="str">
        <f>IF(Main[[#This Row],[Tech Start Date]]&lt;1/1/1990,"",IF(Main[[#This Row],[Class]]="C",WORKDAY(Main[[#This Row],[Tech Start Date]],9),IF(Main[[#This Row],[Class]]="B", WORKDAY(Main[[#This Row],[Tech Start Date]],6),IF(Main[[#This Row],[Class]]="A",WORKDAY(Main[[#This Row],[Tech Start Date]],2),""))))</f>
        <v/>
      </c>
      <c r="N1162" s="77" t="str">
        <f>IF(Main[[#This Row],[Tech Start Date]]&lt;1/1/1990,"",IF(Main[[#This Row],[Class]]="C",WORKDAY(Main[[#This Row],[Tech Start Date]],19),IF(Main[[#This Row],[Class]]="B", WORKDAY(Main[[#This Row],[Tech Start Date]],12),IF(Main[[#This Row],[Class]]="A",WORKDAY(Main[[#This Row],[Tech Start Date]],4),""))))</f>
        <v/>
      </c>
      <c r="O1162" s="77" t="str">
        <f>IF(Main[[#This Row],[Tech Start Date]]&lt;1/1/1990,"",IF(Main[[#This Row],[Class]]="C",WORKDAY(Main[[#This Row],[Tech Start Date]],23),IF(Main[[#This Row],[Class]]="B", WORKDAY(Main[[#This Row],[Tech Start Date]],15),IF(Main[[#This Row],[Class]]="A",WORKDAY(Main[[#This Row],[Tech Start Date]],5),""))))</f>
        <v/>
      </c>
      <c r="P1162" s="77" t="str">
        <f>IF(Main[[#This Row],[Tech Start Date]]&lt;1/1/1990,"",IF(Main[[#This Row],[Class]]="C",WORKDAY(Main[[#This Row],[Tech Start Date]],28),IF(Main[[#This Row],[Class]]="B", WORKDAY(Main[[#This Row],[Tech Start Date]],19),IF(Main[[#This Row],[Class]]="A",WORKDAY(Main[[#This Row],[Tech Start Date]],9),""))))</f>
        <v/>
      </c>
      <c r="Q1162" s="74"/>
      <c r="R1162" s="74"/>
      <c r="S1162" s="72" t="s">
        <v>23</v>
      </c>
      <c r="T1162" s="80" t="s">
        <v>4</v>
      </c>
      <c r="U1162" s="72" t="s">
        <v>14</v>
      </c>
      <c r="V1162" s="72" t="s">
        <v>1937</v>
      </c>
      <c r="W1162" s="72" t="s">
        <v>1943</v>
      </c>
      <c r="X1162" s="72" t="s">
        <v>404</v>
      </c>
      <c r="Y1162" s="72" t="s">
        <v>4</v>
      </c>
      <c r="Z1162" s="72" t="s">
        <v>4</v>
      </c>
    </row>
    <row r="1163" spans="1:26" ht="18.600000000000001" customHeight="1">
      <c r="A1163" s="142" t="str">
        <f>IF(priority(Main[[#This Row],[Comments]])&lt;&gt;0, priority(Main[[#This Row],[Comments]]),"")</f>
        <v/>
      </c>
      <c r="B1163" s="90" t="s">
        <v>3572</v>
      </c>
      <c r="C1163" s="72" t="s">
        <v>31</v>
      </c>
      <c r="D1163" s="73" t="s">
        <v>3573</v>
      </c>
      <c r="E1163" s="74">
        <v>40928.305879629632</v>
      </c>
      <c r="F1163" s="74"/>
      <c r="G1163" s="75" t="str">
        <f>IF(stdProdLT(Main[[#This Row],[Comments]])=0.1,"N/A",IF(stdProdLT(Main[[#This Row],[Comments]])=0,"",stdProdLT(Main[[#This Row],[Comments]])))</f>
        <v/>
      </c>
      <c r="H1163" s="76" t="str">
        <f>IF(AND(Main[[#This Row],[In Stock Date]]&lt;&gt;"",Main[[#This Row],[Revised Due Date]]&lt;&gt;""),Main[[#This Row],[In Stock Date]]-Main[[#This Row],[Revised Due Date]],"")</f>
        <v/>
      </c>
      <c r="I1163" s="72" t="s">
        <v>4</v>
      </c>
      <c r="J1163" s="72" t="s">
        <v>4</v>
      </c>
      <c r="K1163" s="72" t="s">
        <v>4</v>
      </c>
      <c r="L1163" s="74"/>
      <c r="M1163" s="77" t="str">
        <f>IF(Main[[#This Row],[Tech Start Date]]&lt;1/1/1990,"",IF(Main[[#This Row],[Class]]="C",WORKDAY(Main[[#This Row],[Tech Start Date]],9),IF(Main[[#This Row],[Class]]="B", WORKDAY(Main[[#This Row],[Tech Start Date]],6),IF(Main[[#This Row],[Class]]="A",WORKDAY(Main[[#This Row],[Tech Start Date]],2),""))))</f>
        <v/>
      </c>
      <c r="N1163" s="77" t="str">
        <f>IF(Main[[#This Row],[Tech Start Date]]&lt;1/1/1990,"",IF(Main[[#This Row],[Class]]="C",WORKDAY(Main[[#This Row],[Tech Start Date]],19),IF(Main[[#This Row],[Class]]="B", WORKDAY(Main[[#This Row],[Tech Start Date]],12),IF(Main[[#This Row],[Class]]="A",WORKDAY(Main[[#This Row],[Tech Start Date]],4),""))))</f>
        <v/>
      </c>
      <c r="O1163" s="77" t="str">
        <f>IF(Main[[#This Row],[Tech Start Date]]&lt;1/1/1990,"",IF(Main[[#This Row],[Class]]="C",WORKDAY(Main[[#This Row],[Tech Start Date]],23),IF(Main[[#This Row],[Class]]="B", WORKDAY(Main[[#This Row],[Tech Start Date]],15),IF(Main[[#This Row],[Class]]="A",WORKDAY(Main[[#This Row],[Tech Start Date]],5),""))))</f>
        <v/>
      </c>
      <c r="P1163" s="77" t="str">
        <f>IF(Main[[#This Row],[Tech Start Date]]&lt;1/1/1990,"",IF(Main[[#This Row],[Class]]="C",WORKDAY(Main[[#This Row],[Tech Start Date]],28),IF(Main[[#This Row],[Class]]="B", WORKDAY(Main[[#This Row],[Tech Start Date]],19),IF(Main[[#This Row],[Class]]="A",WORKDAY(Main[[#This Row],[Tech Start Date]],9),""))))</f>
        <v/>
      </c>
      <c r="Q1163" s="74"/>
      <c r="R1163" s="74"/>
      <c r="S1163" s="72" t="s">
        <v>11</v>
      </c>
      <c r="T1163" s="80" t="s">
        <v>4</v>
      </c>
      <c r="U1163" s="72" t="s">
        <v>7</v>
      </c>
      <c r="V1163" s="72" t="s">
        <v>1947</v>
      </c>
      <c r="W1163" s="72" t="s">
        <v>1943</v>
      </c>
      <c r="X1163" s="72" t="s">
        <v>2998</v>
      </c>
      <c r="Y1163" s="72" t="s">
        <v>3574</v>
      </c>
      <c r="Z1163" s="72" t="s">
        <v>4</v>
      </c>
    </row>
    <row r="1164" spans="1:26" ht="18.600000000000001" customHeight="1">
      <c r="A1164" s="142" t="str">
        <f>IF(priority(Main[[#This Row],[Comments]])&lt;&gt;0, priority(Main[[#This Row],[Comments]]),"")</f>
        <v/>
      </c>
      <c r="B1164" s="90" t="s">
        <v>1898</v>
      </c>
      <c r="C1164" s="72" t="s">
        <v>99</v>
      </c>
      <c r="D1164" s="73" t="s">
        <v>943</v>
      </c>
      <c r="E1164" s="74"/>
      <c r="F1164" s="74">
        <v>40644</v>
      </c>
      <c r="G1164" s="75" t="str">
        <f>IF(stdProdLT(Main[[#This Row],[Comments]])=0.1,"N/A",IF(stdProdLT(Main[[#This Row],[Comments]])=0,"",stdProdLT(Main[[#This Row],[Comments]])))</f>
        <v/>
      </c>
      <c r="H1164" s="76">
        <f>IF(AND(Main[[#This Row],[In Stock Date]]&lt;&gt;"",Main[[#This Row],[Revised Due Date]]&lt;&gt;""),Main[[#This Row],[In Stock Date]]-Main[[#This Row],[Revised Due Date]],"")</f>
        <v>-19</v>
      </c>
      <c r="I1164" s="72" t="s">
        <v>4</v>
      </c>
      <c r="J1164" s="72" t="s">
        <v>21</v>
      </c>
      <c r="K1164" s="72" t="s">
        <v>1949</v>
      </c>
      <c r="L1164" s="74"/>
      <c r="M1164" s="77" t="str">
        <f>IF(Main[[#This Row],[Tech Start Date]]&lt;1/1/1990,"",IF(Main[[#This Row],[Class]]="C",WORKDAY(Main[[#This Row],[Tech Start Date]],9),IF(Main[[#This Row],[Class]]="B", WORKDAY(Main[[#This Row],[Tech Start Date]],6),IF(Main[[#This Row],[Class]]="A",WORKDAY(Main[[#This Row],[Tech Start Date]],2),""))))</f>
        <v/>
      </c>
      <c r="N1164" s="77" t="str">
        <f>IF(Main[[#This Row],[Tech Start Date]]&lt;1/1/1990,"",IF(Main[[#This Row],[Class]]="C",WORKDAY(Main[[#This Row],[Tech Start Date]],19),IF(Main[[#This Row],[Class]]="B", WORKDAY(Main[[#This Row],[Tech Start Date]],12),IF(Main[[#This Row],[Class]]="A",WORKDAY(Main[[#This Row],[Tech Start Date]],4),""))))</f>
        <v/>
      </c>
      <c r="O1164" s="77" t="str">
        <f>IF(Main[[#This Row],[Tech Start Date]]&lt;1/1/1990,"",IF(Main[[#This Row],[Class]]="C",WORKDAY(Main[[#This Row],[Tech Start Date]],23),IF(Main[[#This Row],[Class]]="B", WORKDAY(Main[[#This Row],[Tech Start Date]],15),IF(Main[[#This Row],[Class]]="A",WORKDAY(Main[[#This Row],[Tech Start Date]],5),""))))</f>
        <v/>
      </c>
      <c r="P1164" s="77" t="str">
        <f>IF(Main[[#This Row],[Tech Start Date]]&lt;1/1/1990,"",IF(Main[[#This Row],[Class]]="C",WORKDAY(Main[[#This Row],[Tech Start Date]],28),IF(Main[[#This Row],[Class]]="B", WORKDAY(Main[[#This Row],[Tech Start Date]],19),IF(Main[[#This Row],[Class]]="A",WORKDAY(Main[[#This Row],[Tech Start Date]],9),""))))</f>
        <v/>
      </c>
      <c r="Q1164" s="74">
        <v>40663</v>
      </c>
      <c r="R1164" s="74">
        <v>40663</v>
      </c>
      <c r="S1164" s="72" t="s">
        <v>11</v>
      </c>
      <c r="T1164" s="82" t="s">
        <v>4</v>
      </c>
      <c r="U1164" s="72" t="s">
        <v>14</v>
      </c>
      <c r="V1164" s="72" t="s">
        <v>1937</v>
      </c>
      <c r="W1164" s="72" t="s">
        <v>1942</v>
      </c>
      <c r="X1164" s="72" t="s">
        <v>2989</v>
      </c>
      <c r="Y1164" s="72" t="s">
        <v>3124</v>
      </c>
      <c r="Z1164" s="72" t="s">
        <v>129</v>
      </c>
    </row>
    <row r="1165" spans="1:26" ht="18.600000000000001" customHeight="1">
      <c r="A1165" s="142" t="str">
        <f>IF(priority(Main[[#This Row],[Comments]])&lt;&gt;0, priority(Main[[#This Row],[Comments]]),"")</f>
        <v/>
      </c>
      <c r="B1165" s="90" t="s">
        <v>2579</v>
      </c>
      <c r="C1165" s="72" t="s">
        <v>4</v>
      </c>
      <c r="D1165" s="73" t="s">
        <v>2580</v>
      </c>
      <c r="E1165" s="74"/>
      <c r="F1165" s="74"/>
      <c r="G1165" s="75" t="str">
        <f>IF(stdProdLT(Main[[#This Row],[Comments]])=0.1,"N/A",IF(stdProdLT(Main[[#This Row],[Comments]])=0,"",stdProdLT(Main[[#This Row],[Comments]])))</f>
        <v/>
      </c>
      <c r="H1165" s="76" t="str">
        <f>IF(AND(Main[[#This Row],[In Stock Date]]&lt;&gt;"",Main[[#This Row],[Revised Due Date]]&lt;&gt;""),Main[[#This Row],[In Stock Date]]-Main[[#This Row],[Revised Due Date]],"")</f>
        <v/>
      </c>
      <c r="I1165" s="72" t="s">
        <v>4</v>
      </c>
      <c r="J1165" s="72" t="s">
        <v>4</v>
      </c>
      <c r="K1165" s="72" t="s">
        <v>4</v>
      </c>
      <c r="L1165" s="74"/>
      <c r="M1165" s="77" t="str">
        <f>IF(Main[[#This Row],[Tech Start Date]]&lt;1/1/1990,"",IF(Main[[#This Row],[Class]]="C",WORKDAY(Main[[#This Row],[Tech Start Date]],9),IF(Main[[#This Row],[Class]]="B", WORKDAY(Main[[#This Row],[Tech Start Date]],6),IF(Main[[#This Row],[Class]]="A",WORKDAY(Main[[#This Row],[Tech Start Date]],2),""))))</f>
        <v/>
      </c>
      <c r="N1165" s="77" t="str">
        <f>IF(Main[[#This Row],[Tech Start Date]]&lt;1/1/1990,"",IF(Main[[#This Row],[Class]]="C",WORKDAY(Main[[#This Row],[Tech Start Date]],19),IF(Main[[#This Row],[Class]]="B", WORKDAY(Main[[#This Row],[Tech Start Date]],12),IF(Main[[#This Row],[Class]]="A",WORKDAY(Main[[#This Row],[Tech Start Date]],4),""))))</f>
        <v/>
      </c>
      <c r="O1165" s="77" t="str">
        <f>IF(Main[[#This Row],[Tech Start Date]]&lt;1/1/1990,"",IF(Main[[#This Row],[Class]]="C",WORKDAY(Main[[#This Row],[Tech Start Date]],23),IF(Main[[#This Row],[Class]]="B", WORKDAY(Main[[#This Row],[Tech Start Date]],15),IF(Main[[#This Row],[Class]]="A",WORKDAY(Main[[#This Row],[Tech Start Date]],5),""))))</f>
        <v/>
      </c>
      <c r="P1165" s="77" t="str">
        <f>IF(Main[[#This Row],[Tech Start Date]]&lt;1/1/1990,"",IF(Main[[#This Row],[Class]]="C",WORKDAY(Main[[#This Row],[Tech Start Date]],28),IF(Main[[#This Row],[Class]]="B", WORKDAY(Main[[#This Row],[Tech Start Date]],19),IF(Main[[#This Row],[Class]]="A",WORKDAY(Main[[#This Row],[Tech Start Date]],9),""))))</f>
        <v/>
      </c>
      <c r="Q1165" s="74"/>
      <c r="R1165" s="74"/>
      <c r="S1165" s="72" t="s">
        <v>11</v>
      </c>
      <c r="T1165" s="80" t="s">
        <v>4</v>
      </c>
      <c r="U1165" s="72" t="s">
        <v>14</v>
      </c>
      <c r="V1165" s="72" t="s">
        <v>1938</v>
      </c>
      <c r="W1165" s="72" t="s">
        <v>4</v>
      </c>
      <c r="X1165" s="72" t="s">
        <v>2283</v>
      </c>
      <c r="Y1165" s="72" t="s">
        <v>4</v>
      </c>
      <c r="Z1165" s="72" t="s">
        <v>4</v>
      </c>
    </row>
    <row r="1166" spans="1:26" ht="18.600000000000001" customHeight="1">
      <c r="A1166" s="142" t="str">
        <f>IF(priority(Main[[#This Row],[Comments]])&lt;&gt;0, priority(Main[[#This Row],[Comments]]),"")</f>
        <v/>
      </c>
      <c r="B1166" s="90" t="s">
        <v>2834</v>
      </c>
      <c r="C1166" s="72" t="s">
        <v>4</v>
      </c>
      <c r="D1166" s="73" t="s">
        <v>3544</v>
      </c>
      <c r="E1166" s="74">
        <v>40913.670185185183</v>
      </c>
      <c r="F1166" s="74"/>
      <c r="G1166" s="75" t="str">
        <f>IF(stdProdLT(Main[[#This Row],[Comments]])=0.1,"N/A",IF(stdProdLT(Main[[#This Row],[Comments]])=0,"",stdProdLT(Main[[#This Row],[Comments]])))</f>
        <v/>
      </c>
      <c r="H1166" s="76" t="str">
        <f>IF(AND(Main[[#This Row],[In Stock Date]]&lt;&gt;"",Main[[#This Row],[Revised Due Date]]&lt;&gt;""),Main[[#This Row],[In Stock Date]]-Main[[#This Row],[Revised Due Date]],"")</f>
        <v/>
      </c>
      <c r="I1166" s="72" t="s">
        <v>777</v>
      </c>
      <c r="J1166" s="72" t="s">
        <v>52</v>
      </c>
      <c r="K1166" s="81" t="s">
        <v>4</v>
      </c>
      <c r="L1166" s="74"/>
      <c r="M1166" s="77" t="str">
        <f>IF(Main[[#This Row],[Tech Start Date]]&lt;1/1/1990,"",IF(Main[[#This Row],[Class]]="C",WORKDAY(Main[[#This Row],[Tech Start Date]],9),IF(Main[[#This Row],[Class]]="B", WORKDAY(Main[[#This Row],[Tech Start Date]],6),IF(Main[[#This Row],[Class]]="A",WORKDAY(Main[[#This Row],[Tech Start Date]],2),""))))</f>
        <v/>
      </c>
      <c r="N1166" s="77" t="str">
        <f>IF(Main[[#This Row],[Tech Start Date]]&lt;1/1/1990,"",IF(Main[[#This Row],[Class]]="C",WORKDAY(Main[[#This Row],[Tech Start Date]],19),IF(Main[[#This Row],[Class]]="B", WORKDAY(Main[[#This Row],[Tech Start Date]],12),IF(Main[[#This Row],[Class]]="A",WORKDAY(Main[[#This Row],[Tech Start Date]],4),""))))</f>
        <v/>
      </c>
      <c r="O1166" s="77" t="str">
        <f>IF(Main[[#This Row],[Tech Start Date]]&lt;1/1/1990,"",IF(Main[[#This Row],[Class]]="C",WORKDAY(Main[[#This Row],[Tech Start Date]],23),IF(Main[[#This Row],[Class]]="B", WORKDAY(Main[[#This Row],[Tech Start Date]],15),IF(Main[[#This Row],[Class]]="A",WORKDAY(Main[[#This Row],[Tech Start Date]],5),""))))</f>
        <v/>
      </c>
      <c r="P1166" s="77" t="str">
        <f>IF(Main[[#This Row],[Tech Start Date]]&lt;1/1/1990,"",IF(Main[[#This Row],[Class]]="C",WORKDAY(Main[[#This Row],[Tech Start Date]],28),IF(Main[[#This Row],[Class]]="B", WORKDAY(Main[[#This Row],[Tech Start Date]],19),IF(Main[[#This Row],[Class]]="A",WORKDAY(Main[[#This Row],[Tech Start Date]],9),""))))</f>
        <v/>
      </c>
      <c r="Q1166" s="74"/>
      <c r="R1166" s="74"/>
      <c r="S1166" s="72" t="s">
        <v>6</v>
      </c>
      <c r="T1166" s="80" t="s">
        <v>4</v>
      </c>
      <c r="U1166" s="72" t="s">
        <v>29</v>
      </c>
      <c r="V1166" s="72" t="s">
        <v>1940</v>
      </c>
      <c r="W1166" s="72" t="s">
        <v>1941</v>
      </c>
      <c r="X1166" s="72" t="s">
        <v>102</v>
      </c>
      <c r="Y1166" s="72" t="s">
        <v>3246</v>
      </c>
      <c r="Z1166" s="72" t="s">
        <v>4</v>
      </c>
    </row>
    <row r="1167" spans="1:26" ht="18.600000000000001" customHeight="1">
      <c r="A1167" s="142" t="str">
        <f>IF(priority(Main[[#This Row],[Comments]])&lt;&gt;0, priority(Main[[#This Row],[Comments]]),"")</f>
        <v/>
      </c>
      <c r="B1167" s="90" t="s">
        <v>2780</v>
      </c>
      <c r="C1167" s="72" t="s">
        <v>4</v>
      </c>
      <c r="D1167" s="73" t="s">
        <v>2781</v>
      </c>
      <c r="E1167" s="74">
        <v>40917.540925925925</v>
      </c>
      <c r="F1167" s="74"/>
      <c r="G1167" s="75" t="str">
        <f>IF(stdProdLT(Main[[#This Row],[Comments]])=0.1,"N/A",IF(stdProdLT(Main[[#This Row],[Comments]])=0,"",stdProdLT(Main[[#This Row],[Comments]])))</f>
        <v/>
      </c>
      <c r="H1167" s="76" t="str">
        <f>IF(AND(Main[[#This Row],[In Stock Date]]&lt;&gt;"",Main[[#This Row],[Revised Due Date]]&lt;&gt;""),Main[[#This Row],[In Stock Date]]-Main[[#This Row],[Revised Due Date]],"")</f>
        <v/>
      </c>
      <c r="I1167" s="72" t="s">
        <v>536</v>
      </c>
      <c r="J1167" s="72" t="s">
        <v>21</v>
      </c>
      <c r="K1167" s="72" t="s">
        <v>1946</v>
      </c>
      <c r="L1167" s="74"/>
      <c r="M1167" s="77" t="str">
        <f>IF(Main[[#This Row],[Tech Start Date]]&lt;1/1/1990,"",IF(Main[[#This Row],[Class]]="C",WORKDAY(Main[[#This Row],[Tech Start Date]],9),IF(Main[[#This Row],[Class]]="B", WORKDAY(Main[[#This Row],[Tech Start Date]],6),IF(Main[[#This Row],[Class]]="A",WORKDAY(Main[[#This Row],[Tech Start Date]],2),""))))</f>
        <v/>
      </c>
      <c r="N1167" s="77" t="str">
        <f>IF(Main[[#This Row],[Tech Start Date]]&lt;1/1/1990,"",IF(Main[[#This Row],[Class]]="C",WORKDAY(Main[[#This Row],[Tech Start Date]],19),IF(Main[[#This Row],[Class]]="B", WORKDAY(Main[[#This Row],[Tech Start Date]],12),IF(Main[[#This Row],[Class]]="A",WORKDAY(Main[[#This Row],[Tech Start Date]],4),""))))</f>
        <v/>
      </c>
      <c r="O1167" s="77" t="str">
        <f>IF(Main[[#This Row],[Tech Start Date]]&lt;1/1/1990,"",IF(Main[[#This Row],[Class]]="C",WORKDAY(Main[[#This Row],[Tech Start Date]],23),IF(Main[[#This Row],[Class]]="B", WORKDAY(Main[[#This Row],[Tech Start Date]],15),IF(Main[[#This Row],[Class]]="A",WORKDAY(Main[[#This Row],[Tech Start Date]],5),""))))</f>
        <v/>
      </c>
      <c r="P1167" s="77" t="str">
        <f>IF(Main[[#This Row],[Tech Start Date]]&lt;1/1/1990,"",IF(Main[[#This Row],[Class]]="C",WORKDAY(Main[[#This Row],[Tech Start Date]],28),IF(Main[[#This Row],[Class]]="B", WORKDAY(Main[[#This Row],[Tech Start Date]],19),IF(Main[[#This Row],[Class]]="A",WORKDAY(Main[[#This Row],[Tech Start Date]],9),""))))</f>
        <v/>
      </c>
      <c r="Q1167" s="74">
        <v>40949</v>
      </c>
      <c r="R1167" s="74"/>
      <c r="S1167" s="72" t="s">
        <v>6</v>
      </c>
      <c r="T1167" s="80" t="s">
        <v>4</v>
      </c>
      <c r="U1167" s="72" t="s">
        <v>29</v>
      </c>
      <c r="V1167" s="72" t="s">
        <v>1940</v>
      </c>
      <c r="W1167" s="72" t="s">
        <v>1941</v>
      </c>
      <c r="X1167" s="72" t="s">
        <v>2971</v>
      </c>
      <c r="Y1167" s="72" t="s">
        <v>3090</v>
      </c>
      <c r="Z1167" s="72" t="s">
        <v>30</v>
      </c>
    </row>
    <row r="1168" spans="1:26" ht="18.600000000000001" customHeight="1">
      <c r="A1168" s="142" t="str">
        <f>IF(priority(Main[[#This Row],[Comments]])&lt;&gt;0, priority(Main[[#This Row],[Comments]]),"")</f>
        <v/>
      </c>
      <c r="B1168" s="90" t="s">
        <v>2082</v>
      </c>
      <c r="C1168" s="72" t="s">
        <v>4</v>
      </c>
      <c r="D1168" s="73" t="s">
        <v>2083</v>
      </c>
      <c r="E1168" s="74">
        <v>40757.464699074073</v>
      </c>
      <c r="F1168" s="74"/>
      <c r="G1168" s="75" t="str">
        <f>IF(stdProdLT(Main[[#This Row],[Comments]])=0.1,"N/A",IF(stdProdLT(Main[[#This Row],[Comments]])=0,"",stdProdLT(Main[[#This Row],[Comments]])))</f>
        <v/>
      </c>
      <c r="H1168" s="76" t="str">
        <f>IF(AND(Main[[#This Row],[In Stock Date]]&lt;&gt;"",Main[[#This Row],[Revised Due Date]]&lt;&gt;""),Main[[#This Row],[In Stock Date]]-Main[[#This Row],[Revised Due Date]],"")</f>
        <v/>
      </c>
      <c r="I1168" s="72" t="s">
        <v>4</v>
      </c>
      <c r="J1168" s="72" t="s">
        <v>4</v>
      </c>
      <c r="K1168" s="72" t="s">
        <v>4</v>
      </c>
      <c r="L1168" s="74"/>
      <c r="M1168" s="77" t="str">
        <f>IF(Main[[#This Row],[Tech Start Date]]&lt;1/1/1990,"",IF(Main[[#This Row],[Class]]="C",WORKDAY(Main[[#This Row],[Tech Start Date]],9),IF(Main[[#This Row],[Class]]="B", WORKDAY(Main[[#This Row],[Tech Start Date]],6),IF(Main[[#This Row],[Class]]="A",WORKDAY(Main[[#This Row],[Tech Start Date]],2),""))))</f>
        <v/>
      </c>
      <c r="N1168" s="77" t="str">
        <f>IF(Main[[#This Row],[Tech Start Date]]&lt;1/1/1990,"",IF(Main[[#This Row],[Class]]="C",WORKDAY(Main[[#This Row],[Tech Start Date]],19),IF(Main[[#This Row],[Class]]="B", WORKDAY(Main[[#This Row],[Tech Start Date]],12),IF(Main[[#This Row],[Class]]="A",WORKDAY(Main[[#This Row],[Tech Start Date]],4),""))))</f>
        <v/>
      </c>
      <c r="O1168" s="77" t="str">
        <f>IF(Main[[#This Row],[Tech Start Date]]&lt;1/1/1990,"",IF(Main[[#This Row],[Class]]="C",WORKDAY(Main[[#This Row],[Tech Start Date]],23),IF(Main[[#This Row],[Class]]="B", WORKDAY(Main[[#This Row],[Tech Start Date]],15),IF(Main[[#This Row],[Class]]="A",WORKDAY(Main[[#This Row],[Tech Start Date]],5),""))))</f>
        <v/>
      </c>
      <c r="P1168" s="77" t="str">
        <f>IF(Main[[#This Row],[Tech Start Date]]&lt;1/1/1990,"",IF(Main[[#This Row],[Class]]="C",WORKDAY(Main[[#This Row],[Tech Start Date]],28),IF(Main[[#This Row],[Class]]="B", WORKDAY(Main[[#This Row],[Tech Start Date]],19),IF(Main[[#This Row],[Class]]="A",WORKDAY(Main[[#This Row],[Tech Start Date]],9),""))))</f>
        <v/>
      </c>
      <c r="Q1168" s="74"/>
      <c r="R1168" s="74"/>
      <c r="S1168" s="72" t="s">
        <v>17</v>
      </c>
      <c r="T1168" s="80" t="s">
        <v>4</v>
      </c>
      <c r="U1168" s="72" t="s">
        <v>29</v>
      </c>
      <c r="V1168" s="72" t="s">
        <v>1940</v>
      </c>
      <c r="W1168" s="72" t="s">
        <v>4</v>
      </c>
      <c r="X1168" s="72" t="s">
        <v>660</v>
      </c>
      <c r="Y1168" s="72" t="s">
        <v>3287</v>
      </c>
      <c r="Z1168" s="72" t="s">
        <v>4</v>
      </c>
    </row>
    <row r="1169" spans="1:26" ht="18.600000000000001" customHeight="1">
      <c r="A1169" s="142" t="str">
        <f>IF(priority(Main[[#This Row],[Comments]])&lt;&gt;0, priority(Main[[#This Row],[Comments]]),"")</f>
        <v/>
      </c>
      <c r="B1169" s="90" t="s">
        <v>2592</v>
      </c>
      <c r="C1169" s="72" t="s">
        <v>4</v>
      </c>
      <c r="D1169" s="73" t="s">
        <v>2593</v>
      </c>
      <c r="E1169" s="74"/>
      <c r="F1169" s="74"/>
      <c r="G1169" s="75" t="str">
        <f>IF(stdProdLT(Main[[#This Row],[Comments]])=0.1,"N/A",IF(stdProdLT(Main[[#This Row],[Comments]])=0,"",stdProdLT(Main[[#This Row],[Comments]])))</f>
        <v/>
      </c>
      <c r="H1169" s="76" t="str">
        <f>IF(AND(Main[[#This Row],[In Stock Date]]&lt;&gt;"",Main[[#This Row],[Revised Due Date]]&lt;&gt;""),Main[[#This Row],[In Stock Date]]-Main[[#This Row],[Revised Due Date]],"")</f>
        <v/>
      </c>
      <c r="I1169" s="72" t="s">
        <v>4</v>
      </c>
      <c r="J1169" s="72" t="s">
        <v>4</v>
      </c>
      <c r="K1169" s="72" t="s">
        <v>4</v>
      </c>
      <c r="L1169" s="74"/>
      <c r="M1169" s="77" t="str">
        <f>IF(Main[[#This Row],[Tech Start Date]]&lt;1/1/1990,"",IF(Main[[#This Row],[Class]]="C",WORKDAY(Main[[#This Row],[Tech Start Date]],9),IF(Main[[#This Row],[Class]]="B", WORKDAY(Main[[#This Row],[Tech Start Date]],6),IF(Main[[#This Row],[Class]]="A",WORKDAY(Main[[#This Row],[Tech Start Date]],2),""))))</f>
        <v/>
      </c>
      <c r="N1169" s="77" t="str">
        <f>IF(Main[[#This Row],[Tech Start Date]]&lt;1/1/1990,"",IF(Main[[#This Row],[Class]]="C",WORKDAY(Main[[#This Row],[Tech Start Date]],19),IF(Main[[#This Row],[Class]]="B", WORKDAY(Main[[#This Row],[Tech Start Date]],12),IF(Main[[#This Row],[Class]]="A",WORKDAY(Main[[#This Row],[Tech Start Date]],4),""))))</f>
        <v/>
      </c>
      <c r="O1169" s="77" t="str">
        <f>IF(Main[[#This Row],[Tech Start Date]]&lt;1/1/1990,"",IF(Main[[#This Row],[Class]]="C",WORKDAY(Main[[#This Row],[Tech Start Date]],23),IF(Main[[#This Row],[Class]]="B", WORKDAY(Main[[#This Row],[Tech Start Date]],15),IF(Main[[#This Row],[Class]]="A",WORKDAY(Main[[#This Row],[Tech Start Date]],5),""))))</f>
        <v/>
      </c>
      <c r="P1169" s="77" t="str">
        <f>IF(Main[[#This Row],[Tech Start Date]]&lt;1/1/1990,"",IF(Main[[#This Row],[Class]]="C",WORKDAY(Main[[#This Row],[Tech Start Date]],28),IF(Main[[#This Row],[Class]]="B", WORKDAY(Main[[#This Row],[Tech Start Date]],19),IF(Main[[#This Row],[Class]]="A",WORKDAY(Main[[#This Row],[Tech Start Date]],9),""))))</f>
        <v/>
      </c>
      <c r="Q1169" s="74"/>
      <c r="R1169" s="74"/>
      <c r="S1169" s="72" t="s">
        <v>6</v>
      </c>
      <c r="T1169" s="80" t="s">
        <v>4</v>
      </c>
      <c r="U1169" s="72" t="s">
        <v>14</v>
      </c>
      <c r="V1169" s="72" t="s">
        <v>1947</v>
      </c>
      <c r="W1169" s="72" t="s">
        <v>1941</v>
      </c>
      <c r="X1169" s="72" t="s">
        <v>102</v>
      </c>
      <c r="Y1169" s="72" t="s">
        <v>3290</v>
      </c>
      <c r="Z1169" s="72" t="s">
        <v>4</v>
      </c>
    </row>
    <row r="1170" spans="1:26" ht="18.600000000000001" customHeight="1">
      <c r="A1170" s="142" t="str">
        <f>IF(priority(Main[[#This Row],[Comments]])&lt;&gt;0, priority(Main[[#This Row],[Comments]]),"")</f>
        <v/>
      </c>
      <c r="B1170" s="90" t="s">
        <v>1877</v>
      </c>
      <c r="C1170" s="72" t="s">
        <v>47</v>
      </c>
      <c r="D1170" s="73" t="s">
        <v>925</v>
      </c>
      <c r="E1170" s="74">
        <v>39937.598483796297</v>
      </c>
      <c r="F1170" s="74"/>
      <c r="G1170" s="75" t="str">
        <f>IF(stdProdLT(Main[[#This Row],[Comments]])=0.1,"N/A",IF(stdProdLT(Main[[#This Row],[Comments]])=0,"",stdProdLT(Main[[#This Row],[Comments]])))</f>
        <v/>
      </c>
      <c r="H1170" s="76" t="str">
        <f>IF(AND(Main[[#This Row],[In Stock Date]]&lt;&gt;"",Main[[#This Row],[Revised Due Date]]&lt;&gt;""),Main[[#This Row],[In Stock Date]]-Main[[#This Row],[Revised Due Date]],"")</f>
        <v/>
      </c>
      <c r="I1170" s="72" t="s">
        <v>913</v>
      </c>
      <c r="J1170" s="72" t="s">
        <v>4</v>
      </c>
      <c r="K1170" s="72" t="s">
        <v>1949</v>
      </c>
      <c r="L1170" s="74"/>
      <c r="M1170" s="77" t="str">
        <f>IF(Main[[#This Row],[Tech Start Date]]&lt;1/1/1990,"",IF(Main[[#This Row],[Class]]="C",WORKDAY(Main[[#This Row],[Tech Start Date]],9),IF(Main[[#This Row],[Class]]="B", WORKDAY(Main[[#This Row],[Tech Start Date]],6),IF(Main[[#This Row],[Class]]="A",WORKDAY(Main[[#This Row],[Tech Start Date]],2),""))))</f>
        <v/>
      </c>
      <c r="N1170" s="77" t="str">
        <f>IF(Main[[#This Row],[Tech Start Date]]&lt;1/1/1990,"",IF(Main[[#This Row],[Class]]="C",WORKDAY(Main[[#This Row],[Tech Start Date]],19),IF(Main[[#This Row],[Class]]="B", WORKDAY(Main[[#This Row],[Tech Start Date]],12),IF(Main[[#This Row],[Class]]="A",WORKDAY(Main[[#This Row],[Tech Start Date]],4),""))))</f>
        <v/>
      </c>
      <c r="O1170" s="77" t="str">
        <f>IF(Main[[#This Row],[Tech Start Date]]&lt;1/1/1990,"",IF(Main[[#This Row],[Class]]="C",WORKDAY(Main[[#This Row],[Tech Start Date]],23),IF(Main[[#This Row],[Class]]="B", WORKDAY(Main[[#This Row],[Tech Start Date]],15),IF(Main[[#This Row],[Class]]="A",WORKDAY(Main[[#This Row],[Tech Start Date]],5),""))))</f>
        <v/>
      </c>
      <c r="P1170" s="77" t="str">
        <f>IF(Main[[#This Row],[Tech Start Date]]&lt;1/1/1990,"",IF(Main[[#This Row],[Class]]="C",WORKDAY(Main[[#This Row],[Tech Start Date]],28),IF(Main[[#This Row],[Class]]="B", WORKDAY(Main[[#This Row],[Tech Start Date]],19),IF(Main[[#This Row],[Class]]="A",WORKDAY(Main[[#This Row],[Tech Start Date]],9),""))))</f>
        <v/>
      </c>
      <c r="Q1170" s="74"/>
      <c r="R1170" s="74">
        <v>40945</v>
      </c>
      <c r="S1170" s="72" t="s">
        <v>17</v>
      </c>
      <c r="T1170" s="80" t="s">
        <v>4</v>
      </c>
      <c r="U1170" s="72" t="s">
        <v>29</v>
      </c>
      <c r="V1170" s="72" t="s">
        <v>1940</v>
      </c>
      <c r="W1170" s="72" t="s">
        <v>1942</v>
      </c>
      <c r="X1170" s="72" t="s">
        <v>2979</v>
      </c>
      <c r="Y1170" s="72" t="s">
        <v>3106</v>
      </c>
      <c r="Z1170" s="72" t="s">
        <v>421</v>
      </c>
    </row>
    <row r="1171" spans="1:26" ht="18.600000000000001" customHeight="1">
      <c r="A1171" s="142" t="str">
        <f>IF(priority(Main[[#This Row],[Comments]])&lt;&gt;0, priority(Main[[#This Row],[Comments]]),"")</f>
        <v/>
      </c>
      <c r="B1171" s="90" t="s">
        <v>2598</v>
      </c>
      <c r="C1171" s="72" t="s">
        <v>4</v>
      </c>
      <c r="D1171" s="73" t="s">
        <v>2599</v>
      </c>
      <c r="E1171" s="74">
        <v>40834.332835648151</v>
      </c>
      <c r="F1171" s="74"/>
      <c r="G1171" s="75" t="str">
        <f>IF(stdProdLT(Main[[#This Row],[Comments]])=0.1,"N/A",IF(stdProdLT(Main[[#This Row],[Comments]])=0,"",stdProdLT(Main[[#This Row],[Comments]])))</f>
        <v/>
      </c>
      <c r="H1171" s="76" t="str">
        <f>IF(AND(Main[[#This Row],[In Stock Date]]&lt;&gt;"",Main[[#This Row],[Revised Due Date]]&lt;&gt;""),Main[[#This Row],[In Stock Date]]-Main[[#This Row],[Revised Due Date]],"")</f>
        <v/>
      </c>
      <c r="I1171" s="72" t="s">
        <v>4</v>
      </c>
      <c r="J1171" s="72" t="s">
        <v>4</v>
      </c>
      <c r="K1171" s="72" t="s">
        <v>4</v>
      </c>
      <c r="L1171" s="74"/>
      <c r="M1171" s="77" t="str">
        <f>IF(Main[[#This Row],[Tech Start Date]]&lt;1/1/1990,"",IF(Main[[#This Row],[Class]]="C",WORKDAY(Main[[#This Row],[Tech Start Date]],9),IF(Main[[#This Row],[Class]]="B", WORKDAY(Main[[#This Row],[Tech Start Date]],6),IF(Main[[#This Row],[Class]]="A",WORKDAY(Main[[#This Row],[Tech Start Date]],2),""))))</f>
        <v/>
      </c>
      <c r="N1171" s="77" t="str">
        <f>IF(Main[[#This Row],[Tech Start Date]]&lt;1/1/1990,"",IF(Main[[#This Row],[Class]]="C",WORKDAY(Main[[#This Row],[Tech Start Date]],19),IF(Main[[#This Row],[Class]]="B", WORKDAY(Main[[#This Row],[Tech Start Date]],12),IF(Main[[#This Row],[Class]]="A",WORKDAY(Main[[#This Row],[Tech Start Date]],4),""))))</f>
        <v/>
      </c>
      <c r="O1171" s="77" t="str">
        <f>IF(Main[[#This Row],[Tech Start Date]]&lt;1/1/1990,"",IF(Main[[#This Row],[Class]]="C",WORKDAY(Main[[#This Row],[Tech Start Date]],23),IF(Main[[#This Row],[Class]]="B", WORKDAY(Main[[#This Row],[Tech Start Date]],15),IF(Main[[#This Row],[Class]]="A",WORKDAY(Main[[#This Row],[Tech Start Date]],5),""))))</f>
        <v/>
      </c>
      <c r="P1171" s="77" t="str">
        <f>IF(Main[[#This Row],[Tech Start Date]]&lt;1/1/1990,"",IF(Main[[#This Row],[Class]]="C",WORKDAY(Main[[#This Row],[Tech Start Date]],28),IF(Main[[#This Row],[Class]]="B", WORKDAY(Main[[#This Row],[Tech Start Date]],19),IF(Main[[#This Row],[Class]]="A",WORKDAY(Main[[#This Row],[Tech Start Date]],9),""))))</f>
        <v/>
      </c>
      <c r="Q1171" s="74"/>
      <c r="R1171" s="74"/>
      <c r="S1171" s="72" t="s">
        <v>6</v>
      </c>
      <c r="T1171" s="80" t="s">
        <v>4</v>
      </c>
      <c r="U1171" s="72" t="s">
        <v>29</v>
      </c>
      <c r="V1171" s="72" t="s">
        <v>1940</v>
      </c>
      <c r="W1171" s="72" t="s">
        <v>1941</v>
      </c>
      <c r="X1171" s="72" t="s">
        <v>404</v>
      </c>
      <c r="Y1171" s="72" t="s">
        <v>4</v>
      </c>
      <c r="Z1171" s="72" t="s">
        <v>4</v>
      </c>
    </row>
    <row r="1172" spans="1:26" ht="18.600000000000001" customHeight="1">
      <c r="A1172" s="142" t="str">
        <f>IF(priority(Main[[#This Row],[Comments]])&lt;&gt;0, priority(Main[[#This Row],[Comments]]),"")</f>
        <v/>
      </c>
      <c r="B1172" s="90" t="s">
        <v>1314</v>
      </c>
      <c r="C1172" s="72" t="s">
        <v>4</v>
      </c>
      <c r="D1172" s="73" t="s">
        <v>374</v>
      </c>
      <c r="E1172" s="74">
        <v>40610.689421296294</v>
      </c>
      <c r="F1172" s="74"/>
      <c r="G1172" s="75" t="str">
        <f>IF(stdProdLT(Main[[#This Row],[Comments]])=0.1,"N/A",IF(stdProdLT(Main[[#This Row],[Comments]])=0,"",stdProdLT(Main[[#This Row],[Comments]])))</f>
        <v/>
      </c>
      <c r="H1172" s="76" t="str">
        <f>IF(AND(Main[[#This Row],[In Stock Date]]&lt;&gt;"",Main[[#This Row],[Revised Due Date]]&lt;&gt;""),Main[[#This Row],[In Stock Date]]-Main[[#This Row],[Revised Due Date]],"")</f>
        <v/>
      </c>
      <c r="I1172" s="72" t="s">
        <v>242</v>
      </c>
      <c r="J1172" s="72" t="s">
        <v>28</v>
      </c>
      <c r="K1172" s="72" t="s">
        <v>1946</v>
      </c>
      <c r="L1172" s="74"/>
      <c r="M1172" s="77" t="str">
        <f>IF(Main[[#This Row],[Tech Start Date]]&lt;1/1/1990,"",IF(Main[[#This Row],[Class]]="C",WORKDAY(Main[[#This Row],[Tech Start Date]],9),IF(Main[[#This Row],[Class]]="B", WORKDAY(Main[[#This Row],[Tech Start Date]],6),IF(Main[[#This Row],[Class]]="A",WORKDAY(Main[[#This Row],[Tech Start Date]],2),""))))</f>
        <v/>
      </c>
      <c r="N1172" s="77" t="str">
        <f>IF(Main[[#This Row],[Tech Start Date]]&lt;1/1/1990,"",IF(Main[[#This Row],[Class]]="C",WORKDAY(Main[[#This Row],[Tech Start Date]],19),IF(Main[[#This Row],[Class]]="B", WORKDAY(Main[[#This Row],[Tech Start Date]],12),IF(Main[[#This Row],[Class]]="A",WORKDAY(Main[[#This Row],[Tech Start Date]],4),""))))</f>
        <v/>
      </c>
      <c r="O1172" s="77" t="str">
        <f>IF(Main[[#This Row],[Tech Start Date]]&lt;1/1/1990,"",IF(Main[[#This Row],[Class]]="C",WORKDAY(Main[[#This Row],[Tech Start Date]],23),IF(Main[[#This Row],[Class]]="B", WORKDAY(Main[[#This Row],[Tech Start Date]],15),IF(Main[[#This Row],[Class]]="A",WORKDAY(Main[[#This Row],[Tech Start Date]],5),""))))</f>
        <v/>
      </c>
      <c r="P1172" s="77" t="str">
        <f>IF(Main[[#This Row],[Tech Start Date]]&lt;1/1/1990,"",IF(Main[[#This Row],[Class]]="C",WORKDAY(Main[[#This Row],[Tech Start Date]],28),IF(Main[[#This Row],[Class]]="B", WORKDAY(Main[[#This Row],[Tech Start Date]],19),IF(Main[[#This Row],[Class]]="A",WORKDAY(Main[[#This Row],[Tech Start Date]],9),""))))</f>
        <v/>
      </c>
      <c r="Q1172" s="74">
        <v>40695</v>
      </c>
      <c r="R1172" s="74"/>
      <c r="S1172" s="72" t="s">
        <v>6</v>
      </c>
      <c r="T1172" s="80" t="s">
        <v>4</v>
      </c>
      <c r="U1172" s="72" t="s">
        <v>29</v>
      </c>
      <c r="V1172" s="72" t="s">
        <v>1940</v>
      </c>
      <c r="W1172" s="72" t="s">
        <v>1939</v>
      </c>
      <c r="X1172" s="72" t="s">
        <v>560</v>
      </c>
      <c r="Y1172" s="72" t="s">
        <v>3110</v>
      </c>
      <c r="Z1172" s="72" t="s">
        <v>311</v>
      </c>
    </row>
    <row r="1173" spans="1:26" ht="18.600000000000001" customHeight="1">
      <c r="A1173" s="142" t="str">
        <f>IF(priority(Main[[#This Row],[Comments]])&lt;&gt;0, priority(Main[[#This Row],[Comments]]),"")</f>
        <v/>
      </c>
      <c r="B1173" s="90" t="s">
        <v>2600</v>
      </c>
      <c r="C1173" s="72" t="s">
        <v>2601</v>
      </c>
      <c r="D1173" s="73" t="s">
        <v>2602</v>
      </c>
      <c r="E1173" s="74"/>
      <c r="F1173" s="74"/>
      <c r="G1173" s="75" t="str">
        <f>IF(stdProdLT(Main[[#This Row],[Comments]])=0.1,"N/A",IF(stdProdLT(Main[[#This Row],[Comments]])=0,"",stdProdLT(Main[[#This Row],[Comments]])))</f>
        <v/>
      </c>
      <c r="H1173" s="76" t="str">
        <f>IF(AND(Main[[#This Row],[In Stock Date]]&lt;&gt;"",Main[[#This Row],[Revised Due Date]]&lt;&gt;""),Main[[#This Row],[In Stock Date]]-Main[[#This Row],[Revised Due Date]],"")</f>
        <v/>
      </c>
      <c r="I1173" s="72" t="s">
        <v>4</v>
      </c>
      <c r="J1173" s="72" t="s">
        <v>4</v>
      </c>
      <c r="K1173" s="72" t="s">
        <v>4</v>
      </c>
      <c r="L1173" s="74"/>
      <c r="M1173" s="77" t="str">
        <f>IF(Main[[#This Row],[Tech Start Date]]&lt;1/1/1990,"",IF(Main[[#This Row],[Class]]="C",WORKDAY(Main[[#This Row],[Tech Start Date]],9),IF(Main[[#This Row],[Class]]="B", WORKDAY(Main[[#This Row],[Tech Start Date]],6),IF(Main[[#This Row],[Class]]="A",WORKDAY(Main[[#This Row],[Tech Start Date]],2),""))))</f>
        <v/>
      </c>
      <c r="N1173" s="77" t="str">
        <f>IF(Main[[#This Row],[Tech Start Date]]&lt;1/1/1990,"",IF(Main[[#This Row],[Class]]="C",WORKDAY(Main[[#This Row],[Tech Start Date]],19),IF(Main[[#This Row],[Class]]="B", WORKDAY(Main[[#This Row],[Tech Start Date]],12),IF(Main[[#This Row],[Class]]="A",WORKDAY(Main[[#This Row],[Tech Start Date]],4),""))))</f>
        <v/>
      </c>
      <c r="O1173" s="77" t="str">
        <f>IF(Main[[#This Row],[Tech Start Date]]&lt;1/1/1990,"",IF(Main[[#This Row],[Class]]="C",WORKDAY(Main[[#This Row],[Tech Start Date]],23),IF(Main[[#This Row],[Class]]="B", WORKDAY(Main[[#This Row],[Tech Start Date]],15),IF(Main[[#This Row],[Class]]="A",WORKDAY(Main[[#This Row],[Tech Start Date]],5),""))))</f>
        <v/>
      </c>
      <c r="P1173" s="77" t="str">
        <f>IF(Main[[#This Row],[Tech Start Date]]&lt;1/1/1990,"",IF(Main[[#This Row],[Class]]="C",WORKDAY(Main[[#This Row],[Tech Start Date]],28),IF(Main[[#This Row],[Class]]="B", WORKDAY(Main[[#This Row],[Tech Start Date]],19),IF(Main[[#This Row],[Class]]="A",WORKDAY(Main[[#This Row],[Tech Start Date]],9),""))))</f>
        <v/>
      </c>
      <c r="Q1173" s="74"/>
      <c r="R1173" s="74"/>
      <c r="S1173" s="72" t="s">
        <v>11</v>
      </c>
      <c r="T1173" s="80" t="s">
        <v>4</v>
      </c>
      <c r="U1173" s="72" t="s">
        <v>14</v>
      </c>
      <c r="V1173" s="72" t="s">
        <v>1938</v>
      </c>
      <c r="W1173" s="72" t="s">
        <v>1939</v>
      </c>
      <c r="X1173" s="72" t="s">
        <v>2967</v>
      </c>
      <c r="Y1173" s="72" t="s">
        <v>3151</v>
      </c>
      <c r="Z1173" s="72" t="s">
        <v>4</v>
      </c>
    </row>
    <row r="1174" spans="1:26" ht="18.600000000000001" customHeight="1">
      <c r="A1174" s="142" t="str">
        <f>IF(priority(Main[[#This Row],[Comments]])&lt;&gt;0, priority(Main[[#This Row],[Comments]]),"")</f>
        <v/>
      </c>
      <c r="B1174" s="90" t="s">
        <v>2832</v>
      </c>
      <c r="C1174" s="72" t="s">
        <v>4</v>
      </c>
      <c r="D1174" s="73" t="s">
        <v>3386</v>
      </c>
      <c r="E1174" s="74">
        <v>40890.414641203701</v>
      </c>
      <c r="F1174" s="74"/>
      <c r="G1174" s="75" t="str">
        <f>IF(stdProdLT(Main[[#This Row],[Comments]])=0.1,"N/A",IF(stdProdLT(Main[[#This Row],[Comments]])=0,"",stdProdLT(Main[[#This Row],[Comments]])))</f>
        <v/>
      </c>
      <c r="H1174" s="76" t="str">
        <f>IF(AND(Main[[#This Row],[In Stock Date]]&lt;&gt;"",Main[[#This Row],[Revised Due Date]]&lt;&gt;""),Main[[#This Row],[In Stock Date]]-Main[[#This Row],[Revised Due Date]],"")</f>
        <v/>
      </c>
      <c r="I1174" s="72" t="s">
        <v>30</v>
      </c>
      <c r="J1174" s="72" t="s">
        <v>28</v>
      </c>
      <c r="K1174" s="72" t="s">
        <v>1946</v>
      </c>
      <c r="L1174" s="74"/>
      <c r="M1174" s="77" t="str">
        <f>IF(Main[[#This Row],[Tech Start Date]]&lt;1/1/1990,"",IF(Main[[#This Row],[Class]]="C",WORKDAY(Main[[#This Row],[Tech Start Date]],9),IF(Main[[#This Row],[Class]]="B", WORKDAY(Main[[#This Row],[Tech Start Date]],6),IF(Main[[#This Row],[Class]]="A",WORKDAY(Main[[#This Row],[Tech Start Date]],2),""))))</f>
        <v/>
      </c>
      <c r="N1174" s="77" t="str">
        <f>IF(Main[[#This Row],[Tech Start Date]]&lt;1/1/1990,"",IF(Main[[#This Row],[Class]]="C",WORKDAY(Main[[#This Row],[Tech Start Date]],19),IF(Main[[#This Row],[Class]]="B", WORKDAY(Main[[#This Row],[Tech Start Date]],12),IF(Main[[#This Row],[Class]]="A",WORKDAY(Main[[#This Row],[Tech Start Date]],4),""))))</f>
        <v/>
      </c>
      <c r="O1174" s="77" t="str">
        <f>IF(Main[[#This Row],[Tech Start Date]]&lt;1/1/1990,"",IF(Main[[#This Row],[Class]]="C",WORKDAY(Main[[#This Row],[Tech Start Date]],23),IF(Main[[#This Row],[Class]]="B", WORKDAY(Main[[#This Row],[Tech Start Date]],15),IF(Main[[#This Row],[Class]]="A",WORKDAY(Main[[#This Row],[Tech Start Date]],5),""))))</f>
        <v/>
      </c>
      <c r="P1174" s="77" t="str">
        <f>IF(Main[[#This Row],[Tech Start Date]]&lt;1/1/1990,"",IF(Main[[#This Row],[Class]]="C",WORKDAY(Main[[#This Row],[Tech Start Date]],28),IF(Main[[#This Row],[Class]]="B", WORKDAY(Main[[#This Row],[Tech Start Date]],19),IF(Main[[#This Row],[Class]]="A",WORKDAY(Main[[#This Row],[Tech Start Date]],9),""))))</f>
        <v/>
      </c>
      <c r="Q1174" s="74">
        <v>40909</v>
      </c>
      <c r="R1174" s="74"/>
      <c r="S1174" s="72" t="s">
        <v>323</v>
      </c>
      <c r="T1174" s="80" t="s">
        <v>4</v>
      </c>
      <c r="U1174" s="72" t="s">
        <v>29</v>
      </c>
      <c r="V1174" s="72" t="s">
        <v>1940</v>
      </c>
      <c r="W1174" s="72" t="s">
        <v>1941</v>
      </c>
      <c r="X1174" s="72" t="s">
        <v>2968</v>
      </c>
      <c r="Y1174" s="72" t="s">
        <v>3086</v>
      </c>
      <c r="Z1174" s="72" t="s">
        <v>30</v>
      </c>
    </row>
    <row r="1175" spans="1:26" ht="18.600000000000001" customHeight="1">
      <c r="A1175" s="142" t="str">
        <f>IF(priority(Main[[#This Row],[Comments]])&lt;&gt;0, priority(Main[[#This Row],[Comments]]),"")</f>
        <v/>
      </c>
      <c r="B1175" s="90" t="s">
        <v>2368</v>
      </c>
      <c r="C1175" s="72" t="s">
        <v>4</v>
      </c>
      <c r="D1175" s="73" t="s">
        <v>2369</v>
      </c>
      <c r="E1175" s="74"/>
      <c r="F1175" s="74"/>
      <c r="G1175" s="75" t="str">
        <f>IF(stdProdLT(Main[[#This Row],[Comments]])=0.1,"N/A",IF(stdProdLT(Main[[#This Row],[Comments]])=0,"",stdProdLT(Main[[#This Row],[Comments]])))</f>
        <v/>
      </c>
      <c r="H1175" s="76" t="str">
        <f>IF(AND(Main[[#This Row],[In Stock Date]]&lt;&gt;"",Main[[#This Row],[Revised Due Date]]&lt;&gt;""),Main[[#This Row],[In Stock Date]]-Main[[#This Row],[Revised Due Date]],"")</f>
        <v/>
      </c>
      <c r="I1175" s="72" t="s">
        <v>4</v>
      </c>
      <c r="J1175" s="72" t="s">
        <v>4</v>
      </c>
      <c r="K1175" s="72" t="s">
        <v>4</v>
      </c>
      <c r="L1175" s="74"/>
      <c r="M1175" s="77" t="str">
        <f>IF(Main[[#This Row],[Tech Start Date]]&lt;1/1/1990,"",IF(Main[[#This Row],[Class]]="C",WORKDAY(Main[[#This Row],[Tech Start Date]],9),IF(Main[[#This Row],[Class]]="B", WORKDAY(Main[[#This Row],[Tech Start Date]],6),IF(Main[[#This Row],[Class]]="A",WORKDAY(Main[[#This Row],[Tech Start Date]],2),""))))</f>
        <v/>
      </c>
      <c r="N1175" s="77" t="str">
        <f>IF(Main[[#This Row],[Tech Start Date]]&lt;1/1/1990,"",IF(Main[[#This Row],[Class]]="C",WORKDAY(Main[[#This Row],[Tech Start Date]],19),IF(Main[[#This Row],[Class]]="B", WORKDAY(Main[[#This Row],[Tech Start Date]],12),IF(Main[[#This Row],[Class]]="A",WORKDAY(Main[[#This Row],[Tech Start Date]],4),""))))</f>
        <v/>
      </c>
      <c r="O1175" s="77" t="str">
        <f>IF(Main[[#This Row],[Tech Start Date]]&lt;1/1/1990,"",IF(Main[[#This Row],[Class]]="C",WORKDAY(Main[[#This Row],[Tech Start Date]],23),IF(Main[[#This Row],[Class]]="B", WORKDAY(Main[[#This Row],[Tech Start Date]],15),IF(Main[[#This Row],[Class]]="A",WORKDAY(Main[[#This Row],[Tech Start Date]],5),""))))</f>
        <v/>
      </c>
      <c r="P1175" s="77" t="str">
        <f>IF(Main[[#This Row],[Tech Start Date]]&lt;1/1/1990,"",IF(Main[[#This Row],[Class]]="C",WORKDAY(Main[[#This Row],[Tech Start Date]],28),IF(Main[[#This Row],[Class]]="B", WORKDAY(Main[[#This Row],[Tech Start Date]],19),IF(Main[[#This Row],[Class]]="A",WORKDAY(Main[[#This Row],[Tech Start Date]],9),""))))</f>
        <v/>
      </c>
      <c r="Q1175" s="74"/>
      <c r="R1175" s="74"/>
      <c r="S1175" s="72" t="s">
        <v>11</v>
      </c>
      <c r="T1175" s="80" t="s">
        <v>4</v>
      </c>
      <c r="U1175" s="72" t="s">
        <v>14</v>
      </c>
      <c r="V1175" s="72" t="s">
        <v>1937</v>
      </c>
      <c r="W1175" s="72" t="s">
        <v>1945</v>
      </c>
      <c r="X1175" s="72" t="s">
        <v>311</v>
      </c>
      <c r="Y1175" s="72" t="s">
        <v>3099</v>
      </c>
      <c r="Z1175" s="72" t="s">
        <v>4</v>
      </c>
    </row>
    <row r="1176" spans="1:26" ht="18.600000000000001" customHeight="1">
      <c r="A1176" s="142" t="str">
        <f>IF(priority(Main[[#This Row],[Comments]])&lt;&gt;0, priority(Main[[#This Row],[Comments]]),"")</f>
        <v/>
      </c>
      <c r="B1176" s="90" t="s">
        <v>2603</v>
      </c>
      <c r="C1176" s="72" t="s">
        <v>4</v>
      </c>
      <c r="D1176" s="73" t="s">
        <v>2886</v>
      </c>
      <c r="E1176" s="74">
        <v>40870.465879629628</v>
      </c>
      <c r="F1176" s="74"/>
      <c r="G1176" s="75" t="str">
        <f>IF(stdProdLT(Main[[#This Row],[Comments]])=0.1,"N/A",IF(stdProdLT(Main[[#This Row],[Comments]])=0,"",stdProdLT(Main[[#This Row],[Comments]])))</f>
        <v/>
      </c>
      <c r="H1176" s="76" t="str">
        <f>IF(AND(Main[[#This Row],[In Stock Date]]&lt;&gt;"",Main[[#This Row],[Revised Due Date]]&lt;&gt;""),Main[[#This Row],[In Stock Date]]-Main[[#This Row],[Revised Due Date]],"")</f>
        <v/>
      </c>
      <c r="I1176" s="72" t="s">
        <v>435</v>
      </c>
      <c r="J1176" s="72" t="s">
        <v>28</v>
      </c>
      <c r="K1176" s="72" t="s">
        <v>1946</v>
      </c>
      <c r="L1176" s="74"/>
      <c r="M1176" s="77" t="str">
        <f>IF(Main[[#This Row],[Tech Start Date]]&lt;1/1/1990,"",IF(Main[[#This Row],[Class]]="C",WORKDAY(Main[[#This Row],[Tech Start Date]],9),IF(Main[[#This Row],[Class]]="B", WORKDAY(Main[[#This Row],[Tech Start Date]],6),IF(Main[[#This Row],[Class]]="A",WORKDAY(Main[[#This Row],[Tech Start Date]],2),""))))</f>
        <v/>
      </c>
      <c r="N1176" s="77" t="str">
        <f>IF(Main[[#This Row],[Tech Start Date]]&lt;1/1/1990,"",IF(Main[[#This Row],[Class]]="C",WORKDAY(Main[[#This Row],[Tech Start Date]],19),IF(Main[[#This Row],[Class]]="B", WORKDAY(Main[[#This Row],[Tech Start Date]],12),IF(Main[[#This Row],[Class]]="A",WORKDAY(Main[[#This Row],[Tech Start Date]],4),""))))</f>
        <v/>
      </c>
      <c r="O1176" s="77" t="str">
        <f>IF(Main[[#This Row],[Tech Start Date]]&lt;1/1/1990,"",IF(Main[[#This Row],[Class]]="C",WORKDAY(Main[[#This Row],[Tech Start Date]],23),IF(Main[[#This Row],[Class]]="B", WORKDAY(Main[[#This Row],[Tech Start Date]],15),IF(Main[[#This Row],[Class]]="A",WORKDAY(Main[[#This Row],[Tech Start Date]],5),""))))</f>
        <v/>
      </c>
      <c r="P1176" s="77" t="str">
        <f>IF(Main[[#This Row],[Tech Start Date]]&lt;1/1/1990,"",IF(Main[[#This Row],[Class]]="C",WORKDAY(Main[[#This Row],[Tech Start Date]],28),IF(Main[[#This Row],[Class]]="B", WORKDAY(Main[[#This Row],[Tech Start Date]],19),IF(Main[[#This Row],[Class]]="A",WORKDAY(Main[[#This Row],[Tech Start Date]],9),""))))</f>
        <v/>
      </c>
      <c r="Q1176" s="74">
        <v>40905</v>
      </c>
      <c r="R1176" s="74"/>
      <c r="S1176" s="72" t="s">
        <v>6</v>
      </c>
      <c r="T1176" s="80" t="s">
        <v>4</v>
      </c>
      <c r="U1176" s="72" t="s">
        <v>29</v>
      </c>
      <c r="V1176" s="72" t="s">
        <v>1940</v>
      </c>
      <c r="W1176" s="72" t="s">
        <v>1941</v>
      </c>
      <c r="X1176" s="72" t="s">
        <v>2078</v>
      </c>
      <c r="Y1176" s="72" t="s">
        <v>3218</v>
      </c>
      <c r="Z1176" s="72" t="s">
        <v>30</v>
      </c>
    </row>
    <row r="1177" spans="1:26" ht="18.600000000000001" customHeight="1">
      <c r="A1177" s="142" t="str">
        <f>IF(priority(Main[[#This Row],[Comments]])&lt;&gt;0, priority(Main[[#This Row],[Comments]]),"")</f>
        <v/>
      </c>
      <c r="B1177" s="90" t="s">
        <v>2567</v>
      </c>
      <c r="C1177" s="72" t="s">
        <v>4</v>
      </c>
      <c r="D1177" s="73" t="s">
        <v>2887</v>
      </c>
      <c r="E1177" s="74">
        <v>40870.466527777775</v>
      </c>
      <c r="F1177" s="74"/>
      <c r="G1177" s="75" t="str">
        <f>IF(stdProdLT(Main[[#This Row],[Comments]])=0.1,"N/A",IF(stdProdLT(Main[[#This Row],[Comments]])=0,"",stdProdLT(Main[[#This Row],[Comments]])))</f>
        <v/>
      </c>
      <c r="H1177" s="76" t="str">
        <f>IF(AND(Main[[#This Row],[In Stock Date]]&lt;&gt;"",Main[[#This Row],[Revised Due Date]]&lt;&gt;""),Main[[#This Row],[In Stock Date]]-Main[[#This Row],[Revised Due Date]],"")</f>
        <v/>
      </c>
      <c r="I1177" s="72" t="s">
        <v>435</v>
      </c>
      <c r="J1177" s="72" t="s">
        <v>28</v>
      </c>
      <c r="K1177" s="81" t="s">
        <v>1946</v>
      </c>
      <c r="L1177" s="74"/>
      <c r="M1177" s="77" t="str">
        <f>IF(Main[[#This Row],[Tech Start Date]]&lt;1/1/1990,"",IF(Main[[#This Row],[Class]]="C",WORKDAY(Main[[#This Row],[Tech Start Date]],9),IF(Main[[#This Row],[Class]]="B", WORKDAY(Main[[#This Row],[Tech Start Date]],6),IF(Main[[#This Row],[Class]]="A",WORKDAY(Main[[#This Row],[Tech Start Date]],2),""))))</f>
        <v/>
      </c>
      <c r="N1177" s="77" t="str">
        <f>IF(Main[[#This Row],[Tech Start Date]]&lt;1/1/1990,"",IF(Main[[#This Row],[Class]]="C",WORKDAY(Main[[#This Row],[Tech Start Date]],19),IF(Main[[#This Row],[Class]]="B", WORKDAY(Main[[#This Row],[Tech Start Date]],12),IF(Main[[#This Row],[Class]]="A",WORKDAY(Main[[#This Row],[Tech Start Date]],4),""))))</f>
        <v/>
      </c>
      <c r="O1177" s="77" t="str">
        <f>IF(Main[[#This Row],[Tech Start Date]]&lt;1/1/1990,"",IF(Main[[#This Row],[Class]]="C",WORKDAY(Main[[#This Row],[Tech Start Date]],23),IF(Main[[#This Row],[Class]]="B", WORKDAY(Main[[#This Row],[Tech Start Date]],15),IF(Main[[#This Row],[Class]]="A",WORKDAY(Main[[#This Row],[Tech Start Date]],5),""))))</f>
        <v/>
      </c>
      <c r="P1177" s="77" t="str">
        <f>IF(Main[[#This Row],[Tech Start Date]]&lt;1/1/1990,"",IF(Main[[#This Row],[Class]]="C",WORKDAY(Main[[#This Row],[Tech Start Date]],28),IF(Main[[#This Row],[Class]]="B", WORKDAY(Main[[#This Row],[Tech Start Date]],19),IF(Main[[#This Row],[Class]]="A",WORKDAY(Main[[#This Row],[Tech Start Date]],9),""))))</f>
        <v/>
      </c>
      <c r="Q1177" s="74">
        <v>40905</v>
      </c>
      <c r="R1177" s="74"/>
      <c r="S1177" s="72" t="s">
        <v>6</v>
      </c>
      <c r="T1177" s="80" t="s">
        <v>4</v>
      </c>
      <c r="U1177" s="72" t="s">
        <v>29</v>
      </c>
      <c r="V1177" s="72" t="s">
        <v>1940</v>
      </c>
      <c r="W1177" s="72" t="s">
        <v>1941</v>
      </c>
      <c r="X1177" s="72" t="s">
        <v>2078</v>
      </c>
      <c r="Y1177" s="72" t="s">
        <v>3218</v>
      </c>
      <c r="Z1177" s="72" t="s">
        <v>30</v>
      </c>
    </row>
    <row r="1178" spans="1:26" ht="18.600000000000001" customHeight="1">
      <c r="A1178" s="142" t="str">
        <f>IF(priority(Main[[#This Row],[Comments]])&lt;&gt;0, priority(Main[[#This Row],[Comments]]),"")</f>
        <v/>
      </c>
      <c r="B1178" s="90" t="s">
        <v>2612</v>
      </c>
      <c r="C1178" s="72" t="s">
        <v>4</v>
      </c>
      <c r="D1178" s="73" t="s">
        <v>2611</v>
      </c>
      <c r="E1178" s="74"/>
      <c r="F1178" s="74"/>
      <c r="G1178" s="75" t="str">
        <f>IF(stdProdLT(Main[[#This Row],[Comments]])=0.1,"N/A",IF(stdProdLT(Main[[#This Row],[Comments]])=0,"",stdProdLT(Main[[#This Row],[Comments]])))</f>
        <v/>
      </c>
      <c r="H1178" s="76" t="str">
        <f>IF(AND(Main[[#This Row],[In Stock Date]]&lt;&gt;"",Main[[#This Row],[Revised Due Date]]&lt;&gt;""),Main[[#This Row],[In Stock Date]]-Main[[#This Row],[Revised Due Date]],"")</f>
        <v/>
      </c>
      <c r="I1178" s="72" t="s">
        <v>4</v>
      </c>
      <c r="J1178" s="72" t="s">
        <v>4</v>
      </c>
      <c r="K1178" s="72" t="s">
        <v>4</v>
      </c>
      <c r="L1178" s="74"/>
      <c r="M1178" s="77" t="str">
        <f>IF(Main[[#This Row],[Tech Start Date]]&lt;1/1/1990,"",IF(Main[[#This Row],[Class]]="C",WORKDAY(Main[[#This Row],[Tech Start Date]],9),IF(Main[[#This Row],[Class]]="B", WORKDAY(Main[[#This Row],[Tech Start Date]],6),IF(Main[[#This Row],[Class]]="A",WORKDAY(Main[[#This Row],[Tech Start Date]],2),""))))</f>
        <v/>
      </c>
      <c r="N1178" s="77" t="str">
        <f>IF(Main[[#This Row],[Tech Start Date]]&lt;1/1/1990,"",IF(Main[[#This Row],[Class]]="C",WORKDAY(Main[[#This Row],[Tech Start Date]],19),IF(Main[[#This Row],[Class]]="B", WORKDAY(Main[[#This Row],[Tech Start Date]],12),IF(Main[[#This Row],[Class]]="A",WORKDAY(Main[[#This Row],[Tech Start Date]],4),""))))</f>
        <v/>
      </c>
      <c r="O1178" s="77" t="str">
        <f>IF(Main[[#This Row],[Tech Start Date]]&lt;1/1/1990,"",IF(Main[[#This Row],[Class]]="C",WORKDAY(Main[[#This Row],[Tech Start Date]],23),IF(Main[[#This Row],[Class]]="B", WORKDAY(Main[[#This Row],[Tech Start Date]],15),IF(Main[[#This Row],[Class]]="A",WORKDAY(Main[[#This Row],[Tech Start Date]],5),""))))</f>
        <v/>
      </c>
      <c r="P1178" s="77" t="str">
        <f>IF(Main[[#This Row],[Tech Start Date]]&lt;1/1/1990,"",IF(Main[[#This Row],[Class]]="C",WORKDAY(Main[[#This Row],[Tech Start Date]],28),IF(Main[[#This Row],[Class]]="B", WORKDAY(Main[[#This Row],[Tech Start Date]],19),IF(Main[[#This Row],[Class]]="A",WORKDAY(Main[[#This Row],[Tech Start Date]],9),""))))</f>
        <v/>
      </c>
      <c r="Q1178" s="74">
        <v>40891</v>
      </c>
      <c r="R1178" s="74"/>
      <c r="S1178" s="72" t="s">
        <v>6</v>
      </c>
      <c r="T1178" s="80" t="s">
        <v>4</v>
      </c>
      <c r="U1178" s="72" t="s">
        <v>12</v>
      </c>
      <c r="V1178" s="72" t="s">
        <v>1940</v>
      </c>
      <c r="W1178" s="72" t="s">
        <v>4</v>
      </c>
      <c r="X1178" s="72" t="s">
        <v>2974</v>
      </c>
      <c r="Y1178" s="72" t="s">
        <v>3096</v>
      </c>
      <c r="Z1178" s="72" t="s">
        <v>4</v>
      </c>
    </row>
    <row r="1179" spans="1:26" ht="18.600000000000001" customHeight="1">
      <c r="A1179" s="142" t="str">
        <f>IF(priority(Main[[#This Row],[Comments]])&lt;&gt;0, priority(Main[[#This Row],[Comments]]),"")</f>
        <v/>
      </c>
      <c r="B1179" s="90" t="s">
        <v>1893</v>
      </c>
      <c r="C1179" s="72" t="s">
        <v>4</v>
      </c>
      <c r="D1179" s="73" t="s">
        <v>2888</v>
      </c>
      <c r="E1179" s="74">
        <v>40352.443437499998</v>
      </c>
      <c r="F1179" s="74"/>
      <c r="G1179" s="75" t="str">
        <f>IF(stdProdLT(Main[[#This Row],[Comments]])=0.1,"N/A",IF(stdProdLT(Main[[#This Row],[Comments]])=0,"",stdProdLT(Main[[#This Row],[Comments]])))</f>
        <v/>
      </c>
      <c r="H1179" s="76" t="str">
        <f>IF(AND(Main[[#This Row],[In Stock Date]]&lt;&gt;"",Main[[#This Row],[Revised Due Date]]&lt;&gt;""),Main[[#This Row],[In Stock Date]]-Main[[#This Row],[Revised Due Date]],"")</f>
        <v/>
      </c>
      <c r="I1179" s="72" t="s">
        <v>719</v>
      </c>
      <c r="J1179" s="72" t="s">
        <v>28</v>
      </c>
      <c r="K1179" s="72" t="s">
        <v>1949</v>
      </c>
      <c r="L1179" s="74"/>
      <c r="M1179" s="77" t="str">
        <f>IF(Main[[#This Row],[Tech Start Date]]&lt;1/1/1990,"",IF(Main[[#This Row],[Class]]="C",WORKDAY(Main[[#This Row],[Tech Start Date]],9),IF(Main[[#This Row],[Class]]="B", WORKDAY(Main[[#This Row],[Tech Start Date]],6),IF(Main[[#This Row],[Class]]="A",WORKDAY(Main[[#This Row],[Tech Start Date]],2),""))))</f>
        <v/>
      </c>
      <c r="N1179" s="77" t="str">
        <f>IF(Main[[#This Row],[Tech Start Date]]&lt;1/1/1990,"",IF(Main[[#This Row],[Class]]="C",WORKDAY(Main[[#This Row],[Tech Start Date]],19),IF(Main[[#This Row],[Class]]="B", WORKDAY(Main[[#This Row],[Tech Start Date]],12),IF(Main[[#This Row],[Class]]="A",WORKDAY(Main[[#This Row],[Tech Start Date]],4),""))))</f>
        <v/>
      </c>
      <c r="O1179" s="77" t="str">
        <f>IF(Main[[#This Row],[Tech Start Date]]&lt;1/1/1990,"",IF(Main[[#This Row],[Class]]="C",WORKDAY(Main[[#This Row],[Tech Start Date]],23),IF(Main[[#This Row],[Class]]="B", WORKDAY(Main[[#This Row],[Tech Start Date]],15),IF(Main[[#This Row],[Class]]="A",WORKDAY(Main[[#This Row],[Tech Start Date]],5),""))))</f>
        <v/>
      </c>
      <c r="P1179" s="77" t="str">
        <f>IF(Main[[#This Row],[Tech Start Date]]&lt;1/1/1990,"",IF(Main[[#This Row],[Class]]="C",WORKDAY(Main[[#This Row],[Tech Start Date]],28),IF(Main[[#This Row],[Class]]="B", WORKDAY(Main[[#This Row],[Tech Start Date]],19),IF(Main[[#This Row],[Class]]="A",WORKDAY(Main[[#This Row],[Tech Start Date]],9),""))))</f>
        <v/>
      </c>
      <c r="Q1179" s="74">
        <v>40633</v>
      </c>
      <c r="R1179" s="74">
        <v>41060</v>
      </c>
      <c r="S1179" s="72" t="s">
        <v>17</v>
      </c>
      <c r="T1179" s="80" t="s">
        <v>2514</v>
      </c>
      <c r="U1179" s="72" t="s">
        <v>29</v>
      </c>
      <c r="V1179" s="72" t="s">
        <v>1937</v>
      </c>
      <c r="W1179" s="72" t="s">
        <v>1942</v>
      </c>
      <c r="X1179" s="72" t="s">
        <v>129</v>
      </c>
      <c r="Y1179" s="72" t="s">
        <v>3091</v>
      </c>
      <c r="Z1179" s="72" t="s">
        <v>129</v>
      </c>
    </row>
    <row r="1180" spans="1:26" ht="18.600000000000001" customHeight="1">
      <c r="A1180" s="142" t="str">
        <f>IF(priority(Main[[#This Row],[Comments]])&lt;&gt;0, priority(Main[[#This Row],[Comments]]),"")</f>
        <v/>
      </c>
      <c r="B1180" s="90" t="s">
        <v>2889</v>
      </c>
      <c r="C1180" s="72" t="s">
        <v>4</v>
      </c>
      <c r="D1180" s="73" t="s">
        <v>2890</v>
      </c>
      <c r="E1180" s="74">
        <v>40914.408773148149</v>
      </c>
      <c r="F1180" s="74"/>
      <c r="G1180" s="75" t="str">
        <f>IF(stdProdLT(Main[[#This Row],[Comments]])=0.1,"N/A",IF(stdProdLT(Main[[#This Row],[Comments]])=0,"",stdProdLT(Main[[#This Row],[Comments]])))</f>
        <v/>
      </c>
      <c r="H1180" s="76" t="str">
        <f>IF(AND(Main[[#This Row],[In Stock Date]]&lt;&gt;"",Main[[#This Row],[Revised Due Date]]&lt;&gt;""),Main[[#This Row],[In Stock Date]]-Main[[#This Row],[Revised Due Date]],"")</f>
        <v/>
      </c>
      <c r="I1180" s="72" t="s">
        <v>4</v>
      </c>
      <c r="J1180" s="72" t="s">
        <v>4</v>
      </c>
      <c r="K1180" s="81" t="s">
        <v>4</v>
      </c>
      <c r="L1180" s="74"/>
      <c r="M1180" s="77" t="str">
        <f>IF(Main[[#This Row],[Tech Start Date]]&lt;1/1/1990,"",IF(Main[[#This Row],[Class]]="C",WORKDAY(Main[[#This Row],[Tech Start Date]],9),IF(Main[[#This Row],[Class]]="B", WORKDAY(Main[[#This Row],[Tech Start Date]],6),IF(Main[[#This Row],[Class]]="A",WORKDAY(Main[[#This Row],[Tech Start Date]],2),""))))</f>
        <v/>
      </c>
      <c r="N1180" s="77" t="str">
        <f>IF(Main[[#This Row],[Tech Start Date]]&lt;1/1/1990,"",IF(Main[[#This Row],[Class]]="C",WORKDAY(Main[[#This Row],[Tech Start Date]],19),IF(Main[[#This Row],[Class]]="B", WORKDAY(Main[[#This Row],[Tech Start Date]],12),IF(Main[[#This Row],[Class]]="A",WORKDAY(Main[[#This Row],[Tech Start Date]],4),""))))</f>
        <v/>
      </c>
      <c r="O1180" s="77" t="str">
        <f>IF(Main[[#This Row],[Tech Start Date]]&lt;1/1/1990,"",IF(Main[[#This Row],[Class]]="C",WORKDAY(Main[[#This Row],[Tech Start Date]],23),IF(Main[[#This Row],[Class]]="B", WORKDAY(Main[[#This Row],[Tech Start Date]],15),IF(Main[[#This Row],[Class]]="A",WORKDAY(Main[[#This Row],[Tech Start Date]],5),""))))</f>
        <v/>
      </c>
      <c r="P1180" s="77" t="str">
        <f>IF(Main[[#This Row],[Tech Start Date]]&lt;1/1/1990,"",IF(Main[[#This Row],[Class]]="C",WORKDAY(Main[[#This Row],[Tech Start Date]],28),IF(Main[[#This Row],[Class]]="B", WORKDAY(Main[[#This Row],[Tech Start Date]],19),IF(Main[[#This Row],[Class]]="A",WORKDAY(Main[[#This Row],[Tech Start Date]],9),""))))</f>
        <v/>
      </c>
      <c r="Q1180" s="74"/>
      <c r="R1180" s="74"/>
      <c r="S1180" s="72" t="s">
        <v>6</v>
      </c>
      <c r="T1180" s="80" t="s">
        <v>4</v>
      </c>
      <c r="U1180" s="72" t="s">
        <v>29</v>
      </c>
      <c r="V1180" s="72" t="s">
        <v>1937</v>
      </c>
      <c r="W1180" s="72" t="s">
        <v>1941</v>
      </c>
      <c r="X1180" s="72" t="s">
        <v>953</v>
      </c>
      <c r="Y1180" s="72" t="s">
        <v>3142</v>
      </c>
      <c r="Z1180" s="72" t="s">
        <v>4</v>
      </c>
    </row>
    <row r="1181" spans="1:26" ht="18.600000000000001" customHeight="1">
      <c r="A1181" s="142" t="str">
        <f>IF(priority(Main[[#This Row],[Comments]])&lt;&gt;0, priority(Main[[#This Row],[Comments]]),"")</f>
        <v/>
      </c>
      <c r="B1181" s="90" t="s">
        <v>3550</v>
      </c>
      <c r="C1181" s="72" t="s">
        <v>4</v>
      </c>
      <c r="D1181" s="73" t="s">
        <v>3575</v>
      </c>
      <c r="E1181" s="74">
        <v>40927.663657407407</v>
      </c>
      <c r="F1181" s="74">
        <v>40940</v>
      </c>
      <c r="G1181" s="75" t="str">
        <f>IF(stdProdLT(Main[[#This Row],[Comments]])=0.1,"N/A",IF(stdProdLT(Main[[#This Row],[Comments]])=0,"",stdProdLT(Main[[#This Row],[Comments]])))</f>
        <v/>
      </c>
      <c r="H1181" s="76" t="str">
        <f>IF(AND(Main[[#This Row],[In Stock Date]]&lt;&gt;"",Main[[#This Row],[Revised Due Date]]&lt;&gt;""),Main[[#This Row],[In Stock Date]]-Main[[#This Row],[Revised Due Date]],"")</f>
        <v/>
      </c>
      <c r="I1181" s="72" t="s">
        <v>2071</v>
      </c>
      <c r="J1181" s="72" t="s">
        <v>28</v>
      </c>
      <c r="K1181" s="72" t="s">
        <v>1946</v>
      </c>
      <c r="L1181" s="74"/>
      <c r="M1181" s="77" t="str">
        <f>IF(Main[[#This Row],[Tech Start Date]]&lt;1/1/1990,"",IF(Main[[#This Row],[Class]]="C",WORKDAY(Main[[#This Row],[Tech Start Date]],9),IF(Main[[#This Row],[Class]]="B", WORKDAY(Main[[#This Row],[Tech Start Date]],6),IF(Main[[#This Row],[Class]]="A",WORKDAY(Main[[#This Row],[Tech Start Date]],2),""))))</f>
        <v/>
      </c>
      <c r="N1181" s="77" t="str">
        <f>IF(Main[[#This Row],[Tech Start Date]]&lt;1/1/1990,"",IF(Main[[#This Row],[Class]]="C",WORKDAY(Main[[#This Row],[Tech Start Date]],19),IF(Main[[#This Row],[Class]]="B", WORKDAY(Main[[#This Row],[Tech Start Date]],12),IF(Main[[#This Row],[Class]]="A",WORKDAY(Main[[#This Row],[Tech Start Date]],4),""))))</f>
        <v/>
      </c>
      <c r="O1181" s="77" t="str">
        <f>IF(Main[[#This Row],[Tech Start Date]]&lt;1/1/1990,"",IF(Main[[#This Row],[Class]]="C",WORKDAY(Main[[#This Row],[Tech Start Date]],23),IF(Main[[#This Row],[Class]]="B", WORKDAY(Main[[#This Row],[Tech Start Date]],15),IF(Main[[#This Row],[Class]]="A",WORKDAY(Main[[#This Row],[Tech Start Date]],5),""))))</f>
        <v/>
      </c>
      <c r="P1181" s="77" t="str">
        <f>IF(Main[[#This Row],[Tech Start Date]]&lt;1/1/1990,"",IF(Main[[#This Row],[Class]]="C",WORKDAY(Main[[#This Row],[Tech Start Date]],28),IF(Main[[#This Row],[Class]]="B", WORKDAY(Main[[#This Row],[Tech Start Date]],19),IF(Main[[#This Row],[Class]]="A",WORKDAY(Main[[#This Row],[Tech Start Date]],9),""))))</f>
        <v/>
      </c>
      <c r="Q1181" s="74">
        <v>40940</v>
      </c>
      <c r="R1181" s="74"/>
      <c r="S1181" s="72" t="s">
        <v>6</v>
      </c>
      <c r="T1181" s="80" t="s">
        <v>4</v>
      </c>
      <c r="U1181" s="72" t="s">
        <v>29</v>
      </c>
      <c r="V1181" s="72" t="s">
        <v>1940</v>
      </c>
      <c r="W1181" s="72" t="s">
        <v>1945</v>
      </c>
      <c r="X1181" s="72" t="s">
        <v>3047</v>
      </c>
      <c r="Y1181" s="72" t="s">
        <v>3218</v>
      </c>
      <c r="Z1181" s="72" t="s">
        <v>30</v>
      </c>
    </row>
    <row r="1182" spans="1:26" ht="18.600000000000001" customHeight="1">
      <c r="A1182" s="142" t="str">
        <f>IF(priority(Main[[#This Row],[Comments]])&lt;&gt;0, priority(Main[[#This Row],[Comments]]),"")</f>
        <v/>
      </c>
      <c r="B1182" s="90" t="s">
        <v>2305</v>
      </c>
      <c r="C1182" s="72" t="s">
        <v>4</v>
      </c>
      <c r="D1182" s="73" t="s">
        <v>2613</v>
      </c>
      <c r="E1182" s="74">
        <v>40809.3827662037</v>
      </c>
      <c r="F1182" s="74"/>
      <c r="G1182" s="75" t="str">
        <f>IF(stdProdLT(Main[[#This Row],[Comments]])=0.1,"N/A",IF(stdProdLT(Main[[#This Row],[Comments]])=0,"",stdProdLT(Main[[#This Row],[Comments]])))</f>
        <v/>
      </c>
      <c r="H1182" s="76" t="str">
        <f>IF(AND(Main[[#This Row],[In Stock Date]]&lt;&gt;"",Main[[#This Row],[Revised Due Date]]&lt;&gt;""),Main[[#This Row],[In Stock Date]]-Main[[#This Row],[Revised Due Date]],"")</f>
        <v/>
      </c>
      <c r="I1182" s="72" t="s">
        <v>927</v>
      </c>
      <c r="J1182" s="72" t="s">
        <v>52</v>
      </c>
      <c r="K1182" s="72" t="s">
        <v>4</v>
      </c>
      <c r="L1182" s="74"/>
      <c r="M1182" s="77" t="str">
        <f>IF(Main[[#This Row],[Tech Start Date]]&lt;1/1/1990,"",IF(Main[[#This Row],[Class]]="C",WORKDAY(Main[[#This Row],[Tech Start Date]],9),IF(Main[[#This Row],[Class]]="B", WORKDAY(Main[[#This Row],[Tech Start Date]],6),IF(Main[[#This Row],[Class]]="A",WORKDAY(Main[[#This Row],[Tech Start Date]],2),""))))</f>
        <v/>
      </c>
      <c r="N1182" s="77" t="str">
        <f>IF(Main[[#This Row],[Tech Start Date]]&lt;1/1/1990,"",IF(Main[[#This Row],[Class]]="C",WORKDAY(Main[[#This Row],[Tech Start Date]],19),IF(Main[[#This Row],[Class]]="B", WORKDAY(Main[[#This Row],[Tech Start Date]],12),IF(Main[[#This Row],[Class]]="A",WORKDAY(Main[[#This Row],[Tech Start Date]],4),""))))</f>
        <v/>
      </c>
      <c r="O1182" s="77" t="str">
        <f>IF(Main[[#This Row],[Tech Start Date]]&lt;1/1/1990,"",IF(Main[[#This Row],[Class]]="C",WORKDAY(Main[[#This Row],[Tech Start Date]],23),IF(Main[[#This Row],[Class]]="B", WORKDAY(Main[[#This Row],[Tech Start Date]],15),IF(Main[[#This Row],[Class]]="A",WORKDAY(Main[[#This Row],[Tech Start Date]],5),""))))</f>
        <v/>
      </c>
      <c r="P1182" s="77" t="str">
        <f>IF(Main[[#This Row],[Tech Start Date]]&lt;1/1/1990,"",IF(Main[[#This Row],[Class]]="C",WORKDAY(Main[[#This Row],[Tech Start Date]],28),IF(Main[[#This Row],[Class]]="B", WORKDAY(Main[[#This Row],[Tech Start Date]],19),IF(Main[[#This Row],[Class]]="A",WORKDAY(Main[[#This Row],[Tech Start Date]],9),""))))</f>
        <v/>
      </c>
      <c r="Q1182" s="74"/>
      <c r="R1182" s="74">
        <v>40840</v>
      </c>
      <c r="S1182" s="72" t="s">
        <v>6</v>
      </c>
      <c r="T1182" s="80" t="s">
        <v>4</v>
      </c>
      <c r="U1182" s="72" t="s">
        <v>29</v>
      </c>
      <c r="V1182" s="72" t="s">
        <v>1937</v>
      </c>
      <c r="W1182" s="72" t="s">
        <v>1941</v>
      </c>
      <c r="X1182" s="72" t="s">
        <v>311</v>
      </c>
      <c r="Y1182" s="72" t="s">
        <v>4</v>
      </c>
      <c r="Z1182" s="72" t="s">
        <v>129</v>
      </c>
    </row>
    <row r="1183" spans="1:26" ht="18.600000000000001" customHeight="1">
      <c r="A1183" s="142" t="str">
        <f>IF(priority(Main[[#This Row],[Comments]])&lt;&gt;0, priority(Main[[#This Row],[Comments]]),"")</f>
        <v/>
      </c>
      <c r="B1183" s="90" t="s">
        <v>2813</v>
      </c>
      <c r="C1183" s="72" t="s">
        <v>4</v>
      </c>
      <c r="D1183" s="73" t="s">
        <v>2814</v>
      </c>
      <c r="E1183" s="74">
        <v>40884.635914351849</v>
      </c>
      <c r="F1183" s="74"/>
      <c r="G1183" s="75" t="str">
        <f>IF(stdProdLT(Main[[#This Row],[Comments]])=0.1,"N/A",IF(stdProdLT(Main[[#This Row],[Comments]])=0,"",stdProdLT(Main[[#This Row],[Comments]])))</f>
        <v/>
      </c>
      <c r="H1183" s="76" t="str">
        <f>IF(AND(Main[[#This Row],[In Stock Date]]&lt;&gt;"",Main[[#This Row],[Revised Due Date]]&lt;&gt;""),Main[[#This Row],[In Stock Date]]-Main[[#This Row],[Revised Due Date]],"")</f>
        <v/>
      </c>
      <c r="I1183" s="72" t="s">
        <v>4</v>
      </c>
      <c r="J1183" s="72" t="s">
        <v>4</v>
      </c>
      <c r="K1183" s="72" t="s">
        <v>4</v>
      </c>
      <c r="L1183" s="74"/>
      <c r="M1183" s="77" t="str">
        <f>IF(Main[[#This Row],[Tech Start Date]]&lt;1/1/1990,"",IF(Main[[#This Row],[Class]]="C",WORKDAY(Main[[#This Row],[Tech Start Date]],9),IF(Main[[#This Row],[Class]]="B", WORKDAY(Main[[#This Row],[Tech Start Date]],6),IF(Main[[#This Row],[Class]]="A",WORKDAY(Main[[#This Row],[Tech Start Date]],2),""))))</f>
        <v/>
      </c>
      <c r="N1183" s="77" t="str">
        <f>IF(Main[[#This Row],[Tech Start Date]]&lt;1/1/1990,"",IF(Main[[#This Row],[Class]]="C",WORKDAY(Main[[#This Row],[Tech Start Date]],19),IF(Main[[#This Row],[Class]]="B", WORKDAY(Main[[#This Row],[Tech Start Date]],12),IF(Main[[#This Row],[Class]]="A",WORKDAY(Main[[#This Row],[Tech Start Date]],4),""))))</f>
        <v/>
      </c>
      <c r="O1183" s="77" t="str">
        <f>IF(Main[[#This Row],[Tech Start Date]]&lt;1/1/1990,"",IF(Main[[#This Row],[Class]]="C",WORKDAY(Main[[#This Row],[Tech Start Date]],23),IF(Main[[#This Row],[Class]]="B", WORKDAY(Main[[#This Row],[Tech Start Date]],15),IF(Main[[#This Row],[Class]]="A",WORKDAY(Main[[#This Row],[Tech Start Date]],5),""))))</f>
        <v/>
      </c>
      <c r="P1183" s="77" t="str">
        <f>IF(Main[[#This Row],[Tech Start Date]]&lt;1/1/1990,"",IF(Main[[#This Row],[Class]]="C",WORKDAY(Main[[#This Row],[Tech Start Date]],28),IF(Main[[#This Row],[Class]]="B", WORKDAY(Main[[#This Row],[Tech Start Date]],19),IF(Main[[#This Row],[Class]]="A",WORKDAY(Main[[#This Row],[Tech Start Date]],9),""))))</f>
        <v/>
      </c>
      <c r="Q1183" s="74">
        <v>41000</v>
      </c>
      <c r="R1183" s="74"/>
      <c r="S1183" s="72" t="s">
        <v>11</v>
      </c>
      <c r="T1183" s="80" t="s">
        <v>4</v>
      </c>
      <c r="U1183" s="72" t="s">
        <v>7</v>
      </c>
      <c r="V1183" s="72" t="s">
        <v>1952</v>
      </c>
      <c r="W1183" s="72" t="s">
        <v>1942</v>
      </c>
      <c r="X1183" s="72" t="s">
        <v>937</v>
      </c>
      <c r="Y1183" s="72" t="s">
        <v>3230</v>
      </c>
      <c r="Z1183" s="72" t="s">
        <v>4</v>
      </c>
    </row>
    <row r="1184" spans="1:26" ht="18.600000000000001" customHeight="1">
      <c r="A1184" s="143" t="str">
        <f>IF(priority(Main[[#This Row],[Comments]])&lt;&gt;0, priority(Main[[#This Row],[Comments]]),"")</f>
        <v/>
      </c>
      <c r="B1184" s="90" t="s">
        <v>2730</v>
      </c>
      <c r="C1184" s="83" t="s">
        <v>4</v>
      </c>
      <c r="D1184" s="84" t="s">
        <v>2731</v>
      </c>
      <c r="E1184" s="85"/>
      <c r="F1184" s="85"/>
      <c r="G1184" s="83" t="str">
        <f>IF(stdProdLT(Main[[#This Row],[Comments]])=0.1,"N/A",IF(stdProdLT(Main[[#This Row],[Comments]])=0,"",stdProdLT(Main[[#This Row],[Comments]])))</f>
        <v/>
      </c>
      <c r="H1184" s="86" t="str">
        <f>IF(AND(Main[[#This Row],[In Stock Date]]&lt;&gt;"",Main[[#This Row],[Revised Due Date]]&lt;&gt;""),Main[[#This Row],[In Stock Date]]-Main[[#This Row],[Revised Due Date]],"")</f>
        <v/>
      </c>
      <c r="I1184" s="83" t="s">
        <v>4</v>
      </c>
      <c r="J1184" s="83" t="s">
        <v>4</v>
      </c>
      <c r="K1184" s="83" t="s">
        <v>4</v>
      </c>
      <c r="L1184" s="85"/>
      <c r="M1184" s="87" t="str">
        <f>IF(Main[[#This Row],[Tech Start Date]]&lt;1/1/1990,"",IF(Main[[#This Row],[Class]]="C",WORKDAY(Main[[#This Row],[Tech Start Date]],9),IF(Main[[#This Row],[Class]]="B", WORKDAY(Main[[#This Row],[Tech Start Date]],6),IF(Main[[#This Row],[Class]]="A",WORKDAY(Main[[#This Row],[Tech Start Date]],2),""))))</f>
        <v/>
      </c>
      <c r="N1184" s="87" t="str">
        <f>IF(Main[[#This Row],[Tech Start Date]]&lt;1/1/1990,"",IF(Main[[#This Row],[Class]]="C",WORKDAY(Main[[#This Row],[Tech Start Date]],19),IF(Main[[#This Row],[Class]]="B", WORKDAY(Main[[#This Row],[Tech Start Date]],12),IF(Main[[#This Row],[Class]]="A",WORKDAY(Main[[#This Row],[Tech Start Date]],4),""))))</f>
        <v/>
      </c>
      <c r="O1184" s="87" t="str">
        <f>IF(Main[[#This Row],[Tech Start Date]]&lt;1/1/1990,"",IF(Main[[#This Row],[Class]]="C",WORKDAY(Main[[#This Row],[Tech Start Date]],23),IF(Main[[#This Row],[Class]]="B", WORKDAY(Main[[#This Row],[Tech Start Date]],15),IF(Main[[#This Row],[Class]]="A",WORKDAY(Main[[#This Row],[Tech Start Date]],5),""))))</f>
        <v/>
      </c>
      <c r="P1184" s="87" t="str">
        <f>IF(Main[[#This Row],[Tech Start Date]]&lt;1/1/1990,"",IF(Main[[#This Row],[Class]]="C",WORKDAY(Main[[#This Row],[Tech Start Date]],28),IF(Main[[#This Row],[Class]]="B", WORKDAY(Main[[#This Row],[Tech Start Date]],19),IF(Main[[#This Row],[Class]]="A",WORKDAY(Main[[#This Row],[Tech Start Date]],9),""))))</f>
        <v/>
      </c>
      <c r="Q1184" s="85">
        <v>40884</v>
      </c>
      <c r="R1184" s="85"/>
      <c r="S1184" s="83" t="s">
        <v>4</v>
      </c>
      <c r="T1184" s="88" t="s">
        <v>4</v>
      </c>
      <c r="U1184" s="83" t="s">
        <v>14</v>
      </c>
      <c r="V1184" s="83" t="s">
        <v>1947</v>
      </c>
      <c r="W1184" s="83" t="s">
        <v>1945</v>
      </c>
      <c r="X1184" s="83" t="s">
        <v>3009</v>
      </c>
      <c r="Y1184" s="83" t="s">
        <v>3156</v>
      </c>
      <c r="Z1184" s="83" t="s">
        <v>4</v>
      </c>
    </row>
    <row r="1185" spans="1:26" ht="18.600000000000001" customHeight="1">
      <c r="A1185" s="142" t="str">
        <f>IF(priority(Main[[#This Row],[Comments]])&lt;&gt;0, priority(Main[[#This Row],[Comments]]),"")</f>
        <v/>
      </c>
      <c r="B1185" s="90" t="s">
        <v>1730</v>
      </c>
      <c r="C1185" s="72" t="s">
        <v>31</v>
      </c>
      <c r="D1185" s="73" t="s">
        <v>780</v>
      </c>
      <c r="E1185" s="74"/>
      <c r="F1185" s="74">
        <v>40664</v>
      </c>
      <c r="G1185" s="75" t="str">
        <f>IF(stdProdLT(Main[[#This Row],[Comments]])=0.1,"N/A",IF(stdProdLT(Main[[#This Row],[Comments]])=0,"",stdProdLT(Main[[#This Row],[Comments]])))</f>
        <v/>
      </c>
      <c r="H1185" s="76" t="str">
        <f>IF(AND(Main[[#This Row],[In Stock Date]]&lt;&gt;"",Main[[#This Row],[Revised Due Date]]&lt;&gt;""),Main[[#This Row],[In Stock Date]]-Main[[#This Row],[Revised Due Date]],"")</f>
        <v/>
      </c>
      <c r="I1185" s="72" t="s">
        <v>4</v>
      </c>
      <c r="J1185" s="72" t="s">
        <v>28</v>
      </c>
      <c r="K1185" s="72" t="s">
        <v>4</v>
      </c>
      <c r="L1185" s="74"/>
      <c r="M1185" s="77" t="str">
        <f>IF(Main[[#This Row],[Tech Start Date]]&lt;1/1/1990,"",IF(Main[[#This Row],[Class]]="C",WORKDAY(Main[[#This Row],[Tech Start Date]],9),IF(Main[[#This Row],[Class]]="B", WORKDAY(Main[[#This Row],[Tech Start Date]],6),IF(Main[[#This Row],[Class]]="A",WORKDAY(Main[[#This Row],[Tech Start Date]],2),""))))</f>
        <v/>
      </c>
      <c r="N1185" s="77" t="str">
        <f>IF(Main[[#This Row],[Tech Start Date]]&lt;1/1/1990,"",IF(Main[[#This Row],[Class]]="C",WORKDAY(Main[[#This Row],[Tech Start Date]],19),IF(Main[[#This Row],[Class]]="B", WORKDAY(Main[[#This Row],[Tech Start Date]],12),IF(Main[[#This Row],[Class]]="A",WORKDAY(Main[[#This Row],[Tech Start Date]],4),""))))</f>
        <v/>
      </c>
      <c r="O1185" s="77" t="str">
        <f>IF(Main[[#This Row],[Tech Start Date]]&lt;1/1/1990,"",IF(Main[[#This Row],[Class]]="C",WORKDAY(Main[[#This Row],[Tech Start Date]],23),IF(Main[[#This Row],[Class]]="B", WORKDAY(Main[[#This Row],[Tech Start Date]],15),IF(Main[[#This Row],[Class]]="A",WORKDAY(Main[[#This Row],[Tech Start Date]],5),""))))</f>
        <v/>
      </c>
      <c r="P1185" s="77" t="str">
        <f>IF(Main[[#This Row],[Tech Start Date]]&lt;1/1/1990,"",IF(Main[[#This Row],[Class]]="C",WORKDAY(Main[[#This Row],[Tech Start Date]],28),IF(Main[[#This Row],[Class]]="B", WORKDAY(Main[[#This Row],[Tech Start Date]],19),IF(Main[[#This Row],[Class]]="A",WORKDAY(Main[[#This Row],[Tech Start Date]],9),""))))</f>
        <v/>
      </c>
      <c r="Q1185" s="74">
        <v>40589</v>
      </c>
      <c r="R1185" s="74"/>
      <c r="S1185" s="72" t="s">
        <v>11</v>
      </c>
      <c r="T1185" s="80" t="s">
        <v>4</v>
      </c>
      <c r="U1185" s="72" t="s">
        <v>14</v>
      </c>
      <c r="V1185" s="72" t="s">
        <v>1940</v>
      </c>
      <c r="W1185" s="72" t="s">
        <v>1943</v>
      </c>
      <c r="X1185" s="72" t="s">
        <v>50</v>
      </c>
      <c r="Y1185" s="72" t="s">
        <v>3281</v>
      </c>
      <c r="Z1185" s="72" t="s">
        <v>30</v>
      </c>
    </row>
    <row r="1186" spans="1:26" ht="18.600000000000001" customHeight="1">
      <c r="A1186" s="142" t="str">
        <f>IF(priority(Main[[#This Row],[Comments]])&lt;&gt;0, priority(Main[[#This Row],[Comments]]),"")</f>
        <v/>
      </c>
      <c r="B1186" s="90" t="s">
        <v>1053</v>
      </c>
      <c r="C1186" s="72" t="s">
        <v>33</v>
      </c>
      <c r="D1186" s="73" t="s">
        <v>2957</v>
      </c>
      <c r="E1186" s="74">
        <v>40345.428090277775</v>
      </c>
      <c r="F1186" s="74"/>
      <c r="G1186" s="75" t="str">
        <f>IF(stdProdLT(Main[[#This Row],[Comments]])=0.1,"N/A",IF(stdProdLT(Main[[#This Row],[Comments]])=0,"",stdProdLT(Main[[#This Row],[Comments]])))</f>
        <v/>
      </c>
      <c r="H1186" s="76" t="str">
        <f>IF(AND(Main[[#This Row],[In Stock Date]]&lt;&gt;"",Main[[#This Row],[Revised Due Date]]&lt;&gt;""),Main[[#This Row],[In Stock Date]]-Main[[#This Row],[Revised Due Date]],"")</f>
        <v/>
      </c>
      <c r="I1186" s="72" t="s">
        <v>985</v>
      </c>
      <c r="J1186" s="72" t="s">
        <v>28</v>
      </c>
      <c r="K1186" s="72" t="s">
        <v>4</v>
      </c>
      <c r="L1186" s="74"/>
      <c r="M1186" s="77" t="str">
        <f>IF(Main[[#This Row],[Tech Start Date]]&lt;1/1/1990,"",IF(Main[[#This Row],[Class]]="C",WORKDAY(Main[[#This Row],[Tech Start Date]],9),IF(Main[[#This Row],[Class]]="B", WORKDAY(Main[[#This Row],[Tech Start Date]],6),IF(Main[[#This Row],[Class]]="A",WORKDAY(Main[[#This Row],[Tech Start Date]],2),""))))</f>
        <v/>
      </c>
      <c r="N1186" s="77" t="str">
        <f>IF(Main[[#This Row],[Tech Start Date]]&lt;1/1/1990,"",IF(Main[[#This Row],[Class]]="C",WORKDAY(Main[[#This Row],[Tech Start Date]],19),IF(Main[[#This Row],[Class]]="B", WORKDAY(Main[[#This Row],[Tech Start Date]],12),IF(Main[[#This Row],[Class]]="A",WORKDAY(Main[[#This Row],[Tech Start Date]],4),""))))</f>
        <v/>
      </c>
      <c r="O1186" s="77" t="str">
        <f>IF(Main[[#This Row],[Tech Start Date]]&lt;1/1/1990,"",IF(Main[[#This Row],[Class]]="C",WORKDAY(Main[[#This Row],[Tech Start Date]],23),IF(Main[[#This Row],[Class]]="B", WORKDAY(Main[[#This Row],[Tech Start Date]],15),IF(Main[[#This Row],[Class]]="A",WORKDAY(Main[[#This Row],[Tech Start Date]],5),""))))</f>
        <v/>
      </c>
      <c r="P1186" s="77" t="str">
        <f>IF(Main[[#This Row],[Tech Start Date]]&lt;1/1/1990,"",IF(Main[[#This Row],[Class]]="C",WORKDAY(Main[[#This Row],[Tech Start Date]],28),IF(Main[[#This Row],[Class]]="B", WORKDAY(Main[[#This Row],[Tech Start Date]],19),IF(Main[[#This Row],[Class]]="A",WORKDAY(Main[[#This Row],[Tech Start Date]],9),""))))</f>
        <v/>
      </c>
      <c r="Q1186" s="74">
        <v>40384</v>
      </c>
      <c r="R1186" s="74">
        <v>41029</v>
      </c>
      <c r="S1186" s="72" t="s">
        <v>17</v>
      </c>
      <c r="T1186" s="80" t="s">
        <v>2354</v>
      </c>
      <c r="U1186" s="72" t="s">
        <v>29</v>
      </c>
      <c r="V1186" s="72" t="s">
        <v>1937</v>
      </c>
      <c r="W1186" s="72" t="s">
        <v>1942</v>
      </c>
      <c r="X1186" s="72" t="s">
        <v>3027</v>
      </c>
      <c r="Y1186" s="72" t="s">
        <v>3179</v>
      </c>
      <c r="Z1186" s="72" t="s">
        <v>129</v>
      </c>
    </row>
    <row r="1187" spans="1:26" ht="18.600000000000001" customHeight="1">
      <c r="A1187" s="142" t="str">
        <f>IF(priority(Main[[#This Row],[Comments]])&lt;&gt;0, priority(Main[[#This Row],[Comments]]),"")</f>
        <v/>
      </c>
      <c r="B1187" s="90" t="s">
        <v>2616</v>
      </c>
      <c r="C1187" s="72" t="s">
        <v>4</v>
      </c>
      <c r="D1187" s="73" t="s">
        <v>2617</v>
      </c>
      <c r="E1187" s="74">
        <v>40835.766481481478</v>
      </c>
      <c r="F1187" s="74"/>
      <c r="G1187" s="75" t="str">
        <f>IF(stdProdLT(Main[[#This Row],[Comments]])=0.1,"N/A",IF(stdProdLT(Main[[#This Row],[Comments]])=0,"",stdProdLT(Main[[#This Row],[Comments]])))</f>
        <v/>
      </c>
      <c r="H1187" s="76" t="str">
        <f>IF(AND(Main[[#This Row],[In Stock Date]]&lt;&gt;"",Main[[#This Row],[Revised Due Date]]&lt;&gt;""),Main[[#This Row],[In Stock Date]]-Main[[#This Row],[Revised Due Date]],"")</f>
        <v/>
      </c>
      <c r="I1187" s="72" t="s">
        <v>4</v>
      </c>
      <c r="J1187" s="72" t="s">
        <v>4</v>
      </c>
      <c r="K1187" s="72" t="s">
        <v>4</v>
      </c>
      <c r="L1187" s="74"/>
      <c r="M1187" s="77" t="str">
        <f>IF(Main[[#This Row],[Tech Start Date]]&lt;1/1/1990,"",IF(Main[[#This Row],[Class]]="C",WORKDAY(Main[[#This Row],[Tech Start Date]],9),IF(Main[[#This Row],[Class]]="B", WORKDAY(Main[[#This Row],[Tech Start Date]],6),IF(Main[[#This Row],[Class]]="A",WORKDAY(Main[[#This Row],[Tech Start Date]],2),""))))</f>
        <v/>
      </c>
      <c r="N1187" s="77" t="str">
        <f>IF(Main[[#This Row],[Tech Start Date]]&lt;1/1/1990,"",IF(Main[[#This Row],[Class]]="C",WORKDAY(Main[[#This Row],[Tech Start Date]],19),IF(Main[[#This Row],[Class]]="B", WORKDAY(Main[[#This Row],[Tech Start Date]],12),IF(Main[[#This Row],[Class]]="A",WORKDAY(Main[[#This Row],[Tech Start Date]],4),""))))</f>
        <v/>
      </c>
      <c r="O1187" s="77" t="str">
        <f>IF(Main[[#This Row],[Tech Start Date]]&lt;1/1/1990,"",IF(Main[[#This Row],[Class]]="C",WORKDAY(Main[[#This Row],[Tech Start Date]],23),IF(Main[[#This Row],[Class]]="B", WORKDAY(Main[[#This Row],[Tech Start Date]],15),IF(Main[[#This Row],[Class]]="A",WORKDAY(Main[[#This Row],[Tech Start Date]],5),""))))</f>
        <v/>
      </c>
      <c r="P1187" s="77" t="str">
        <f>IF(Main[[#This Row],[Tech Start Date]]&lt;1/1/1990,"",IF(Main[[#This Row],[Class]]="C",WORKDAY(Main[[#This Row],[Tech Start Date]],28),IF(Main[[#This Row],[Class]]="B", WORKDAY(Main[[#This Row],[Tech Start Date]],19),IF(Main[[#This Row],[Class]]="A",WORKDAY(Main[[#This Row],[Tech Start Date]],9),""))))</f>
        <v/>
      </c>
      <c r="Q1187" s="74">
        <v>40858</v>
      </c>
      <c r="R1187" s="74"/>
      <c r="S1187" s="72" t="s">
        <v>6</v>
      </c>
      <c r="T1187" s="80" t="s">
        <v>4</v>
      </c>
      <c r="U1187" s="72" t="s">
        <v>7</v>
      </c>
      <c r="V1187" s="72" t="s">
        <v>1940</v>
      </c>
      <c r="W1187" s="72" t="s">
        <v>4</v>
      </c>
      <c r="X1187" s="72" t="s">
        <v>2971</v>
      </c>
      <c r="Y1187" s="72" t="s">
        <v>3090</v>
      </c>
      <c r="Z1187" s="72" t="s">
        <v>4</v>
      </c>
    </row>
    <row r="1188" spans="1:26" ht="18.600000000000001" customHeight="1">
      <c r="A1188" s="142" t="str">
        <f>IF(priority(Main[[#This Row],[Comments]])&lt;&gt;0, priority(Main[[#This Row],[Comments]]),"")</f>
        <v/>
      </c>
      <c r="B1188" s="90" t="s">
        <v>2618</v>
      </c>
      <c r="C1188" s="72" t="s">
        <v>4</v>
      </c>
      <c r="D1188" s="73" t="s">
        <v>2619</v>
      </c>
      <c r="E1188" s="74"/>
      <c r="F1188" s="74"/>
      <c r="G1188" s="75" t="str">
        <f>IF(stdProdLT(Main[[#This Row],[Comments]])=0.1,"N/A",IF(stdProdLT(Main[[#This Row],[Comments]])=0,"",stdProdLT(Main[[#This Row],[Comments]])))</f>
        <v/>
      </c>
      <c r="H1188" s="76" t="str">
        <f>IF(AND(Main[[#This Row],[In Stock Date]]&lt;&gt;"",Main[[#This Row],[Revised Due Date]]&lt;&gt;""),Main[[#This Row],[In Stock Date]]-Main[[#This Row],[Revised Due Date]],"")</f>
        <v/>
      </c>
      <c r="I1188" s="72" t="s">
        <v>4</v>
      </c>
      <c r="J1188" s="72" t="s">
        <v>4</v>
      </c>
      <c r="K1188" s="72" t="s">
        <v>4</v>
      </c>
      <c r="L1188" s="74"/>
      <c r="M1188" s="77" t="str">
        <f>IF(Main[[#This Row],[Tech Start Date]]&lt;1/1/1990,"",IF(Main[[#This Row],[Class]]="C",WORKDAY(Main[[#This Row],[Tech Start Date]],9),IF(Main[[#This Row],[Class]]="B", WORKDAY(Main[[#This Row],[Tech Start Date]],6),IF(Main[[#This Row],[Class]]="A",WORKDAY(Main[[#This Row],[Tech Start Date]],2),""))))</f>
        <v/>
      </c>
      <c r="N1188" s="77" t="str">
        <f>IF(Main[[#This Row],[Tech Start Date]]&lt;1/1/1990,"",IF(Main[[#This Row],[Class]]="C",WORKDAY(Main[[#This Row],[Tech Start Date]],19),IF(Main[[#This Row],[Class]]="B", WORKDAY(Main[[#This Row],[Tech Start Date]],12),IF(Main[[#This Row],[Class]]="A",WORKDAY(Main[[#This Row],[Tech Start Date]],4),""))))</f>
        <v/>
      </c>
      <c r="O1188" s="77" t="str">
        <f>IF(Main[[#This Row],[Tech Start Date]]&lt;1/1/1990,"",IF(Main[[#This Row],[Class]]="C",WORKDAY(Main[[#This Row],[Tech Start Date]],23),IF(Main[[#This Row],[Class]]="B", WORKDAY(Main[[#This Row],[Tech Start Date]],15),IF(Main[[#This Row],[Class]]="A",WORKDAY(Main[[#This Row],[Tech Start Date]],5),""))))</f>
        <v/>
      </c>
      <c r="P1188" s="77" t="str">
        <f>IF(Main[[#This Row],[Tech Start Date]]&lt;1/1/1990,"",IF(Main[[#This Row],[Class]]="C",WORKDAY(Main[[#This Row],[Tech Start Date]],28),IF(Main[[#This Row],[Class]]="B", WORKDAY(Main[[#This Row],[Tech Start Date]],19),IF(Main[[#This Row],[Class]]="A",WORKDAY(Main[[#This Row],[Tech Start Date]],9),""))))</f>
        <v/>
      </c>
      <c r="Q1188" s="74"/>
      <c r="R1188" s="74"/>
      <c r="S1188" s="72" t="s">
        <v>11</v>
      </c>
      <c r="T1188" s="80" t="s">
        <v>4</v>
      </c>
      <c r="U1188" s="72" t="s">
        <v>14</v>
      </c>
      <c r="V1188" s="72" t="s">
        <v>1938</v>
      </c>
      <c r="W1188" s="72" t="s">
        <v>4</v>
      </c>
      <c r="X1188" s="72" t="s">
        <v>2283</v>
      </c>
      <c r="Y1188" s="72" t="s">
        <v>4</v>
      </c>
      <c r="Z1188" s="72" t="s">
        <v>4</v>
      </c>
    </row>
    <row r="1189" spans="1:26" ht="18.600000000000001" customHeight="1">
      <c r="A1189" s="142" t="str">
        <f>IF(priority(Main[[#This Row],[Comments]])&lt;&gt;0, priority(Main[[#This Row],[Comments]]),"")</f>
        <v/>
      </c>
      <c r="B1189" s="90" t="s">
        <v>2328</v>
      </c>
      <c r="C1189" s="72" t="s">
        <v>4</v>
      </c>
      <c r="D1189" s="73" t="s">
        <v>2620</v>
      </c>
      <c r="E1189" s="74">
        <v>40814.667314814818</v>
      </c>
      <c r="F1189" s="74"/>
      <c r="G1189" s="75" t="str">
        <f>IF(stdProdLT(Main[[#This Row],[Comments]])=0.1,"N/A",IF(stdProdLT(Main[[#This Row],[Comments]])=0,"",stdProdLT(Main[[#This Row],[Comments]])))</f>
        <v/>
      </c>
      <c r="H1189" s="76" t="str">
        <f>IF(AND(Main[[#This Row],[In Stock Date]]&lt;&gt;"",Main[[#This Row],[Revised Due Date]]&lt;&gt;""),Main[[#This Row],[In Stock Date]]-Main[[#This Row],[Revised Due Date]],"")</f>
        <v/>
      </c>
      <c r="I1189" s="72" t="s">
        <v>404</v>
      </c>
      <c r="J1189" s="72" t="s">
        <v>75</v>
      </c>
      <c r="K1189" s="81" t="s">
        <v>1946</v>
      </c>
      <c r="L1189" s="74"/>
      <c r="M1189" s="77" t="str">
        <f>IF(Main[[#This Row],[Tech Start Date]]&lt;1/1/1990,"",IF(Main[[#This Row],[Class]]="C",WORKDAY(Main[[#This Row],[Tech Start Date]],9),IF(Main[[#This Row],[Class]]="B", WORKDAY(Main[[#This Row],[Tech Start Date]],6),IF(Main[[#This Row],[Class]]="A",WORKDAY(Main[[#This Row],[Tech Start Date]],2),""))))</f>
        <v/>
      </c>
      <c r="N1189" s="77" t="str">
        <f>IF(Main[[#This Row],[Tech Start Date]]&lt;1/1/1990,"",IF(Main[[#This Row],[Class]]="C",WORKDAY(Main[[#This Row],[Tech Start Date]],19),IF(Main[[#This Row],[Class]]="B", WORKDAY(Main[[#This Row],[Tech Start Date]],12),IF(Main[[#This Row],[Class]]="A",WORKDAY(Main[[#This Row],[Tech Start Date]],4),""))))</f>
        <v/>
      </c>
      <c r="O1189" s="77" t="str">
        <f>IF(Main[[#This Row],[Tech Start Date]]&lt;1/1/1990,"",IF(Main[[#This Row],[Class]]="C",WORKDAY(Main[[#This Row],[Tech Start Date]],23),IF(Main[[#This Row],[Class]]="B", WORKDAY(Main[[#This Row],[Tech Start Date]],15),IF(Main[[#This Row],[Class]]="A",WORKDAY(Main[[#This Row],[Tech Start Date]],5),""))))</f>
        <v/>
      </c>
      <c r="P1189" s="77" t="str">
        <f>IF(Main[[#This Row],[Tech Start Date]]&lt;1/1/1990,"",IF(Main[[#This Row],[Class]]="C",WORKDAY(Main[[#This Row],[Tech Start Date]],28),IF(Main[[#This Row],[Class]]="B", WORKDAY(Main[[#This Row],[Tech Start Date]],19),IF(Main[[#This Row],[Class]]="A",WORKDAY(Main[[#This Row],[Tech Start Date]],9),""))))</f>
        <v/>
      </c>
      <c r="Q1189" s="74"/>
      <c r="R1189" s="74"/>
      <c r="S1189" s="72" t="s">
        <v>6</v>
      </c>
      <c r="T1189" s="80" t="s">
        <v>4</v>
      </c>
      <c r="U1189" s="72" t="s">
        <v>29</v>
      </c>
      <c r="V1189" s="72" t="s">
        <v>1940</v>
      </c>
      <c r="W1189" s="72" t="s">
        <v>1941</v>
      </c>
      <c r="X1189" s="72" t="s">
        <v>404</v>
      </c>
      <c r="Y1189" s="72" t="s">
        <v>3121</v>
      </c>
      <c r="Z1189" s="72" t="s">
        <v>311</v>
      </c>
    </row>
    <row r="1190" spans="1:26" ht="18.600000000000001" customHeight="1">
      <c r="A1190" s="142" t="str">
        <f>IF(priority(Main[[#This Row],[Comments]])&lt;&gt;0, priority(Main[[#This Row],[Comments]]),"")</f>
        <v/>
      </c>
      <c r="B1190" s="90" t="s">
        <v>1719</v>
      </c>
      <c r="C1190" s="72" t="s">
        <v>4</v>
      </c>
      <c r="D1190" s="73" t="s">
        <v>2143</v>
      </c>
      <c r="E1190" s="74"/>
      <c r="F1190" s="74"/>
      <c r="G1190" s="75" t="str">
        <f>IF(stdProdLT(Main[[#This Row],[Comments]])=0.1,"N/A",IF(stdProdLT(Main[[#This Row],[Comments]])=0,"",stdProdLT(Main[[#This Row],[Comments]])))</f>
        <v/>
      </c>
      <c r="H1190" s="76" t="str">
        <f>IF(AND(Main[[#This Row],[In Stock Date]]&lt;&gt;"",Main[[#This Row],[Revised Due Date]]&lt;&gt;""),Main[[#This Row],[In Stock Date]]-Main[[#This Row],[Revised Due Date]],"")</f>
        <v/>
      </c>
      <c r="I1190" s="72" t="s">
        <v>69</v>
      </c>
      <c r="J1190" s="72" t="s">
        <v>70</v>
      </c>
      <c r="K1190" s="72" t="s">
        <v>1946</v>
      </c>
      <c r="L1190" s="74"/>
      <c r="M1190" s="77" t="str">
        <f>IF(Main[[#This Row],[Tech Start Date]]&lt;1/1/1990,"",IF(Main[[#This Row],[Class]]="C",WORKDAY(Main[[#This Row],[Tech Start Date]],9),IF(Main[[#This Row],[Class]]="B", WORKDAY(Main[[#This Row],[Tech Start Date]],6),IF(Main[[#This Row],[Class]]="A",WORKDAY(Main[[#This Row],[Tech Start Date]],2),""))))</f>
        <v/>
      </c>
      <c r="N1190" s="77" t="str">
        <f>IF(Main[[#This Row],[Tech Start Date]]&lt;1/1/1990,"",IF(Main[[#This Row],[Class]]="C",WORKDAY(Main[[#This Row],[Tech Start Date]],19),IF(Main[[#This Row],[Class]]="B", WORKDAY(Main[[#This Row],[Tech Start Date]],12),IF(Main[[#This Row],[Class]]="A",WORKDAY(Main[[#This Row],[Tech Start Date]],4),""))))</f>
        <v/>
      </c>
      <c r="O1190" s="77" t="str">
        <f>IF(Main[[#This Row],[Tech Start Date]]&lt;1/1/1990,"",IF(Main[[#This Row],[Class]]="C",WORKDAY(Main[[#This Row],[Tech Start Date]],23),IF(Main[[#This Row],[Class]]="B", WORKDAY(Main[[#This Row],[Tech Start Date]],15),IF(Main[[#This Row],[Class]]="A",WORKDAY(Main[[#This Row],[Tech Start Date]],5),""))))</f>
        <v/>
      </c>
      <c r="P1190" s="77" t="str">
        <f>IF(Main[[#This Row],[Tech Start Date]]&lt;1/1/1990,"",IF(Main[[#This Row],[Class]]="C",WORKDAY(Main[[#This Row],[Tech Start Date]],28),IF(Main[[#This Row],[Class]]="B", WORKDAY(Main[[#This Row],[Tech Start Date]],19),IF(Main[[#This Row],[Class]]="A",WORKDAY(Main[[#This Row],[Tech Start Date]],9),""))))</f>
        <v/>
      </c>
      <c r="Q1190" s="74">
        <v>40816</v>
      </c>
      <c r="R1190" s="74"/>
      <c r="S1190" s="72" t="s">
        <v>6</v>
      </c>
      <c r="T1190" s="80" t="s">
        <v>4</v>
      </c>
      <c r="U1190" s="72" t="s">
        <v>14</v>
      </c>
      <c r="V1190" s="72" t="s">
        <v>1940</v>
      </c>
      <c r="W1190" s="72" t="s">
        <v>1942</v>
      </c>
      <c r="X1190" s="72" t="s">
        <v>536</v>
      </c>
      <c r="Y1190" s="72" t="s">
        <v>4</v>
      </c>
      <c r="Z1190" s="72" t="s">
        <v>30</v>
      </c>
    </row>
    <row r="1191" spans="1:26" ht="18.600000000000001" customHeight="1">
      <c r="A1191" s="142" t="str">
        <f>IF(priority(Main[[#This Row],[Comments]])&lt;&gt;0, priority(Main[[#This Row],[Comments]]),"")</f>
        <v/>
      </c>
      <c r="B1191" s="90" t="s">
        <v>2891</v>
      </c>
      <c r="C1191" s="72" t="s">
        <v>2892</v>
      </c>
      <c r="D1191" s="73" t="s">
        <v>3348</v>
      </c>
      <c r="E1191" s="74">
        <v>40892.924444444441</v>
      </c>
      <c r="F1191" s="74"/>
      <c r="G1191" s="75">
        <f>IF(stdProdLT(Main[[#This Row],[Comments]])=0.1,"N/A",IF(stdProdLT(Main[[#This Row],[Comments]])=0,"",stdProdLT(Main[[#This Row],[Comments]])))</f>
        <v>112</v>
      </c>
      <c r="H1191" s="76" t="str">
        <f>IF(AND(Main[[#This Row],[In Stock Date]]&lt;&gt;"",Main[[#This Row],[Revised Due Date]]&lt;&gt;""),Main[[#This Row],[In Stock Date]]-Main[[#This Row],[Revised Due Date]],"")</f>
        <v/>
      </c>
      <c r="I1191" s="72" t="s">
        <v>4</v>
      </c>
      <c r="J1191" s="72" t="s">
        <v>4</v>
      </c>
      <c r="K1191" s="81" t="s">
        <v>4</v>
      </c>
      <c r="L1191" s="74"/>
      <c r="M1191" s="77" t="str">
        <f>IF(Main[[#This Row],[Tech Start Date]]&lt;1/1/1990,"",IF(Main[[#This Row],[Class]]="C",WORKDAY(Main[[#This Row],[Tech Start Date]],9),IF(Main[[#This Row],[Class]]="B", WORKDAY(Main[[#This Row],[Tech Start Date]],6),IF(Main[[#This Row],[Class]]="A",WORKDAY(Main[[#This Row],[Tech Start Date]],2),""))))</f>
        <v/>
      </c>
      <c r="N1191" s="77" t="str">
        <f>IF(Main[[#This Row],[Tech Start Date]]&lt;1/1/1990,"",IF(Main[[#This Row],[Class]]="C",WORKDAY(Main[[#This Row],[Tech Start Date]],19),IF(Main[[#This Row],[Class]]="B", WORKDAY(Main[[#This Row],[Tech Start Date]],12),IF(Main[[#This Row],[Class]]="A",WORKDAY(Main[[#This Row],[Tech Start Date]],4),""))))</f>
        <v/>
      </c>
      <c r="O1191" s="77" t="str">
        <f>IF(Main[[#This Row],[Tech Start Date]]&lt;1/1/1990,"",IF(Main[[#This Row],[Class]]="C",WORKDAY(Main[[#This Row],[Tech Start Date]],23),IF(Main[[#This Row],[Class]]="B", WORKDAY(Main[[#This Row],[Tech Start Date]],15),IF(Main[[#This Row],[Class]]="A",WORKDAY(Main[[#This Row],[Tech Start Date]],5),""))))</f>
        <v/>
      </c>
      <c r="P1191" s="77" t="str">
        <f>IF(Main[[#This Row],[Tech Start Date]]&lt;1/1/1990,"",IF(Main[[#This Row],[Class]]="C",WORKDAY(Main[[#This Row],[Tech Start Date]],28),IF(Main[[#This Row],[Class]]="B", WORKDAY(Main[[#This Row],[Tech Start Date]],19),IF(Main[[#This Row],[Class]]="A",WORKDAY(Main[[#This Row],[Tech Start Date]],9),""))))</f>
        <v/>
      </c>
      <c r="Q1191" s="74"/>
      <c r="R1191" s="74"/>
      <c r="S1191" s="72" t="s">
        <v>11</v>
      </c>
      <c r="T1191" s="80" t="s">
        <v>3349</v>
      </c>
      <c r="U1191" s="72" t="s">
        <v>540</v>
      </c>
      <c r="V1191" s="72" t="s">
        <v>1940</v>
      </c>
      <c r="W1191" s="72" t="s">
        <v>1945</v>
      </c>
      <c r="X1191" s="72" t="s">
        <v>311</v>
      </c>
      <c r="Y1191" s="72" t="s">
        <v>4</v>
      </c>
      <c r="Z1191" s="72" t="s">
        <v>4</v>
      </c>
    </row>
    <row r="1192" spans="1:26" ht="18.600000000000001" customHeight="1">
      <c r="A1192" s="142" t="str">
        <f>IF(priority(Main[[#This Row],[Comments]])&lt;&gt;0, priority(Main[[#This Row],[Comments]]),"")</f>
        <v/>
      </c>
      <c r="B1192" s="90" t="s">
        <v>2321</v>
      </c>
      <c r="C1192" s="72" t="s">
        <v>4</v>
      </c>
      <c r="D1192" s="73" t="s">
        <v>2625</v>
      </c>
      <c r="E1192" s="74"/>
      <c r="F1192" s="74"/>
      <c r="G1192" s="75" t="str">
        <f>IF(stdProdLT(Main[[#This Row],[Comments]])=0.1,"N/A",IF(stdProdLT(Main[[#This Row],[Comments]])=0,"",stdProdLT(Main[[#This Row],[Comments]])))</f>
        <v/>
      </c>
      <c r="H1192" s="76" t="str">
        <f>IF(AND(Main[[#This Row],[In Stock Date]]&lt;&gt;"",Main[[#This Row],[Revised Due Date]]&lt;&gt;""),Main[[#This Row],[In Stock Date]]-Main[[#This Row],[Revised Due Date]],"")</f>
        <v/>
      </c>
      <c r="I1192" s="72" t="s">
        <v>2239</v>
      </c>
      <c r="J1192" s="72" t="s">
        <v>75</v>
      </c>
      <c r="K1192" s="72" t="s">
        <v>1946</v>
      </c>
      <c r="L1192" s="74"/>
      <c r="M1192" s="77" t="str">
        <f>IF(Main[[#This Row],[Tech Start Date]]&lt;1/1/1990,"",IF(Main[[#This Row],[Class]]="C",WORKDAY(Main[[#This Row],[Tech Start Date]],9),IF(Main[[#This Row],[Class]]="B", WORKDAY(Main[[#This Row],[Tech Start Date]],6),IF(Main[[#This Row],[Class]]="A",WORKDAY(Main[[#This Row],[Tech Start Date]],2),""))))</f>
        <v/>
      </c>
      <c r="N1192" s="77" t="str">
        <f>IF(Main[[#This Row],[Tech Start Date]]&lt;1/1/1990,"",IF(Main[[#This Row],[Class]]="C",WORKDAY(Main[[#This Row],[Tech Start Date]],19),IF(Main[[#This Row],[Class]]="B", WORKDAY(Main[[#This Row],[Tech Start Date]],12),IF(Main[[#This Row],[Class]]="A",WORKDAY(Main[[#This Row],[Tech Start Date]],4),""))))</f>
        <v/>
      </c>
      <c r="O1192" s="77" t="str">
        <f>IF(Main[[#This Row],[Tech Start Date]]&lt;1/1/1990,"",IF(Main[[#This Row],[Class]]="C",WORKDAY(Main[[#This Row],[Tech Start Date]],23),IF(Main[[#This Row],[Class]]="B", WORKDAY(Main[[#This Row],[Tech Start Date]],15),IF(Main[[#This Row],[Class]]="A",WORKDAY(Main[[#This Row],[Tech Start Date]],5),""))))</f>
        <v/>
      </c>
      <c r="P1192" s="77" t="str">
        <f>IF(Main[[#This Row],[Tech Start Date]]&lt;1/1/1990,"",IF(Main[[#This Row],[Class]]="C",WORKDAY(Main[[#This Row],[Tech Start Date]],28),IF(Main[[#This Row],[Class]]="B", WORKDAY(Main[[#This Row],[Tech Start Date]],19),IF(Main[[#This Row],[Class]]="A",WORKDAY(Main[[#This Row],[Tech Start Date]],9),""))))</f>
        <v/>
      </c>
      <c r="Q1192" s="74"/>
      <c r="R1192" s="74"/>
      <c r="S1192" s="72" t="s">
        <v>6</v>
      </c>
      <c r="T1192" s="80" t="s">
        <v>4</v>
      </c>
      <c r="U1192" s="72" t="s">
        <v>14</v>
      </c>
      <c r="V1192" s="72" t="s">
        <v>1947</v>
      </c>
      <c r="W1192" s="72" t="s">
        <v>1941</v>
      </c>
      <c r="X1192" s="72" t="s">
        <v>2239</v>
      </c>
      <c r="Y1192" s="72" t="s">
        <v>3288</v>
      </c>
      <c r="Z1192" s="72" t="s">
        <v>311</v>
      </c>
    </row>
    <row r="1193" spans="1:26" ht="18.600000000000001" customHeight="1">
      <c r="A1193" s="142" t="str">
        <f>IF(priority(Main[[#This Row],[Comments]])&lt;&gt;0, priority(Main[[#This Row],[Comments]]),"")</f>
        <v/>
      </c>
      <c r="B1193" s="90" t="s">
        <v>1611</v>
      </c>
      <c r="C1193" s="72" t="s">
        <v>4</v>
      </c>
      <c r="D1193" s="73" t="s">
        <v>676</v>
      </c>
      <c r="E1193" s="74"/>
      <c r="F1193" s="74"/>
      <c r="G1193" s="75" t="str">
        <f>IF(stdProdLT(Main[[#This Row],[Comments]])=0.1,"N/A",IF(stdProdLT(Main[[#This Row],[Comments]])=0,"",stdProdLT(Main[[#This Row],[Comments]])))</f>
        <v/>
      </c>
      <c r="H1193" s="76" t="str">
        <f>IF(AND(Main[[#This Row],[In Stock Date]]&lt;&gt;"",Main[[#This Row],[Revised Due Date]]&lt;&gt;""),Main[[#This Row],[In Stock Date]]-Main[[#This Row],[Revised Due Date]],"")</f>
        <v/>
      </c>
      <c r="I1193" s="72" t="s">
        <v>4</v>
      </c>
      <c r="J1193" s="72" t="s">
        <v>4</v>
      </c>
      <c r="K1193" s="72" t="s">
        <v>4</v>
      </c>
      <c r="L1193" s="74"/>
      <c r="M1193" s="77" t="str">
        <f>IF(Main[[#This Row],[Tech Start Date]]&lt;1/1/1990,"",IF(Main[[#This Row],[Class]]="C",WORKDAY(Main[[#This Row],[Tech Start Date]],9),IF(Main[[#This Row],[Class]]="B", WORKDAY(Main[[#This Row],[Tech Start Date]],6),IF(Main[[#This Row],[Class]]="A",WORKDAY(Main[[#This Row],[Tech Start Date]],2),""))))</f>
        <v/>
      </c>
      <c r="N1193" s="77" t="str">
        <f>IF(Main[[#This Row],[Tech Start Date]]&lt;1/1/1990,"",IF(Main[[#This Row],[Class]]="C",WORKDAY(Main[[#This Row],[Tech Start Date]],19),IF(Main[[#This Row],[Class]]="B", WORKDAY(Main[[#This Row],[Tech Start Date]],12),IF(Main[[#This Row],[Class]]="A",WORKDAY(Main[[#This Row],[Tech Start Date]],4),""))))</f>
        <v/>
      </c>
      <c r="O1193" s="77" t="str">
        <f>IF(Main[[#This Row],[Tech Start Date]]&lt;1/1/1990,"",IF(Main[[#This Row],[Class]]="C",WORKDAY(Main[[#This Row],[Tech Start Date]],23),IF(Main[[#This Row],[Class]]="B", WORKDAY(Main[[#This Row],[Tech Start Date]],15),IF(Main[[#This Row],[Class]]="A",WORKDAY(Main[[#This Row],[Tech Start Date]],5),""))))</f>
        <v/>
      </c>
      <c r="P1193" s="77" t="str">
        <f>IF(Main[[#This Row],[Tech Start Date]]&lt;1/1/1990,"",IF(Main[[#This Row],[Class]]="C",WORKDAY(Main[[#This Row],[Tech Start Date]],28),IF(Main[[#This Row],[Class]]="B", WORKDAY(Main[[#This Row],[Tech Start Date]],19),IF(Main[[#This Row],[Class]]="A",WORKDAY(Main[[#This Row],[Tech Start Date]],9),""))))</f>
        <v/>
      </c>
      <c r="Q1193" s="74"/>
      <c r="R1193" s="74"/>
      <c r="S1193" s="72" t="s">
        <v>6</v>
      </c>
      <c r="T1193" s="80" t="s">
        <v>4</v>
      </c>
      <c r="U1193" s="72" t="s">
        <v>14</v>
      </c>
      <c r="V1193" s="72" t="s">
        <v>1937</v>
      </c>
      <c r="W1193" s="72" t="s">
        <v>1945</v>
      </c>
      <c r="X1193" s="72" t="s">
        <v>2079</v>
      </c>
      <c r="Y1193" s="72" t="s">
        <v>3160</v>
      </c>
      <c r="Z1193" s="72" t="s">
        <v>4</v>
      </c>
    </row>
    <row r="1194" spans="1:26" ht="18.600000000000001" customHeight="1">
      <c r="A1194" s="142" t="str">
        <f>IF(priority(Main[[#This Row],[Comments]])&lt;&gt;0, priority(Main[[#This Row],[Comments]]),"")</f>
        <v/>
      </c>
      <c r="B1194" s="90" t="s">
        <v>2734</v>
      </c>
      <c r="C1194" s="72" t="s">
        <v>4</v>
      </c>
      <c r="D1194" s="73" t="s">
        <v>2735</v>
      </c>
      <c r="E1194" s="74"/>
      <c r="F1194" s="74"/>
      <c r="G1194" s="75" t="str">
        <f>IF(stdProdLT(Main[[#This Row],[Comments]])=0.1,"N/A",IF(stdProdLT(Main[[#This Row],[Comments]])=0,"",stdProdLT(Main[[#This Row],[Comments]])))</f>
        <v/>
      </c>
      <c r="H1194" s="76" t="str">
        <f>IF(AND(Main[[#This Row],[In Stock Date]]&lt;&gt;"",Main[[#This Row],[Revised Due Date]]&lt;&gt;""),Main[[#This Row],[In Stock Date]]-Main[[#This Row],[Revised Due Date]],"")</f>
        <v/>
      </c>
      <c r="I1194" s="72" t="s">
        <v>4</v>
      </c>
      <c r="J1194" s="72" t="s">
        <v>4</v>
      </c>
      <c r="K1194" s="72" t="s">
        <v>4</v>
      </c>
      <c r="L1194" s="74"/>
      <c r="M1194" s="77" t="str">
        <f>IF(Main[[#This Row],[Tech Start Date]]&lt;1/1/1990,"",IF(Main[[#This Row],[Class]]="C",WORKDAY(Main[[#This Row],[Tech Start Date]],9),IF(Main[[#This Row],[Class]]="B", WORKDAY(Main[[#This Row],[Tech Start Date]],6),IF(Main[[#This Row],[Class]]="A",WORKDAY(Main[[#This Row],[Tech Start Date]],2),""))))</f>
        <v/>
      </c>
      <c r="N1194" s="77" t="str">
        <f>IF(Main[[#This Row],[Tech Start Date]]&lt;1/1/1990,"",IF(Main[[#This Row],[Class]]="C",WORKDAY(Main[[#This Row],[Tech Start Date]],19),IF(Main[[#This Row],[Class]]="B", WORKDAY(Main[[#This Row],[Tech Start Date]],12),IF(Main[[#This Row],[Class]]="A",WORKDAY(Main[[#This Row],[Tech Start Date]],4),""))))</f>
        <v/>
      </c>
      <c r="O1194" s="77" t="str">
        <f>IF(Main[[#This Row],[Tech Start Date]]&lt;1/1/1990,"",IF(Main[[#This Row],[Class]]="C",WORKDAY(Main[[#This Row],[Tech Start Date]],23),IF(Main[[#This Row],[Class]]="B", WORKDAY(Main[[#This Row],[Tech Start Date]],15),IF(Main[[#This Row],[Class]]="A",WORKDAY(Main[[#This Row],[Tech Start Date]],5),""))))</f>
        <v/>
      </c>
      <c r="P1194" s="77" t="str">
        <f>IF(Main[[#This Row],[Tech Start Date]]&lt;1/1/1990,"",IF(Main[[#This Row],[Class]]="C",WORKDAY(Main[[#This Row],[Tech Start Date]],28),IF(Main[[#This Row],[Class]]="B", WORKDAY(Main[[#This Row],[Tech Start Date]],19),IF(Main[[#This Row],[Class]]="A",WORKDAY(Main[[#This Row],[Tech Start Date]],9),""))))</f>
        <v/>
      </c>
      <c r="Q1194" s="74"/>
      <c r="R1194" s="74"/>
      <c r="S1194" s="72" t="s">
        <v>11</v>
      </c>
      <c r="T1194" s="80" t="s">
        <v>4</v>
      </c>
      <c r="U1194" s="72" t="s">
        <v>14</v>
      </c>
      <c r="V1194" s="72" t="s">
        <v>1947</v>
      </c>
      <c r="W1194" s="72" t="s">
        <v>1945</v>
      </c>
      <c r="X1194" s="72" t="s">
        <v>3009</v>
      </c>
      <c r="Y1194" s="72" t="s">
        <v>3156</v>
      </c>
      <c r="Z1194" s="72" t="s">
        <v>4</v>
      </c>
    </row>
    <row r="1195" spans="1:26" ht="18.600000000000001" customHeight="1">
      <c r="A1195" s="142" t="str">
        <f>IF(priority(Main[[#This Row],[Comments]])&lt;&gt;0, priority(Main[[#This Row],[Comments]]),"")</f>
        <v/>
      </c>
      <c r="B1195" s="90" t="s">
        <v>2736</v>
      </c>
      <c r="C1195" s="72" t="s">
        <v>47</v>
      </c>
      <c r="D1195" s="73" t="s">
        <v>2737</v>
      </c>
      <c r="E1195" s="74"/>
      <c r="F1195" s="74"/>
      <c r="G1195" s="75" t="str">
        <f>IF(stdProdLT(Main[[#This Row],[Comments]])=0.1,"N/A",IF(stdProdLT(Main[[#This Row],[Comments]])=0,"",stdProdLT(Main[[#This Row],[Comments]])))</f>
        <v/>
      </c>
      <c r="H1195" s="76" t="str">
        <f>IF(AND(Main[[#This Row],[In Stock Date]]&lt;&gt;"",Main[[#This Row],[Revised Due Date]]&lt;&gt;""),Main[[#This Row],[In Stock Date]]-Main[[#This Row],[Revised Due Date]],"")</f>
        <v/>
      </c>
      <c r="I1195" s="72" t="s">
        <v>4</v>
      </c>
      <c r="J1195" s="72" t="s">
        <v>4</v>
      </c>
      <c r="K1195" s="72" t="s">
        <v>4</v>
      </c>
      <c r="L1195" s="74"/>
      <c r="M1195" s="77" t="str">
        <f>IF(Main[[#This Row],[Tech Start Date]]&lt;1/1/1990,"",IF(Main[[#This Row],[Class]]="C",WORKDAY(Main[[#This Row],[Tech Start Date]],9),IF(Main[[#This Row],[Class]]="B", WORKDAY(Main[[#This Row],[Tech Start Date]],6),IF(Main[[#This Row],[Class]]="A",WORKDAY(Main[[#This Row],[Tech Start Date]],2),""))))</f>
        <v/>
      </c>
      <c r="N1195" s="77" t="str">
        <f>IF(Main[[#This Row],[Tech Start Date]]&lt;1/1/1990,"",IF(Main[[#This Row],[Class]]="C",WORKDAY(Main[[#This Row],[Tech Start Date]],19),IF(Main[[#This Row],[Class]]="B", WORKDAY(Main[[#This Row],[Tech Start Date]],12),IF(Main[[#This Row],[Class]]="A",WORKDAY(Main[[#This Row],[Tech Start Date]],4),""))))</f>
        <v/>
      </c>
      <c r="O1195" s="77" t="str">
        <f>IF(Main[[#This Row],[Tech Start Date]]&lt;1/1/1990,"",IF(Main[[#This Row],[Class]]="C",WORKDAY(Main[[#This Row],[Tech Start Date]],23),IF(Main[[#This Row],[Class]]="B", WORKDAY(Main[[#This Row],[Tech Start Date]],15),IF(Main[[#This Row],[Class]]="A",WORKDAY(Main[[#This Row],[Tech Start Date]],5),""))))</f>
        <v/>
      </c>
      <c r="P1195" s="77" t="str">
        <f>IF(Main[[#This Row],[Tech Start Date]]&lt;1/1/1990,"",IF(Main[[#This Row],[Class]]="C",WORKDAY(Main[[#This Row],[Tech Start Date]],28),IF(Main[[#This Row],[Class]]="B", WORKDAY(Main[[#This Row],[Tech Start Date]],19),IF(Main[[#This Row],[Class]]="A",WORKDAY(Main[[#This Row],[Tech Start Date]],9),""))))</f>
        <v/>
      </c>
      <c r="Q1195" s="74">
        <v>40913</v>
      </c>
      <c r="R1195" s="74"/>
      <c r="S1195" s="72" t="s">
        <v>6</v>
      </c>
      <c r="T1195" s="80" t="s">
        <v>4</v>
      </c>
      <c r="U1195" s="72" t="s">
        <v>12</v>
      </c>
      <c r="V1195" s="72" t="s">
        <v>2317</v>
      </c>
      <c r="W1195" s="72" t="s">
        <v>4</v>
      </c>
      <c r="X1195" s="72" t="s">
        <v>3017</v>
      </c>
      <c r="Y1195" s="72" t="s">
        <v>3168</v>
      </c>
      <c r="Z1195" s="72" t="s">
        <v>4</v>
      </c>
    </row>
    <row r="1196" spans="1:26" ht="18.600000000000001" customHeight="1">
      <c r="A1196" s="142" t="str">
        <f>IF(priority(Main[[#This Row],[Comments]])&lt;&gt;0, priority(Main[[#This Row],[Comments]]),"")</f>
        <v/>
      </c>
      <c r="B1196" s="90" t="s">
        <v>2407</v>
      </c>
      <c r="C1196" s="72" t="s">
        <v>4</v>
      </c>
      <c r="D1196" s="73" t="s">
        <v>2408</v>
      </c>
      <c r="E1196" s="74">
        <v>40856.690810185188</v>
      </c>
      <c r="F1196" s="74"/>
      <c r="G1196" s="75" t="str">
        <f>IF(stdProdLT(Main[[#This Row],[Comments]])=0.1,"N/A",IF(stdProdLT(Main[[#This Row],[Comments]])=0,"",stdProdLT(Main[[#This Row],[Comments]])))</f>
        <v/>
      </c>
      <c r="H1196" s="76" t="str">
        <f>IF(AND(Main[[#This Row],[In Stock Date]]&lt;&gt;"",Main[[#This Row],[Revised Due Date]]&lt;&gt;""),Main[[#This Row],[In Stock Date]]-Main[[#This Row],[Revised Due Date]],"")</f>
        <v/>
      </c>
      <c r="I1196" s="72" t="s">
        <v>4</v>
      </c>
      <c r="J1196" s="72" t="s">
        <v>4</v>
      </c>
      <c r="K1196" s="72" t="s">
        <v>4</v>
      </c>
      <c r="L1196" s="74"/>
      <c r="M1196" s="77" t="str">
        <f>IF(Main[[#This Row],[Tech Start Date]]&lt;1/1/1990,"",IF(Main[[#This Row],[Class]]="C",WORKDAY(Main[[#This Row],[Tech Start Date]],9),IF(Main[[#This Row],[Class]]="B", WORKDAY(Main[[#This Row],[Tech Start Date]],6),IF(Main[[#This Row],[Class]]="A",WORKDAY(Main[[#This Row],[Tech Start Date]],2),""))))</f>
        <v/>
      </c>
      <c r="N1196" s="77" t="str">
        <f>IF(Main[[#This Row],[Tech Start Date]]&lt;1/1/1990,"",IF(Main[[#This Row],[Class]]="C",WORKDAY(Main[[#This Row],[Tech Start Date]],19),IF(Main[[#This Row],[Class]]="B", WORKDAY(Main[[#This Row],[Tech Start Date]],12),IF(Main[[#This Row],[Class]]="A",WORKDAY(Main[[#This Row],[Tech Start Date]],4),""))))</f>
        <v/>
      </c>
      <c r="O1196" s="77" t="str">
        <f>IF(Main[[#This Row],[Tech Start Date]]&lt;1/1/1990,"",IF(Main[[#This Row],[Class]]="C",WORKDAY(Main[[#This Row],[Tech Start Date]],23),IF(Main[[#This Row],[Class]]="B", WORKDAY(Main[[#This Row],[Tech Start Date]],15),IF(Main[[#This Row],[Class]]="A",WORKDAY(Main[[#This Row],[Tech Start Date]],5),""))))</f>
        <v/>
      </c>
      <c r="P1196" s="77" t="str">
        <f>IF(Main[[#This Row],[Tech Start Date]]&lt;1/1/1990,"",IF(Main[[#This Row],[Class]]="C",WORKDAY(Main[[#This Row],[Tech Start Date]],28),IF(Main[[#This Row],[Class]]="B", WORKDAY(Main[[#This Row],[Tech Start Date]],19),IF(Main[[#This Row],[Class]]="A",WORKDAY(Main[[#This Row],[Tech Start Date]],9),""))))</f>
        <v/>
      </c>
      <c r="Q1196" s="74"/>
      <c r="R1196" s="74"/>
      <c r="S1196" s="72" t="s">
        <v>6</v>
      </c>
      <c r="T1196" s="80" t="s">
        <v>4</v>
      </c>
      <c r="U1196" s="72" t="s">
        <v>7</v>
      </c>
      <c r="V1196" s="72" t="s">
        <v>1937</v>
      </c>
      <c r="W1196" s="72" t="s">
        <v>1941</v>
      </c>
      <c r="X1196" s="72" t="s">
        <v>2969</v>
      </c>
      <c r="Y1196" s="72" t="s">
        <v>3291</v>
      </c>
      <c r="Z1196" s="72" t="s">
        <v>4</v>
      </c>
    </row>
    <row r="1197" spans="1:26" ht="18.600000000000001" customHeight="1">
      <c r="A1197" s="142" t="str">
        <f>IF(priority(Main[[#This Row],[Comments]])&lt;&gt;0, priority(Main[[#This Row],[Comments]]),"")</f>
        <v/>
      </c>
      <c r="B1197" s="90" t="s">
        <v>1874</v>
      </c>
      <c r="C1197" s="72" t="s">
        <v>4</v>
      </c>
      <c r="D1197" s="73" t="s">
        <v>2959</v>
      </c>
      <c r="E1197" s="74">
        <v>40365.451284722221</v>
      </c>
      <c r="F1197" s="74"/>
      <c r="G1197" s="75" t="str">
        <f>IF(stdProdLT(Main[[#This Row],[Comments]])=0.1,"N/A",IF(stdProdLT(Main[[#This Row],[Comments]])=0,"",stdProdLT(Main[[#This Row],[Comments]])))</f>
        <v/>
      </c>
      <c r="H1197" s="76" t="str">
        <f>IF(AND(Main[[#This Row],[In Stock Date]]&lt;&gt;"",Main[[#This Row],[Revised Due Date]]&lt;&gt;""),Main[[#This Row],[In Stock Date]]-Main[[#This Row],[Revised Due Date]],"")</f>
        <v/>
      </c>
      <c r="I1197" s="72" t="s">
        <v>922</v>
      </c>
      <c r="J1197" s="72" t="s">
        <v>28</v>
      </c>
      <c r="K1197" s="72" t="s">
        <v>1949</v>
      </c>
      <c r="L1197" s="74"/>
      <c r="M1197" s="77" t="str">
        <f>IF(Main[[#This Row],[Tech Start Date]]&lt;1/1/1990,"",IF(Main[[#This Row],[Class]]="C",WORKDAY(Main[[#This Row],[Tech Start Date]],9),IF(Main[[#This Row],[Class]]="B", WORKDAY(Main[[#This Row],[Tech Start Date]],6),IF(Main[[#This Row],[Class]]="A",WORKDAY(Main[[#This Row],[Tech Start Date]],2),""))))</f>
        <v/>
      </c>
      <c r="N1197" s="77" t="str">
        <f>IF(Main[[#This Row],[Tech Start Date]]&lt;1/1/1990,"",IF(Main[[#This Row],[Class]]="C",WORKDAY(Main[[#This Row],[Tech Start Date]],19),IF(Main[[#This Row],[Class]]="B", WORKDAY(Main[[#This Row],[Tech Start Date]],12),IF(Main[[#This Row],[Class]]="A",WORKDAY(Main[[#This Row],[Tech Start Date]],4),""))))</f>
        <v/>
      </c>
      <c r="O1197" s="77" t="str">
        <f>IF(Main[[#This Row],[Tech Start Date]]&lt;1/1/1990,"",IF(Main[[#This Row],[Class]]="C",WORKDAY(Main[[#This Row],[Tech Start Date]],23),IF(Main[[#This Row],[Class]]="B", WORKDAY(Main[[#This Row],[Tech Start Date]],15),IF(Main[[#This Row],[Class]]="A",WORKDAY(Main[[#This Row],[Tech Start Date]],5),""))))</f>
        <v/>
      </c>
      <c r="P1197" s="77" t="str">
        <f>IF(Main[[#This Row],[Tech Start Date]]&lt;1/1/1990,"",IF(Main[[#This Row],[Class]]="C",WORKDAY(Main[[#This Row],[Tech Start Date]],28),IF(Main[[#This Row],[Class]]="B", WORKDAY(Main[[#This Row],[Tech Start Date]],19),IF(Main[[#This Row],[Class]]="A",WORKDAY(Main[[#This Row],[Tech Start Date]],9),""))))</f>
        <v/>
      </c>
      <c r="Q1197" s="74">
        <v>40968</v>
      </c>
      <c r="R1197" s="74">
        <v>40939</v>
      </c>
      <c r="S1197" s="72" t="s">
        <v>17</v>
      </c>
      <c r="T1197" s="80" t="s">
        <v>2659</v>
      </c>
      <c r="U1197" s="72" t="s">
        <v>29</v>
      </c>
      <c r="V1197" s="72" t="s">
        <v>1937</v>
      </c>
      <c r="W1197" s="72" t="s">
        <v>1942</v>
      </c>
      <c r="X1197" s="72" t="s">
        <v>129</v>
      </c>
      <c r="Y1197" s="72" t="s">
        <v>4</v>
      </c>
      <c r="Z1197" s="72" t="s">
        <v>129</v>
      </c>
    </row>
    <row r="1198" spans="1:26" ht="18.600000000000001" customHeight="1">
      <c r="A1198" s="142" t="str">
        <f>IF(priority(Main[[#This Row],[Comments]])&lt;&gt;0, priority(Main[[#This Row],[Comments]]),"")</f>
        <v/>
      </c>
      <c r="B1198" s="90" t="s">
        <v>3576</v>
      </c>
      <c r="C1198" s="72" t="s">
        <v>2808</v>
      </c>
      <c r="D1198" s="73" t="s">
        <v>3577</v>
      </c>
      <c r="E1198" s="74"/>
      <c r="F1198" s="74"/>
      <c r="G1198" s="75" t="str">
        <f>IF(stdProdLT(Main[[#This Row],[Comments]])=0.1,"N/A",IF(stdProdLT(Main[[#This Row],[Comments]])=0,"",stdProdLT(Main[[#This Row],[Comments]])))</f>
        <v/>
      </c>
      <c r="H1198" s="76" t="str">
        <f>IF(AND(Main[[#This Row],[In Stock Date]]&lt;&gt;"",Main[[#This Row],[Revised Due Date]]&lt;&gt;""),Main[[#This Row],[In Stock Date]]-Main[[#This Row],[Revised Due Date]],"")</f>
        <v/>
      </c>
      <c r="I1198" s="72" t="s">
        <v>4</v>
      </c>
      <c r="J1198" s="72" t="s">
        <v>4</v>
      </c>
      <c r="K1198" s="72" t="s">
        <v>4</v>
      </c>
      <c r="L1198" s="74"/>
      <c r="M1198" s="77" t="str">
        <f>IF(Main[[#This Row],[Tech Start Date]]&lt;1/1/1990,"",IF(Main[[#This Row],[Class]]="C",WORKDAY(Main[[#This Row],[Tech Start Date]],9),IF(Main[[#This Row],[Class]]="B", WORKDAY(Main[[#This Row],[Tech Start Date]],6),IF(Main[[#This Row],[Class]]="A",WORKDAY(Main[[#This Row],[Tech Start Date]],2),""))))</f>
        <v/>
      </c>
      <c r="N1198" s="77" t="str">
        <f>IF(Main[[#This Row],[Tech Start Date]]&lt;1/1/1990,"",IF(Main[[#This Row],[Class]]="C",WORKDAY(Main[[#This Row],[Tech Start Date]],19),IF(Main[[#This Row],[Class]]="B", WORKDAY(Main[[#This Row],[Tech Start Date]],12),IF(Main[[#This Row],[Class]]="A",WORKDAY(Main[[#This Row],[Tech Start Date]],4),""))))</f>
        <v/>
      </c>
      <c r="O1198" s="77" t="str">
        <f>IF(Main[[#This Row],[Tech Start Date]]&lt;1/1/1990,"",IF(Main[[#This Row],[Class]]="C",WORKDAY(Main[[#This Row],[Tech Start Date]],23),IF(Main[[#This Row],[Class]]="B", WORKDAY(Main[[#This Row],[Tech Start Date]],15),IF(Main[[#This Row],[Class]]="A",WORKDAY(Main[[#This Row],[Tech Start Date]],5),""))))</f>
        <v/>
      </c>
      <c r="P1198" s="77" t="str">
        <f>IF(Main[[#This Row],[Tech Start Date]]&lt;1/1/1990,"",IF(Main[[#This Row],[Class]]="C",WORKDAY(Main[[#This Row],[Tech Start Date]],28),IF(Main[[#This Row],[Class]]="B", WORKDAY(Main[[#This Row],[Tech Start Date]],19),IF(Main[[#This Row],[Class]]="A",WORKDAY(Main[[#This Row],[Tech Start Date]],9),""))))</f>
        <v/>
      </c>
      <c r="Q1198" s="74"/>
      <c r="R1198" s="74"/>
      <c r="S1198" s="72" t="s">
        <v>11</v>
      </c>
      <c r="T1198" s="80" t="s">
        <v>4</v>
      </c>
      <c r="U1198" s="72" t="s">
        <v>12</v>
      </c>
      <c r="V1198" s="72" t="s">
        <v>1937</v>
      </c>
      <c r="W1198" s="72" t="s">
        <v>1948</v>
      </c>
      <c r="X1198" s="72" t="s">
        <v>3045</v>
      </c>
      <c r="Y1198" s="72" t="s">
        <v>3213</v>
      </c>
      <c r="Z1198" s="72" t="s">
        <v>4</v>
      </c>
    </row>
    <row r="1199" spans="1:26" ht="18.600000000000001" customHeight="1">
      <c r="A1199" s="142" t="str">
        <f>IF(priority(Main[[#This Row],[Comments]])&lt;&gt;0, priority(Main[[#This Row],[Comments]]),"")</f>
        <v/>
      </c>
      <c r="B1199" s="90" t="s">
        <v>1603</v>
      </c>
      <c r="C1199" s="72" t="s">
        <v>4</v>
      </c>
      <c r="D1199" s="73" t="s">
        <v>2748</v>
      </c>
      <c r="E1199" s="74">
        <v>40455.90111111111</v>
      </c>
      <c r="F1199" s="74"/>
      <c r="G1199" s="75" t="str">
        <f>IF(stdProdLT(Main[[#This Row],[Comments]])=0.1,"N/A",IF(stdProdLT(Main[[#This Row],[Comments]])=0,"",stdProdLT(Main[[#This Row],[Comments]])))</f>
        <v/>
      </c>
      <c r="H1199" s="76" t="str">
        <f>IF(AND(Main[[#This Row],[In Stock Date]]&lt;&gt;"",Main[[#This Row],[Revised Due Date]]&lt;&gt;""),Main[[#This Row],[In Stock Date]]-Main[[#This Row],[Revised Due Date]],"")</f>
        <v/>
      </c>
      <c r="I1199" s="72" t="s">
        <v>4</v>
      </c>
      <c r="J1199" s="72" t="s">
        <v>28</v>
      </c>
      <c r="K1199" s="72" t="s">
        <v>1949</v>
      </c>
      <c r="L1199" s="74"/>
      <c r="M1199" s="77" t="str">
        <f>IF(Main[[#This Row],[Tech Start Date]]&lt;1/1/1990,"",IF(Main[[#This Row],[Class]]="C",WORKDAY(Main[[#This Row],[Tech Start Date]],9),IF(Main[[#This Row],[Class]]="B", WORKDAY(Main[[#This Row],[Tech Start Date]],6),IF(Main[[#This Row],[Class]]="A",WORKDAY(Main[[#This Row],[Tech Start Date]],2),""))))</f>
        <v/>
      </c>
      <c r="N1199" s="77" t="str">
        <f>IF(Main[[#This Row],[Tech Start Date]]&lt;1/1/1990,"",IF(Main[[#This Row],[Class]]="C",WORKDAY(Main[[#This Row],[Tech Start Date]],19),IF(Main[[#This Row],[Class]]="B", WORKDAY(Main[[#This Row],[Tech Start Date]],12),IF(Main[[#This Row],[Class]]="A",WORKDAY(Main[[#This Row],[Tech Start Date]],4),""))))</f>
        <v/>
      </c>
      <c r="O1199" s="77" t="str">
        <f>IF(Main[[#This Row],[Tech Start Date]]&lt;1/1/1990,"",IF(Main[[#This Row],[Class]]="C",WORKDAY(Main[[#This Row],[Tech Start Date]],23),IF(Main[[#This Row],[Class]]="B", WORKDAY(Main[[#This Row],[Tech Start Date]],15),IF(Main[[#This Row],[Class]]="A",WORKDAY(Main[[#This Row],[Tech Start Date]],5),""))))</f>
        <v/>
      </c>
      <c r="P1199" s="77" t="str">
        <f>IF(Main[[#This Row],[Tech Start Date]]&lt;1/1/1990,"",IF(Main[[#This Row],[Class]]="C",WORKDAY(Main[[#This Row],[Tech Start Date]],28),IF(Main[[#This Row],[Class]]="B", WORKDAY(Main[[#This Row],[Tech Start Date]],19),IF(Main[[#This Row],[Class]]="A",WORKDAY(Main[[#This Row],[Tech Start Date]],9),""))))</f>
        <v/>
      </c>
      <c r="Q1199" s="74">
        <v>41060</v>
      </c>
      <c r="R1199" s="74"/>
      <c r="S1199" s="72" t="s">
        <v>17</v>
      </c>
      <c r="T1199" s="80" t="s">
        <v>4</v>
      </c>
      <c r="U1199" s="72" t="s">
        <v>7</v>
      </c>
      <c r="V1199" s="72" t="s">
        <v>1937</v>
      </c>
      <c r="W1199" s="72" t="s">
        <v>1939</v>
      </c>
      <c r="X1199" s="72" t="s">
        <v>129</v>
      </c>
      <c r="Y1199" s="72" t="s">
        <v>3091</v>
      </c>
      <c r="Z1199" s="72" t="s">
        <v>129</v>
      </c>
    </row>
    <row r="1200" spans="1:26" ht="18.600000000000001" customHeight="1">
      <c r="A1200" s="142" t="str">
        <f>IF(priority(Main[[#This Row],[Comments]])&lt;&gt;0, priority(Main[[#This Row],[Comments]]),"")</f>
        <v/>
      </c>
      <c r="B1200" s="90" t="s">
        <v>2898</v>
      </c>
      <c r="C1200" s="72" t="s">
        <v>47</v>
      </c>
      <c r="D1200" s="73" t="s">
        <v>2899</v>
      </c>
      <c r="E1200" s="74"/>
      <c r="F1200" s="74"/>
      <c r="G1200" s="75" t="str">
        <f>IF(stdProdLT(Main[[#This Row],[Comments]])=0.1,"N/A",IF(stdProdLT(Main[[#This Row],[Comments]])=0,"",stdProdLT(Main[[#This Row],[Comments]])))</f>
        <v/>
      </c>
      <c r="H1200" s="76" t="str">
        <f>IF(AND(Main[[#This Row],[In Stock Date]]&lt;&gt;"",Main[[#This Row],[Revised Due Date]]&lt;&gt;""),Main[[#This Row],[In Stock Date]]-Main[[#This Row],[Revised Due Date]],"")</f>
        <v/>
      </c>
      <c r="I1200" s="72" t="s">
        <v>4</v>
      </c>
      <c r="J1200" s="72" t="s">
        <v>4</v>
      </c>
      <c r="K1200" s="72" t="s">
        <v>4</v>
      </c>
      <c r="L1200" s="74"/>
      <c r="M1200" s="77" t="str">
        <f>IF(Main[[#This Row],[Tech Start Date]]&lt;1/1/1990,"",IF(Main[[#This Row],[Class]]="C",WORKDAY(Main[[#This Row],[Tech Start Date]],9),IF(Main[[#This Row],[Class]]="B", WORKDAY(Main[[#This Row],[Tech Start Date]],6),IF(Main[[#This Row],[Class]]="A",WORKDAY(Main[[#This Row],[Tech Start Date]],2),""))))</f>
        <v/>
      </c>
      <c r="N1200" s="77" t="str">
        <f>IF(Main[[#This Row],[Tech Start Date]]&lt;1/1/1990,"",IF(Main[[#This Row],[Class]]="C",WORKDAY(Main[[#This Row],[Tech Start Date]],19),IF(Main[[#This Row],[Class]]="B", WORKDAY(Main[[#This Row],[Tech Start Date]],12),IF(Main[[#This Row],[Class]]="A",WORKDAY(Main[[#This Row],[Tech Start Date]],4),""))))</f>
        <v/>
      </c>
      <c r="O1200" s="77" t="str">
        <f>IF(Main[[#This Row],[Tech Start Date]]&lt;1/1/1990,"",IF(Main[[#This Row],[Class]]="C",WORKDAY(Main[[#This Row],[Tech Start Date]],23),IF(Main[[#This Row],[Class]]="B", WORKDAY(Main[[#This Row],[Tech Start Date]],15),IF(Main[[#This Row],[Class]]="A",WORKDAY(Main[[#This Row],[Tech Start Date]],5),""))))</f>
        <v/>
      </c>
      <c r="P1200" s="77" t="str">
        <f>IF(Main[[#This Row],[Tech Start Date]]&lt;1/1/1990,"",IF(Main[[#This Row],[Class]]="C",WORKDAY(Main[[#This Row],[Tech Start Date]],28),IF(Main[[#This Row],[Class]]="B", WORKDAY(Main[[#This Row],[Tech Start Date]],19),IF(Main[[#This Row],[Class]]="A",WORKDAY(Main[[#This Row],[Tech Start Date]],9),""))))</f>
        <v/>
      </c>
      <c r="Q1200" s="74">
        <v>40907</v>
      </c>
      <c r="R1200" s="74"/>
      <c r="S1200" s="72" t="s">
        <v>6</v>
      </c>
      <c r="T1200" s="80" t="s">
        <v>4</v>
      </c>
      <c r="U1200" s="72" t="s">
        <v>12</v>
      </c>
      <c r="V1200" s="72" t="s">
        <v>1940</v>
      </c>
      <c r="W1200" s="72" t="s">
        <v>4</v>
      </c>
      <c r="X1200" s="72" t="s">
        <v>3017</v>
      </c>
      <c r="Y1200" s="72" t="s">
        <v>3168</v>
      </c>
      <c r="Z1200" s="72" t="s">
        <v>4</v>
      </c>
    </row>
    <row r="1201" spans="1:26" ht="18.600000000000001" customHeight="1">
      <c r="A1201" s="142" t="str">
        <f>IF(priority(Main[[#This Row],[Comments]])&lt;&gt;0, priority(Main[[#This Row],[Comments]]),"")</f>
        <v/>
      </c>
      <c r="B1201" s="90" t="s">
        <v>1658</v>
      </c>
      <c r="C1201" s="72" t="s">
        <v>4</v>
      </c>
      <c r="D1201" s="73" t="s">
        <v>2630</v>
      </c>
      <c r="E1201" s="74"/>
      <c r="F1201" s="74"/>
      <c r="G1201" s="75" t="str">
        <f>IF(stdProdLT(Main[[#This Row],[Comments]])=0.1,"N/A",IF(stdProdLT(Main[[#This Row],[Comments]])=0,"",stdProdLT(Main[[#This Row],[Comments]])))</f>
        <v/>
      </c>
      <c r="H1201" s="76" t="str">
        <f>IF(AND(Main[[#This Row],[In Stock Date]]&lt;&gt;"",Main[[#This Row],[Revised Due Date]]&lt;&gt;""),Main[[#This Row],[In Stock Date]]-Main[[#This Row],[Revised Due Date]],"")</f>
        <v/>
      </c>
      <c r="I1201" s="72" t="s">
        <v>4</v>
      </c>
      <c r="J1201" s="72" t="s">
        <v>28</v>
      </c>
      <c r="K1201" s="72" t="s">
        <v>1944</v>
      </c>
      <c r="L1201" s="74"/>
      <c r="M1201" s="77" t="str">
        <f>IF(Main[[#This Row],[Tech Start Date]]&lt;1/1/1990,"",IF(Main[[#This Row],[Class]]="C",WORKDAY(Main[[#This Row],[Tech Start Date]],9),IF(Main[[#This Row],[Class]]="B", WORKDAY(Main[[#This Row],[Tech Start Date]],6),IF(Main[[#This Row],[Class]]="A",WORKDAY(Main[[#This Row],[Tech Start Date]],2),""))))</f>
        <v/>
      </c>
      <c r="N1201" s="77" t="str">
        <f>IF(Main[[#This Row],[Tech Start Date]]&lt;1/1/1990,"",IF(Main[[#This Row],[Class]]="C",WORKDAY(Main[[#This Row],[Tech Start Date]],19),IF(Main[[#This Row],[Class]]="B", WORKDAY(Main[[#This Row],[Tech Start Date]],12),IF(Main[[#This Row],[Class]]="A",WORKDAY(Main[[#This Row],[Tech Start Date]],4),""))))</f>
        <v/>
      </c>
      <c r="O1201" s="77" t="str">
        <f>IF(Main[[#This Row],[Tech Start Date]]&lt;1/1/1990,"",IF(Main[[#This Row],[Class]]="C",WORKDAY(Main[[#This Row],[Tech Start Date]],23),IF(Main[[#This Row],[Class]]="B", WORKDAY(Main[[#This Row],[Tech Start Date]],15),IF(Main[[#This Row],[Class]]="A",WORKDAY(Main[[#This Row],[Tech Start Date]],5),""))))</f>
        <v/>
      </c>
      <c r="P1201" s="77" t="str">
        <f>IF(Main[[#This Row],[Tech Start Date]]&lt;1/1/1990,"",IF(Main[[#This Row],[Class]]="C",WORKDAY(Main[[#This Row],[Tech Start Date]],28),IF(Main[[#This Row],[Class]]="B", WORKDAY(Main[[#This Row],[Tech Start Date]],19),IF(Main[[#This Row],[Class]]="A",WORKDAY(Main[[#This Row],[Tech Start Date]],9),""))))</f>
        <v/>
      </c>
      <c r="Q1201" s="74">
        <v>40611</v>
      </c>
      <c r="R1201" s="74"/>
      <c r="S1201" s="72" t="s">
        <v>6</v>
      </c>
      <c r="T1201" s="80" t="s">
        <v>4</v>
      </c>
      <c r="U1201" s="72" t="s">
        <v>14</v>
      </c>
      <c r="V1201" s="72" t="s">
        <v>1937</v>
      </c>
      <c r="W1201" s="72" t="s">
        <v>1941</v>
      </c>
      <c r="X1201" s="72" t="s">
        <v>2973</v>
      </c>
      <c r="Y1201" s="72" t="s">
        <v>3094</v>
      </c>
      <c r="Z1201" s="72" t="s">
        <v>129</v>
      </c>
    </row>
    <row r="1202" spans="1:26" ht="18.600000000000001" customHeight="1">
      <c r="A1202" s="142" t="str">
        <f>IF(priority(Main[[#This Row],[Comments]])&lt;&gt;0, priority(Main[[#This Row],[Comments]]),"")</f>
        <v/>
      </c>
      <c r="B1202" s="90" t="s">
        <v>1846</v>
      </c>
      <c r="C1202" s="72" t="s">
        <v>47</v>
      </c>
      <c r="D1202" s="73" t="s">
        <v>889</v>
      </c>
      <c r="E1202" s="74"/>
      <c r="F1202" s="74"/>
      <c r="G1202" s="75" t="str">
        <f>IF(stdProdLT(Main[[#This Row],[Comments]])=0.1,"N/A",IF(stdProdLT(Main[[#This Row],[Comments]])=0,"",stdProdLT(Main[[#This Row],[Comments]])))</f>
        <v/>
      </c>
      <c r="H1202" s="76" t="str">
        <f>IF(AND(Main[[#This Row],[In Stock Date]]&lt;&gt;"",Main[[#This Row],[Revised Due Date]]&lt;&gt;""),Main[[#This Row],[In Stock Date]]-Main[[#This Row],[Revised Due Date]],"")</f>
        <v/>
      </c>
      <c r="I1202" s="72" t="s">
        <v>4</v>
      </c>
      <c r="J1202" s="72" t="s">
        <v>4</v>
      </c>
      <c r="K1202" s="72" t="s">
        <v>1949</v>
      </c>
      <c r="L1202" s="74"/>
      <c r="M1202" s="77" t="str">
        <f>IF(Main[[#This Row],[Tech Start Date]]&lt;1/1/1990,"",IF(Main[[#This Row],[Class]]="C",WORKDAY(Main[[#This Row],[Tech Start Date]],9),IF(Main[[#This Row],[Class]]="B", WORKDAY(Main[[#This Row],[Tech Start Date]],6),IF(Main[[#This Row],[Class]]="A",WORKDAY(Main[[#This Row],[Tech Start Date]],2),""))))</f>
        <v/>
      </c>
      <c r="N1202" s="77" t="str">
        <f>IF(Main[[#This Row],[Tech Start Date]]&lt;1/1/1990,"",IF(Main[[#This Row],[Class]]="C",WORKDAY(Main[[#This Row],[Tech Start Date]],19),IF(Main[[#This Row],[Class]]="B", WORKDAY(Main[[#This Row],[Tech Start Date]],12),IF(Main[[#This Row],[Class]]="A",WORKDAY(Main[[#This Row],[Tech Start Date]],4),""))))</f>
        <v/>
      </c>
      <c r="O1202" s="77" t="str">
        <f>IF(Main[[#This Row],[Tech Start Date]]&lt;1/1/1990,"",IF(Main[[#This Row],[Class]]="C",WORKDAY(Main[[#This Row],[Tech Start Date]],23),IF(Main[[#This Row],[Class]]="B", WORKDAY(Main[[#This Row],[Tech Start Date]],15),IF(Main[[#This Row],[Class]]="A",WORKDAY(Main[[#This Row],[Tech Start Date]],5),""))))</f>
        <v/>
      </c>
      <c r="P1202" s="77" t="str">
        <f>IF(Main[[#This Row],[Tech Start Date]]&lt;1/1/1990,"",IF(Main[[#This Row],[Class]]="C",WORKDAY(Main[[#This Row],[Tech Start Date]],28),IF(Main[[#This Row],[Class]]="B", WORKDAY(Main[[#This Row],[Tech Start Date]],19),IF(Main[[#This Row],[Class]]="A",WORKDAY(Main[[#This Row],[Tech Start Date]],9),""))))</f>
        <v/>
      </c>
      <c r="Q1202" s="74"/>
      <c r="R1202" s="74">
        <v>40359</v>
      </c>
      <c r="S1202" s="72" t="s">
        <v>17</v>
      </c>
      <c r="T1202" s="80" t="s">
        <v>4</v>
      </c>
      <c r="U1202" s="72" t="s">
        <v>14</v>
      </c>
      <c r="V1202" s="72" t="s">
        <v>1937</v>
      </c>
      <c r="W1202" s="72" t="s">
        <v>1942</v>
      </c>
      <c r="X1202" s="72" t="s">
        <v>2973</v>
      </c>
      <c r="Y1202" s="72" t="s">
        <v>3094</v>
      </c>
      <c r="Z1202" s="72" t="s">
        <v>4</v>
      </c>
    </row>
    <row r="1203" spans="1:26" ht="18.600000000000001" customHeight="1">
      <c r="A1203" s="142" t="str">
        <f>IF(priority(Main[[#This Row],[Comments]])&lt;&gt;0, priority(Main[[#This Row],[Comments]]),"")</f>
        <v/>
      </c>
      <c r="B1203" s="90" t="s">
        <v>1655</v>
      </c>
      <c r="C1203" s="72" t="s">
        <v>4</v>
      </c>
      <c r="D1203" s="73" t="s">
        <v>717</v>
      </c>
      <c r="E1203" s="74"/>
      <c r="F1203" s="74"/>
      <c r="G1203" s="75" t="str">
        <f>IF(stdProdLT(Main[[#This Row],[Comments]])=0.1,"N/A",IF(stdProdLT(Main[[#This Row],[Comments]])=0,"",stdProdLT(Main[[#This Row],[Comments]])))</f>
        <v/>
      </c>
      <c r="H1203" s="76" t="str">
        <f>IF(AND(Main[[#This Row],[In Stock Date]]&lt;&gt;"",Main[[#This Row],[Revised Due Date]]&lt;&gt;""),Main[[#This Row],[In Stock Date]]-Main[[#This Row],[Revised Due Date]],"")</f>
        <v/>
      </c>
      <c r="I1203" s="72" t="s">
        <v>4</v>
      </c>
      <c r="J1203" s="72" t="s">
        <v>28</v>
      </c>
      <c r="K1203" s="81" t="s">
        <v>1946</v>
      </c>
      <c r="L1203" s="74"/>
      <c r="M1203" s="77" t="str">
        <f>IF(Main[[#This Row],[Tech Start Date]]&lt;1/1/1990,"",IF(Main[[#This Row],[Class]]="C",WORKDAY(Main[[#This Row],[Tech Start Date]],9),IF(Main[[#This Row],[Class]]="B", WORKDAY(Main[[#This Row],[Tech Start Date]],6),IF(Main[[#This Row],[Class]]="A",WORKDAY(Main[[#This Row],[Tech Start Date]],2),""))))</f>
        <v/>
      </c>
      <c r="N1203" s="77" t="str">
        <f>IF(Main[[#This Row],[Tech Start Date]]&lt;1/1/1990,"",IF(Main[[#This Row],[Class]]="C",WORKDAY(Main[[#This Row],[Tech Start Date]],19),IF(Main[[#This Row],[Class]]="B", WORKDAY(Main[[#This Row],[Tech Start Date]],12),IF(Main[[#This Row],[Class]]="A",WORKDAY(Main[[#This Row],[Tech Start Date]],4),""))))</f>
        <v/>
      </c>
      <c r="O1203" s="77" t="str">
        <f>IF(Main[[#This Row],[Tech Start Date]]&lt;1/1/1990,"",IF(Main[[#This Row],[Class]]="C",WORKDAY(Main[[#This Row],[Tech Start Date]],23),IF(Main[[#This Row],[Class]]="B", WORKDAY(Main[[#This Row],[Tech Start Date]],15),IF(Main[[#This Row],[Class]]="A",WORKDAY(Main[[#This Row],[Tech Start Date]],5),""))))</f>
        <v/>
      </c>
      <c r="P1203" s="77" t="str">
        <f>IF(Main[[#This Row],[Tech Start Date]]&lt;1/1/1990,"",IF(Main[[#This Row],[Class]]="C",WORKDAY(Main[[#This Row],[Tech Start Date]],28),IF(Main[[#This Row],[Class]]="B", WORKDAY(Main[[#This Row],[Tech Start Date]],19),IF(Main[[#This Row],[Class]]="A",WORKDAY(Main[[#This Row],[Tech Start Date]],9),""))))</f>
        <v/>
      </c>
      <c r="Q1203" s="74"/>
      <c r="R1203" s="74"/>
      <c r="S1203" s="72" t="s">
        <v>6</v>
      </c>
      <c r="T1203" s="80" t="s">
        <v>4</v>
      </c>
      <c r="U1203" s="72" t="s">
        <v>14</v>
      </c>
      <c r="V1203" s="72" t="s">
        <v>1937</v>
      </c>
      <c r="W1203" s="72" t="s">
        <v>1941</v>
      </c>
      <c r="X1203" s="72" t="s">
        <v>311</v>
      </c>
      <c r="Y1203" s="72" t="s">
        <v>3294</v>
      </c>
      <c r="Z1203" s="72" t="s">
        <v>129</v>
      </c>
    </row>
    <row r="1204" spans="1:26" ht="18.600000000000001" customHeight="1">
      <c r="A1204" s="142" t="str">
        <f>IF(priority(Main[[#This Row],[Comments]])&lt;&gt;0, priority(Main[[#This Row],[Comments]]),"")</f>
        <v/>
      </c>
      <c r="B1204" s="90" t="s">
        <v>2320</v>
      </c>
      <c r="C1204" s="72" t="s">
        <v>4</v>
      </c>
      <c r="D1204" s="73" t="s">
        <v>2824</v>
      </c>
      <c r="E1204" s="74">
        <v>40814.080497685187</v>
      </c>
      <c r="F1204" s="74"/>
      <c r="G1204" s="75" t="str">
        <f>IF(stdProdLT(Main[[#This Row],[Comments]])=0.1,"N/A",IF(stdProdLT(Main[[#This Row],[Comments]])=0,"",stdProdLT(Main[[#This Row],[Comments]])))</f>
        <v/>
      </c>
      <c r="H1204" s="76" t="str">
        <f>IF(AND(Main[[#This Row],[In Stock Date]]&lt;&gt;"",Main[[#This Row],[Revised Due Date]]&lt;&gt;""),Main[[#This Row],[In Stock Date]]-Main[[#This Row],[Revised Due Date]],"")</f>
        <v/>
      </c>
      <c r="I1204" s="72" t="s">
        <v>375</v>
      </c>
      <c r="J1204" s="72" t="s">
        <v>28</v>
      </c>
      <c r="K1204" s="72" t="s">
        <v>1946</v>
      </c>
      <c r="L1204" s="74"/>
      <c r="M1204" s="77" t="str">
        <f>IF(Main[[#This Row],[Tech Start Date]]&lt;1/1/1990,"",IF(Main[[#This Row],[Class]]="C",WORKDAY(Main[[#This Row],[Tech Start Date]],9),IF(Main[[#This Row],[Class]]="B", WORKDAY(Main[[#This Row],[Tech Start Date]],6),IF(Main[[#This Row],[Class]]="A",WORKDAY(Main[[#This Row],[Tech Start Date]],2),""))))</f>
        <v/>
      </c>
      <c r="N1204" s="77" t="str">
        <f>IF(Main[[#This Row],[Tech Start Date]]&lt;1/1/1990,"",IF(Main[[#This Row],[Class]]="C",WORKDAY(Main[[#This Row],[Tech Start Date]],19),IF(Main[[#This Row],[Class]]="B", WORKDAY(Main[[#This Row],[Tech Start Date]],12),IF(Main[[#This Row],[Class]]="A",WORKDAY(Main[[#This Row],[Tech Start Date]],4),""))))</f>
        <v/>
      </c>
      <c r="O1204" s="77" t="str">
        <f>IF(Main[[#This Row],[Tech Start Date]]&lt;1/1/1990,"",IF(Main[[#This Row],[Class]]="C",WORKDAY(Main[[#This Row],[Tech Start Date]],23),IF(Main[[#This Row],[Class]]="B", WORKDAY(Main[[#This Row],[Tech Start Date]],15),IF(Main[[#This Row],[Class]]="A",WORKDAY(Main[[#This Row],[Tech Start Date]],5),""))))</f>
        <v/>
      </c>
      <c r="P1204" s="77" t="str">
        <f>IF(Main[[#This Row],[Tech Start Date]]&lt;1/1/1990,"",IF(Main[[#This Row],[Class]]="C",WORKDAY(Main[[#This Row],[Tech Start Date]],28),IF(Main[[#This Row],[Class]]="B", WORKDAY(Main[[#This Row],[Tech Start Date]],19),IF(Main[[#This Row],[Class]]="A",WORKDAY(Main[[#This Row],[Tech Start Date]],9),""))))</f>
        <v/>
      </c>
      <c r="Q1204" s="74">
        <v>40905</v>
      </c>
      <c r="R1204" s="74"/>
      <c r="S1204" s="72" t="s">
        <v>6</v>
      </c>
      <c r="T1204" s="80" t="s">
        <v>4</v>
      </c>
      <c r="U1204" s="72" t="s">
        <v>29</v>
      </c>
      <c r="V1204" s="72" t="s">
        <v>1940</v>
      </c>
      <c r="W1204" s="72" t="s">
        <v>1941</v>
      </c>
      <c r="X1204" s="72" t="s">
        <v>3047</v>
      </c>
      <c r="Y1204" s="72" t="s">
        <v>3218</v>
      </c>
      <c r="Z1204" s="72" t="s">
        <v>30</v>
      </c>
    </row>
    <row r="1205" spans="1:26" ht="18.600000000000001" customHeight="1">
      <c r="A1205" s="142" t="str">
        <f>IF(priority(Main[[#This Row],[Comments]])&lt;&gt;0, priority(Main[[#This Row],[Comments]]),"")</f>
        <v/>
      </c>
      <c r="B1205" s="90" t="s">
        <v>1125</v>
      </c>
      <c r="C1205" s="72" t="s">
        <v>4</v>
      </c>
      <c r="D1205" s="73" t="s">
        <v>155</v>
      </c>
      <c r="E1205" s="74"/>
      <c r="F1205" s="74"/>
      <c r="G1205" s="75" t="str">
        <f>IF(stdProdLT(Main[[#This Row],[Comments]])=0.1,"N/A",IF(stdProdLT(Main[[#This Row],[Comments]])=0,"",stdProdLT(Main[[#This Row],[Comments]])))</f>
        <v/>
      </c>
      <c r="H1205" s="76" t="str">
        <f>IF(AND(Main[[#This Row],[In Stock Date]]&lt;&gt;"",Main[[#This Row],[Revised Due Date]]&lt;&gt;""),Main[[#This Row],[In Stock Date]]-Main[[#This Row],[Revised Due Date]],"")</f>
        <v/>
      </c>
      <c r="I1205" s="72" t="s">
        <v>4</v>
      </c>
      <c r="J1205" s="72" t="s">
        <v>4</v>
      </c>
      <c r="K1205" s="81" t="s">
        <v>4</v>
      </c>
      <c r="L1205" s="74"/>
      <c r="M1205" s="77" t="str">
        <f>IF(Main[[#This Row],[Tech Start Date]]&lt;1/1/1990,"",IF(Main[[#This Row],[Class]]="C",WORKDAY(Main[[#This Row],[Tech Start Date]],9),IF(Main[[#This Row],[Class]]="B", WORKDAY(Main[[#This Row],[Tech Start Date]],6),IF(Main[[#This Row],[Class]]="A",WORKDAY(Main[[#This Row],[Tech Start Date]],2),""))))</f>
        <v/>
      </c>
      <c r="N1205" s="77" t="str">
        <f>IF(Main[[#This Row],[Tech Start Date]]&lt;1/1/1990,"",IF(Main[[#This Row],[Class]]="C",WORKDAY(Main[[#This Row],[Tech Start Date]],19),IF(Main[[#This Row],[Class]]="B", WORKDAY(Main[[#This Row],[Tech Start Date]],12),IF(Main[[#This Row],[Class]]="A",WORKDAY(Main[[#This Row],[Tech Start Date]],4),""))))</f>
        <v/>
      </c>
      <c r="O1205" s="77" t="str">
        <f>IF(Main[[#This Row],[Tech Start Date]]&lt;1/1/1990,"",IF(Main[[#This Row],[Class]]="C",WORKDAY(Main[[#This Row],[Tech Start Date]],23),IF(Main[[#This Row],[Class]]="B", WORKDAY(Main[[#This Row],[Tech Start Date]],15),IF(Main[[#This Row],[Class]]="A",WORKDAY(Main[[#This Row],[Tech Start Date]],5),""))))</f>
        <v/>
      </c>
      <c r="P1205" s="77" t="str">
        <f>IF(Main[[#This Row],[Tech Start Date]]&lt;1/1/1990,"",IF(Main[[#This Row],[Class]]="C",WORKDAY(Main[[#This Row],[Tech Start Date]],28),IF(Main[[#This Row],[Class]]="B", WORKDAY(Main[[#This Row],[Tech Start Date]],19),IF(Main[[#This Row],[Class]]="A",WORKDAY(Main[[#This Row],[Tech Start Date]],9),""))))</f>
        <v/>
      </c>
      <c r="Q1205" s="74">
        <v>40619</v>
      </c>
      <c r="R1205" s="74"/>
      <c r="S1205" s="72" t="s">
        <v>49</v>
      </c>
      <c r="T1205" s="80" t="s">
        <v>4</v>
      </c>
      <c r="U1205" s="72" t="s">
        <v>14</v>
      </c>
      <c r="V1205" s="72" t="s">
        <v>1940</v>
      </c>
      <c r="W1205" s="72" t="s">
        <v>1945</v>
      </c>
      <c r="X1205" s="72" t="s">
        <v>50</v>
      </c>
      <c r="Y1205" s="72" t="s">
        <v>3154</v>
      </c>
      <c r="Z1205" s="72" t="s">
        <v>4</v>
      </c>
    </row>
    <row r="1206" spans="1:26" ht="18.600000000000001" customHeight="1">
      <c r="A1206" s="142" t="str">
        <f>IF(priority(Main[[#This Row],[Comments]])&lt;&gt;0, priority(Main[[#This Row],[Comments]]),"")</f>
        <v/>
      </c>
      <c r="B1206" s="90" t="s">
        <v>2914</v>
      </c>
      <c r="C1206" s="72" t="s">
        <v>4</v>
      </c>
      <c r="D1206" s="73" t="s">
        <v>2915</v>
      </c>
      <c r="E1206" s="74">
        <v>40883.621099537035</v>
      </c>
      <c r="F1206" s="74"/>
      <c r="G1206" s="75" t="str">
        <f>IF(stdProdLT(Main[[#This Row],[Comments]])=0.1,"N/A",IF(stdProdLT(Main[[#This Row],[Comments]])=0,"",stdProdLT(Main[[#This Row],[Comments]])))</f>
        <v/>
      </c>
      <c r="H1206" s="76" t="str">
        <f>IF(AND(Main[[#This Row],[In Stock Date]]&lt;&gt;"",Main[[#This Row],[Revised Due Date]]&lt;&gt;""),Main[[#This Row],[In Stock Date]]-Main[[#This Row],[Revised Due Date]],"")</f>
        <v/>
      </c>
      <c r="I1206" s="72" t="s">
        <v>165</v>
      </c>
      <c r="J1206" s="72" t="s">
        <v>4</v>
      </c>
      <c r="K1206" s="72" t="s">
        <v>1949</v>
      </c>
      <c r="L1206" s="74"/>
      <c r="M1206" s="77" t="str">
        <f>IF(Main[[#This Row],[Tech Start Date]]&lt;1/1/1990,"",IF(Main[[#This Row],[Class]]="C",WORKDAY(Main[[#This Row],[Tech Start Date]],9),IF(Main[[#This Row],[Class]]="B", WORKDAY(Main[[#This Row],[Tech Start Date]],6),IF(Main[[#This Row],[Class]]="A",WORKDAY(Main[[#This Row],[Tech Start Date]],2),""))))</f>
        <v/>
      </c>
      <c r="N1206" s="77" t="str">
        <f>IF(Main[[#This Row],[Tech Start Date]]&lt;1/1/1990,"",IF(Main[[#This Row],[Class]]="C",WORKDAY(Main[[#This Row],[Tech Start Date]],19),IF(Main[[#This Row],[Class]]="B", WORKDAY(Main[[#This Row],[Tech Start Date]],12),IF(Main[[#This Row],[Class]]="A",WORKDAY(Main[[#This Row],[Tech Start Date]],4),""))))</f>
        <v/>
      </c>
      <c r="O1206" s="77" t="str">
        <f>IF(Main[[#This Row],[Tech Start Date]]&lt;1/1/1990,"",IF(Main[[#This Row],[Class]]="C",WORKDAY(Main[[#This Row],[Tech Start Date]],23),IF(Main[[#This Row],[Class]]="B", WORKDAY(Main[[#This Row],[Tech Start Date]],15),IF(Main[[#This Row],[Class]]="A",WORKDAY(Main[[#This Row],[Tech Start Date]],5),""))))</f>
        <v/>
      </c>
      <c r="P1206" s="77" t="str">
        <f>IF(Main[[#This Row],[Tech Start Date]]&lt;1/1/1990,"",IF(Main[[#This Row],[Class]]="C",WORKDAY(Main[[#This Row],[Tech Start Date]],28),IF(Main[[#This Row],[Class]]="B", WORKDAY(Main[[#This Row],[Tech Start Date]],19),IF(Main[[#This Row],[Class]]="A",WORKDAY(Main[[#This Row],[Tech Start Date]],9),""))))</f>
        <v/>
      </c>
      <c r="Q1206" s="74"/>
      <c r="R1206" s="74"/>
      <c r="S1206" s="72" t="s">
        <v>17</v>
      </c>
      <c r="T1206" s="80" t="s">
        <v>4</v>
      </c>
      <c r="U1206" s="72" t="s">
        <v>29</v>
      </c>
      <c r="V1206" s="72" t="s">
        <v>1940</v>
      </c>
      <c r="W1206" s="72" t="s">
        <v>1942</v>
      </c>
      <c r="X1206" s="72" t="s">
        <v>421</v>
      </c>
      <c r="Y1206" s="72" t="s">
        <v>3133</v>
      </c>
      <c r="Z1206" s="72" t="s">
        <v>421</v>
      </c>
    </row>
    <row r="1207" spans="1:26" ht="18.600000000000001" customHeight="1">
      <c r="A1207" s="142" t="str">
        <f>IF(priority(Main[[#This Row],[Comments]])&lt;&gt;0, priority(Main[[#This Row],[Comments]]),"")</f>
        <v/>
      </c>
      <c r="B1207" s="90" t="s">
        <v>1042</v>
      </c>
      <c r="C1207" s="72" t="s">
        <v>4</v>
      </c>
      <c r="D1207" s="73" t="s">
        <v>2916</v>
      </c>
      <c r="E1207" s="74">
        <v>40294.37054398148</v>
      </c>
      <c r="F1207" s="74"/>
      <c r="G1207" s="75" t="str">
        <f>IF(stdProdLT(Main[[#This Row],[Comments]])=0.1,"N/A",IF(stdProdLT(Main[[#This Row],[Comments]])=0,"",stdProdLT(Main[[#This Row],[Comments]])))</f>
        <v/>
      </c>
      <c r="H1207" s="76" t="str">
        <f>IF(AND(Main[[#This Row],[In Stock Date]]&lt;&gt;"",Main[[#This Row],[Revised Due Date]]&lt;&gt;""),Main[[#This Row],[In Stock Date]]-Main[[#This Row],[Revised Due Date]],"")</f>
        <v/>
      </c>
      <c r="I1207" s="72" t="s">
        <v>173</v>
      </c>
      <c r="J1207" s="72" t="s">
        <v>21</v>
      </c>
      <c r="K1207" s="72" t="s">
        <v>1946</v>
      </c>
      <c r="L1207" s="74"/>
      <c r="M1207" s="77" t="str">
        <f>IF(Main[[#This Row],[Tech Start Date]]&lt;1/1/1990,"",IF(Main[[#This Row],[Class]]="C",WORKDAY(Main[[#This Row],[Tech Start Date]],9),IF(Main[[#This Row],[Class]]="B", WORKDAY(Main[[#This Row],[Tech Start Date]],6),IF(Main[[#This Row],[Class]]="A",WORKDAY(Main[[#This Row],[Tech Start Date]],2),""))))</f>
        <v/>
      </c>
      <c r="N1207" s="77" t="str">
        <f>IF(Main[[#This Row],[Tech Start Date]]&lt;1/1/1990,"",IF(Main[[#This Row],[Class]]="C",WORKDAY(Main[[#This Row],[Tech Start Date]],19),IF(Main[[#This Row],[Class]]="B", WORKDAY(Main[[#This Row],[Tech Start Date]],12),IF(Main[[#This Row],[Class]]="A",WORKDAY(Main[[#This Row],[Tech Start Date]],4),""))))</f>
        <v/>
      </c>
      <c r="O1207" s="77" t="str">
        <f>IF(Main[[#This Row],[Tech Start Date]]&lt;1/1/1990,"",IF(Main[[#This Row],[Class]]="C",WORKDAY(Main[[#This Row],[Tech Start Date]],23),IF(Main[[#This Row],[Class]]="B", WORKDAY(Main[[#This Row],[Tech Start Date]],15),IF(Main[[#This Row],[Class]]="A",WORKDAY(Main[[#This Row],[Tech Start Date]],5),""))))</f>
        <v/>
      </c>
      <c r="P1207" s="77" t="str">
        <f>IF(Main[[#This Row],[Tech Start Date]]&lt;1/1/1990,"",IF(Main[[#This Row],[Class]]="C",WORKDAY(Main[[#This Row],[Tech Start Date]],28),IF(Main[[#This Row],[Class]]="B", WORKDAY(Main[[#This Row],[Tech Start Date]],19),IF(Main[[#This Row],[Class]]="A",WORKDAY(Main[[#This Row],[Tech Start Date]],9),""))))</f>
        <v/>
      </c>
      <c r="Q1207" s="74">
        <v>40909</v>
      </c>
      <c r="R1207" s="74"/>
      <c r="S1207" s="72" t="s">
        <v>6</v>
      </c>
      <c r="T1207" s="80" t="s">
        <v>4</v>
      </c>
      <c r="U1207" s="72" t="s">
        <v>29</v>
      </c>
      <c r="V1207" s="72" t="s">
        <v>1940</v>
      </c>
      <c r="W1207" s="72" t="s">
        <v>1941</v>
      </c>
      <c r="X1207" s="72" t="s">
        <v>2971</v>
      </c>
      <c r="Y1207" s="72" t="s">
        <v>3090</v>
      </c>
      <c r="Z1207" s="72" t="s">
        <v>242</v>
      </c>
    </row>
    <row r="1208" spans="1:26" ht="18.600000000000001" customHeight="1">
      <c r="A1208" s="142" t="str">
        <f>IF(priority(Main[[#This Row],[Comments]])&lt;&gt;0, priority(Main[[#This Row],[Comments]]),"")</f>
        <v/>
      </c>
      <c r="B1208" s="90" t="s">
        <v>3455</v>
      </c>
      <c r="C1208" s="72" t="s">
        <v>4</v>
      </c>
      <c r="D1208" s="73" t="s">
        <v>3456</v>
      </c>
      <c r="E1208" s="74">
        <v>40924.344918981478</v>
      </c>
      <c r="F1208" s="74"/>
      <c r="G1208" s="75" t="str">
        <f>IF(stdProdLT(Main[[#This Row],[Comments]])=0.1,"N/A",IF(stdProdLT(Main[[#This Row],[Comments]])=0,"",stdProdLT(Main[[#This Row],[Comments]])))</f>
        <v/>
      </c>
      <c r="H1208" s="76" t="str">
        <f>IF(AND(Main[[#This Row],[In Stock Date]]&lt;&gt;"",Main[[#This Row],[Revised Due Date]]&lt;&gt;""),Main[[#This Row],[In Stock Date]]-Main[[#This Row],[Revised Due Date]],"")</f>
        <v/>
      </c>
      <c r="I1208" s="72" t="s">
        <v>4</v>
      </c>
      <c r="J1208" s="72" t="s">
        <v>4</v>
      </c>
      <c r="K1208" s="72" t="s">
        <v>4</v>
      </c>
      <c r="L1208" s="74"/>
      <c r="M1208" s="77" t="str">
        <f>IF(Main[[#This Row],[Tech Start Date]]&lt;1/1/1990,"",IF(Main[[#This Row],[Class]]="C",WORKDAY(Main[[#This Row],[Tech Start Date]],9),IF(Main[[#This Row],[Class]]="B", WORKDAY(Main[[#This Row],[Tech Start Date]],6),IF(Main[[#This Row],[Class]]="A",WORKDAY(Main[[#This Row],[Tech Start Date]],2),""))))</f>
        <v/>
      </c>
      <c r="N1208" s="77" t="str">
        <f>IF(Main[[#This Row],[Tech Start Date]]&lt;1/1/1990,"",IF(Main[[#This Row],[Class]]="C",WORKDAY(Main[[#This Row],[Tech Start Date]],19),IF(Main[[#This Row],[Class]]="B", WORKDAY(Main[[#This Row],[Tech Start Date]],12),IF(Main[[#This Row],[Class]]="A",WORKDAY(Main[[#This Row],[Tech Start Date]],4),""))))</f>
        <v/>
      </c>
      <c r="O1208" s="77" t="str">
        <f>IF(Main[[#This Row],[Tech Start Date]]&lt;1/1/1990,"",IF(Main[[#This Row],[Class]]="C",WORKDAY(Main[[#This Row],[Tech Start Date]],23),IF(Main[[#This Row],[Class]]="B", WORKDAY(Main[[#This Row],[Tech Start Date]],15),IF(Main[[#This Row],[Class]]="A",WORKDAY(Main[[#This Row],[Tech Start Date]],5),""))))</f>
        <v/>
      </c>
      <c r="P1208" s="77" t="str">
        <f>IF(Main[[#This Row],[Tech Start Date]]&lt;1/1/1990,"",IF(Main[[#This Row],[Class]]="C",WORKDAY(Main[[#This Row],[Tech Start Date]],28),IF(Main[[#This Row],[Class]]="B", WORKDAY(Main[[#This Row],[Tech Start Date]],19),IF(Main[[#This Row],[Class]]="A",WORKDAY(Main[[#This Row],[Tech Start Date]],9),""))))</f>
        <v/>
      </c>
      <c r="Q1208" s="74">
        <v>40952</v>
      </c>
      <c r="R1208" s="74"/>
      <c r="S1208" s="72" t="s">
        <v>6</v>
      </c>
      <c r="T1208" s="80" t="s">
        <v>4</v>
      </c>
      <c r="U1208" s="72" t="s">
        <v>7</v>
      </c>
      <c r="V1208" s="72" t="s">
        <v>1940</v>
      </c>
      <c r="W1208" s="72" t="s">
        <v>4</v>
      </c>
      <c r="X1208" s="72" t="s">
        <v>2974</v>
      </c>
      <c r="Y1208" s="72" t="s">
        <v>3096</v>
      </c>
      <c r="Z1208" s="72" t="s">
        <v>4</v>
      </c>
    </row>
    <row r="1209" spans="1:26" ht="18.600000000000001" customHeight="1">
      <c r="A1209" s="142" t="str">
        <f>IF(priority(Main[[#This Row],[Comments]])&lt;&gt;0, priority(Main[[#This Row],[Comments]]),"")</f>
        <v/>
      </c>
      <c r="B1209" s="90" t="s">
        <v>2217</v>
      </c>
      <c r="C1209" s="72" t="s">
        <v>4</v>
      </c>
      <c r="D1209" s="73" t="s">
        <v>2218</v>
      </c>
      <c r="E1209" s="74">
        <v>40792.385717592595</v>
      </c>
      <c r="F1209" s="74"/>
      <c r="G1209" s="75" t="str">
        <f>IF(stdProdLT(Main[[#This Row],[Comments]])=0.1,"N/A",IF(stdProdLT(Main[[#This Row],[Comments]])=0,"",stdProdLT(Main[[#This Row],[Comments]])))</f>
        <v/>
      </c>
      <c r="H1209" s="76" t="str">
        <f>IF(AND(Main[[#This Row],[In Stock Date]]&lt;&gt;"",Main[[#This Row],[Revised Due Date]]&lt;&gt;""),Main[[#This Row],[In Stock Date]]-Main[[#This Row],[Revised Due Date]],"")</f>
        <v/>
      </c>
      <c r="I1209" s="72" t="s">
        <v>81</v>
      </c>
      <c r="J1209" s="72" t="s">
        <v>70</v>
      </c>
      <c r="K1209" s="72" t="s">
        <v>1946</v>
      </c>
      <c r="L1209" s="74"/>
      <c r="M1209" s="77" t="str">
        <f>IF(Main[[#This Row],[Tech Start Date]]&lt;1/1/1990,"",IF(Main[[#This Row],[Class]]="C",WORKDAY(Main[[#This Row],[Tech Start Date]],9),IF(Main[[#This Row],[Class]]="B", WORKDAY(Main[[#This Row],[Tech Start Date]],6),IF(Main[[#This Row],[Class]]="A",WORKDAY(Main[[#This Row],[Tech Start Date]],2),""))))</f>
        <v/>
      </c>
      <c r="N1209" s="77" t="str">
        <f>IF(Main[[#This Row],[Tech Start Date]]&lt;1/1/1990,"",IF(Main[[#This Row],[Class]]="C",WORKDAY(Main[[#This Row],[Tech Start Date]],19),IF(Main[[#This Row],[Class]]="B", WORKDAY(Main[[#This Row],[Tech Start Date]],12),IF(Main[[#This Row],[Class]]="A",WORKDAY(Main[[#This Row],[Tech Start Date]],4),""))))</f>
        <v/>
      </c>
      <c r="O1209" s="77" t="str">
        <f>IF(Main[[#This Row],[Tech Start Date]]&lt;1/1/1990,"",IF(Main[[#This Row],[Class]]="C",WORKDAY(Main[[#This Row],[Tech Start Date]],23),IF(Main[[#This Row],[Class]]="B", WORKDAY(Main[[#This Row],[Tech Start Date]],15),IF(Main[[#This Row],[Class]]="A",WORKDAY(Main[[#This Row],[Tech Start Date]],5),""))))</f>
        <v/>
      </c>
      <c r="P1209" s="77" t="str">
        <f>IF(Main[[#This Row],[Tech Start Date]]&lt;1/1/1990,"",IF(Main[[#This Row],[Class]]="C",WORKDAY(Main[[#This Row],[Tech Start Date]],28),IF(Main[[#This Row],[Class]]="B", WORKDAY(Main[[#This Row],[Tech Start Date]],19),IF(Main[[#This Row],[Class]]="A",WORKDAY(Main[[#This Row],[Tech Start Date]],9),""))))</f>
        <v/>
      </c>
      <c r="Q1209" s="74">
        <v>40823</v>
      </c>
      <c r="R1209" s="74"/>
      <c r="S1209" s="72" t="s">
        <v>6</v>
      </c>
      <c r="T1209" s="80" t="s">
        <v>4</v>
      </c>
      <c r="U1209" s="72" t="s">
        <v>29</v>
      </c>
      <c r="V1209" s="72" t="s">
        <v>1940</v>
      </c>
      <c r="W1209" s="72" t="s">
        <v>1941</v>
      </c>
      <c r="X1209" s="72" t="s">
        <v>2970</v>
      </c>
      <c r="Y1209" s="72" t="s">
        <v>3087</v>
      </c>
      <c r="Z1209" s="72" t="s">
        <v>30</v>
      </c>
    </row>
    <row r="1210" spans="1:26" ht="18.600000000000001" customHeight="1">
      <c r="A1210" s="142" t="str">
        <f>IF(priority(Main[[#This Row],[Comments]])&lt;&gt;0, priority(Main[[#This Row],[Comments]]),"")</f>
        <v/>
      </c>
      <c r="B1210" s="90" t="s">
        <v>3499</v>
      </c>
      <c r="C1210" s="72" t="s">
        <v>33</v>
      </c>
      <c r="D1210" s="73" t="s">
        <v>3500</v>
      </c>
      <c r="E1210" s="74">
        <v>40926.303738425922</v>
      </c>
      <c r="F1210" s="74">
        <v>41047</v>
      </c>
      <c r="G1210" s="75" t="str">
        <f>IF(stdProdLT(Main[[#This Row],[Comments]])=0.1,"N/A",IF(stdProdLT(Main[[#This Row],[Comments]])=0,"",stdProdLT(Main[[#This Row],[Comments]])))</f>
        <v/>
      </c>
      <c r="H1210" s="76" t="str">
        <f>IF(AND(Main[[#This Row],[In Stock Date]]&lt;&gt;"",Main[[#This Row],[Revised Due Date]]&lt;&gt;""),Main[[#This Row],[In Stock Date]]-Main[[#This Row],[Revised Due Date]],"")</f>
        <v/>
      </c>
      <c r="I1210" s="72" t="s">
        <v>4</v>
      </c>
      <c r="J1210" s="72" t="s">
        <v>4</v>
      </c>
      <c r="K1210" s="72" t="s">
        <v>4</v>
      </c>
      <c r="L1210" s="74"/>
      <c r="M1210" s="77" t="str">
        <f>IF(Main[[#This Row],[Tech Start Date]]&lt;1/1/1990,"",IF(Main[[#This Row],[Class]]="C",WORKDAY(Main[[#This Row],[Tech Start Date]],9),IF(Main[[#This Row],[Class]]="B", WORKDAY(Main[[#This Row],[Tech Start Date]],6),IF(Main[[#This Row],[Class]]="A",WORKDAY(Main[[#This Row],[Tech Start Date]],2),""))))</f>
        <v/>
      </c>
      <c r="N1210" s="77" t="str">
        <f>IF(Main[[#This Row],[Tech Start Date]]&lt;1/1/1990,"",IF(Main[[#This Row],[Class]]="C",WORKDAY(Main[[#This Row],[Tech Start Date]],19),IF(Main[[#This Row],[Class]]="B", WORKDAY(Main[[#This Row],[Tech Start Date]],12),IF(Main[[#This Row],[Class]]="A",WORKDAY(Main[[#This Row],[Tech Start Date]],4),""))))</f>
        <v/>
      </c>
      <c r="O1210" s="77" t="str">
        <f>IF(Main[[#This Row],[Tech Start Date]]&lt;1/1/1990,"",IF(Main[[#This Row],[Class]]="C",WORKDAY(Main[[#This Row],[Tech Start Date]],23),IF(Main[[#This Row],[Class]]="B", WORKDAY(Main[[#This Row],[Tech Start Date]],15),IF(Main[[#This Row],[Class]]="A",WORKDAY(Main[[#This Row],[Tech Start Date]],5),""))))</f>
        <v/>
      </c>
      <c r="P1210" s="77" t="str">
        <f>IF(Main[[#This Row],[Tech Start Date]]&lt;1/1/1990,"",IF(Main[[#This Row],[Class]]="C",WORKDAY(Main[[#This Row],[Tech Start Date]],28),IF(Main[[#This Row],[Class]]="B", WORKDAY(Main[[#This Row],[Tech Start Date]],19),IF(Main[[#This Row],[Class]]="A",WORKDAY(Main[[#This Row],[Tech Start Date]],9),""))))</f>
        <v/>
      </c>
      <c r="Q1210" s="74"/>
      <c r="R1210" s="74"/>
      <c r="S1210" s="72" t="s">
        <v>11</v>
      </c>
      <c r="T1210" s="80" t="s">
        <v>4</v>
      </c>
      <c r="U1210" s="72" t="s">
        <v>7</v>
      </c>
      <c r="V1210" s="72" t="s">
        <v>1938</v>
      </c>
      <c r="W1210" s="72" t="s">
        <v>1942</v>
      </c>
      <c r="X1210" s="72" t="s">
        <v>3027</v>
      </c>
      <c r="Y1210" s="72" t="s">
        <v>3179</v>
      </c>
      <c r="Z1210" s="72" t="s">
        <v>4</v>
      </c>
    </row>
    <row r="1211" spans="1:26" ht="18.600000000000001" customHeight="1">
      <c r="A1211" s="142" t="str">
        <f>IF(priority(Main[[#This Row],[Comments]])&lt;&gt;0, priority(Main[[#This Row],[Comments]]),"")</f>
        <v/>
      </c>
      <c r="B1211" s="90" t="s">
        <v>2821</v>
      </c>
      <c r="C1211" s="72" t="s">
        <v>4</v>
      </c>
      <c r="D1211" s="73" t="s">
        <v>3503</v>
      </c>
      <c r="E1211" s="74">
        <v>40914.65115740741</v>
      </c>
      <c r="F1211" s="74"/>
      <c r="G1211" s="75" t="str">
        <f>IF(stdProdLT(Main[[#This Row],[Comments]])=0.1,"N/A",IF(stdProdLT(Main[[#This Row],[Comments]])=0,"",stdProdLT(Main[[#This Row],[Comments]])))</f>
        <v/>
      </c>
      <c r="H1211" s="76" t="str">
        <f>IF(AND(Main[[#This Row],[In Stock Date]]&lt;&gt;"",Main[[#This Row],[Revised Due Date]]&lt;&gt;""),Main[[#This Row],[In Stock Date]]-Main[[#This Row],[Revised Due Date]],"")</f>
        <v/>
      </c>
      <c r="I1211" s="72" t="s">
        <v>102</v>
      </c>
      <c r="J1211" s="72" t="s">
        <v>75</v>
      </c>
      <c r="K1211" s="72" t="s">
        <v>1946</v>
      </c>
      <c r="L1211" s="74"/>
      <c r="M1211" s="77" t="str">
        <f>IF(Main[[#This Row],[Tech Start Date]]&lt;1/1/1990,"",IF(Main[[#This Row],[Class]]="C",WORKDAY(Main[[#This Row],[Tech Start Date]],9),IF(Main[[#This Row],[Class]]="B", WORKDAY(Main[[#This Row],[Tech Start Date]],6),IF(Main[[#This Row],[Class]]="A",WORKDAY(Main[[#This Row],[Tech Start Date]],2),""))))</f>
        <v/>
      </c>
      <c r="N1211" s="77" t="str">
        <f>IF(Main[[#This Row],[Tech Start Date]]&lt;1/1/1990,"",IF(Main[[#This Row],[Class]]="C",WORKDAY(Main[[#This Row],[Tech Start Date]],19),IF(Main[[#This Row],[Class]]="B", WORKDAY(Main[[#This Row],[Tech Start Date]],12),IF(Main[[#This Row],[Class]]="A",WORKDAY(Main[[#This Row],[Tech Start Date]],4),""))))</f>
        <v/>
      </c>
      <c r="O1211" s="77" t="str">
        <f>IF(Main[[#This Row],[Tech Start Date]]&lt;1/1/1990,"",IF(Main[[#This Row],[Class]]="C",WORKDAY(Main[[#This Row],[Tech Start Date]],23),IF(Main[[#This Row],[Class]]="B", WORKDAY(Main[[#This Row],[Tech Start Date]],15),IF(Main[[#This Row],[Class]]="A",WORKDAY(Main[[#This Row],[Tech Start Date]],5),""))))</f>
        <v/>
      </c>
      <c r="P1211" s="77" t="str">
        <f>IF(Main[[#This Row],[Tech Start Date]]&lt;1/1/1990,"",IF(Main[[#This Row],[Class]]="C",WORKDAY(Main[[#This Row],[Tech Start Date]],28),IF(Main[[#This Row],[Class]]="B", WORKDAY(Main[[#This Row],[Tech Start Date]],19),IF(Main[[#This Row],[Class]]="A",WORKDAY(Main[[#This Row],[Tech Start Date]],9),""))))</f>
        <v/>
      </c>
      <c r="Q1211" s="74"/>
      <c r="R1211" s="74"/>
      <c r="S1211" s="72" t="s">
        <v>6</v>
      </c>
      <c r="T1211" s="80" t="s">
        <v>4</v>
      </c>
      <c r="U1211" s="72" t="s">
        <v>29</v>
      </c>
      <c r="V1211" s="72" t="s">
        <v>1940</v>
      </c>
      <c r="W1211" s="72" t="s">
        <v>1941</v>
      </c>
      <c r="X1211" s="72" t="s">
        <v>102</v>
      </c>
      <c r="Y1211" s="72" t="s">
        <v>3246</v>
      </c>
      <c r="Z1211" s="72" t="s">
        <v>311</v>
      </c>
    </row>
    <row r="1212" spans="1:26" ht="18.600000000000001" customHeight="1">
      <c r="A1212" s="142" t="str">
        <f>IF(priority(Main[[#This Row],[Comments]])&lt;&gt;0, priority(Main[[#This Row],[Comments]]),"")</f>
        <v/>
      </c>
      <c r="B1212" s="90" t="s">
        <v>2638</v>
      </c>
      <c r="C1212" s="72" t="s">
        <v>4</v>
      </c>
      <c r="D1212" s="73" t="s">
        <v>2911</v>
      </c>
      <c r="E1212" s="74">
        <v>40870.473611111112</v>
      </c>
      <c r="F1212" s="74"/>
      <c r="G1212" s="75" t="str">
        <f>IF(stdProdLT(Main[[#This Row],[Comments]])=0.1,"N/A",IF(stdProdLT(Main[[#This Row],[Comments]])=0,"",stdProdLT(Main[[#This Row],[Comments]])))</f>
        <v/>
      </c>
      <c r="H1212" s="76" t="str">
        <f>IF(AND(Main[[#This Row],[In Stock Date]]&lt;&gt;"",Main[[#This Row],[Revised Due Date]]&lt;&gt;""),Main[[#This Row],[In Stock Date]]-Main[[#This Row],[Revised Due Date]],"")</f>
        <v/>
      </c>
      <c r="I1212" s="72" t="s">
        <v>435</v>
      </c>
      <c r="J1212" s="72" t="s">
        <v>28</v>
      </c>
      <c r="K1212" s="72" t="s">
        <v>1946</v>
      </c>
      <c r="L1212" s="74"/>
      <c r="M1212" s="77" t="str">
        <f>IF(Main[[#This Row],[Tech Start Date]]&lt;1/1/1990,"",IF(Main[[#This Row],[Class]]="C",WORKDAY(Main[[#This Row],[Tech Start Date]],9),IF(Main[[#This Row],[Class]]="B", WORKDAY(Main[[#This Row],[Tech Start Date]],6),IF(Main[[#This Row],[Class]]="A",WORKDAY(Main[[#This Row],[Tech Start Date]],2),""))))</f>
        <v/>
      </c>
      <c r="N1212" s="77" t="str">
        <f>IF(Main[[#This Row],[Tech Start Date]]&lt;1/1/1990,"",IF(Main[[#This Row],[Class]]="C",WORKDAY(Main[[#This Row],[Tech Start Date]],19),IF(Main[[#This Row],[Class]]="B", WORKDAY(Main[[#This Row],[Tech Start Date]],12),IF(Main[[#This Row],[Class]]="A",WORKDAY(Main[[#This Row],[Tech Start Date]],4),""))))</f>
        <v/>
      </c>
      <c r="O1212" s="77" t="str">
        <f>IF(Main[[#This Row],[Tech Start Date]]&lt;1/1/1990,"",IF(Main[[#This Row],[Class]]="C",WORKDAY(Main[[#This Row],[Tech Start Date]],23),IF(Main[[#This Row],[Class]]="B", WORKDAY(Main[[#This Row],[Tech Start Date]],15),IF(Main[[#This Row],[Class]]="A",WORKDAY(Main[[#This Row],[Tech Start Date]],5),""))))</f>
        <v/>
      </c>
      <c r="P1212" s="77" t="str">
        <f>IF(Main[[#This Row],[Tech Start Date]]&lt;1/1/1990,"",IF(Main[[#This Row],[Class]]="C",WORKDAY(Main[[#This Row],[Tech Start Date]],28),IF(Main[[#This Row],[Class]]="B", WORKDAY(Main[[#This Row],[Tech Start Date]],19),IF(Main[[#This Row],[Class]]="A",WORKDAY(Main[[#This Row],[Tech Start Date]],9),""))))</f>
        <v/>
      </c>
      <c r="Q1212" s="74">
        <v>40905</v>
      </c>
      <c r="R1212" s="74"/>
      <c r="S1212" s="72" t="s">
        <v>6</v>
      </c>
      <c r="T1212" s="80" t="s">
        <v>4</v>
      </c>
      <c r="U1212" s="72" t="s">
        <v>29</v>
      </c>
      <c r="V1212" s="72" t="s">
        <v>1940</v>
      </c>
      <c r="W1212" s="72" t="s">
        <v>1941</v>
      </c>
      <c r="X1212" s="72" t="s">
        <v>2078</v>
      </c>
      <c r="Y1212" s="72" t="s">
        <v>3218</v>
      </c>
      <c r="Z1212" s="72" t="s">
        <v>30</v>
      </c>
    </row>
    <row r="1213" spans="1:26" ht="18.600000000000001" customHeight="1">
      <c r="A1213" s="142" t="str">
        <f>IF(priority(Main[[#This Row],[Comments]])&lt;&gt;0, priority(Main[[#This Row],[Comments]]),"")</f>
        <v/>
      </c>
      <c r="B1213" s="90" t="s">
        <v>1144</v>
      </c>
      <c r="C1213" s="72" t="s">
        <v>4</v>
      </c>
      <c r="D1213" s="73" t="s">
        <v>180</v>
      </c>
      <c r="E1213" s="74">
        <v>40430.633981481478</v>
      </c>
      <c r="F1213" s="74">
        <v>40522</v>
      </c>
      <c r="G1213" s="75" t="str">
        <f>IF(stdProdLT(Main[[#This Row],[Comments]])=0.1,"N/A",IF(stdProdLT(Main[[#This Row],[Comments]])=0,"",stdProdLT(Main[[#This Row],[Comments]])))</f>
        <v/>
      </c>
      <c r="H1213" s="76" t="str">
        <f>IF(AND(Main[[#This Row],[In Stock Date]]&lt;&gt;"",Main[[#This Row],[Revised Due Date]]&lt;&gt;""),Main[[#This Row],[In Stock Date]]-Main[[#This Row],[Revised Due Date]],"")</f>
        <v/>
      </c>
      <c r="I1213" s="72" t="s">
        <v>242</v>
      </c>
      <c r="J1213" s="72" t="s">
        <v>21</v>
      </c>
      <c r="K1213" s="72" t="s">
        <v>4</v>
      </c>
      <c r="L1213" s="74"/>
      <c r="M1213" s="77" t="str">
        <f>IF(Main[[#This Row],[Tech Start Date]]&lt;1/1/1990,"",IF(Main[[#This Row],[Class]]="C",WORKDAY(Main[[#This Row],[Tech Start Date]],9),IF(Main[[#This Row],[Class]]="B", WORKDAY(Main[[#This Row],[Tech Start Date]],6),IF(Main[[#This Row],[Class]]="A",WORKDAY(Main[[#This Row],[Tech Start Date]],2),""))))</f>
        <v/>
      </c>
      <c r="N1213" s="77" t="str">
        <f>IF(Main[[#This Row],[Tech Start Date]]&lt;1/1/1990,"",IF(Main[[#This Row],[Class]]="C",WORKDAY(Main[[#This Row],[Tech Start Date]],19),IF(Main[[#This Row],[Class]]="B", WORKDAY(Main[[#This Row],[Tech Start Date]],12),IF(Main[[#This Row],[Class]]="A",WORKDAY(Main[[#This Row],[Tech Start Date]],4),""))))</f>
        <v/>
      </c>
      <c r="O1213" s="77" t="str">
        <f>IF(Main[[#This Row],[Tech Start Date]]&lt;1/1/1990,"",IF(Main[[#This Row],[Class]]="C",WORKDAY(Main[[#This Row],[Tech Start Date]],23),IF(Main[[#This Row],[Class]]="B", WORKDAY(Main[[#This Row],[Tech Start Date]],15),IF(Main[[#This Row],[Class]]="A",WORKDAY(Main[[#This Row],[Tech Start Date]],5),""))))</f>
        <v/>
      </c>
      <c r="P1213" s="77" t="str">
        <f>IF(Main[[#This Row],[Tech Start Date]]&lt;1/1/1990,"",IF(Main[[#This Row],[Class]]="C",WORKDAY(Main[[#This Row],[Tech Start Date]],28),IF(Main[[#This Row],[Class]]="B", WORKDAY(Main[[#This Row],[Tech Start Date]],19),IF(Main[[#This Row],[Class]]="A",WORKDAY(Main[[#This Row],[Tech Start Date]],9),""))))</f>
        <v/>
      </c>
      <c r="Q1213" s="74">
        <v>40522</v>
      </c>
      <c r="R1213" s="74"/>
      <c r="S1213" s="72" t="s">
        <v>6</v>
      </c>
      <c r="T1213" s="80" t="s">
        <v>4</v>
      </c>
      <c r="U1213" s="72" t="s">
        <v>29</v>
      </c>
      <c r="V1213" s="72" t="s">
        <v>1940</v>
      </c>
      <c r="W1213" s="72" t="s">
        <v>1941</v>
      </c>
      <c r="X1213" s="72" t="s">
        <v>2971</v>
      </c>
      <c r="Y1213" s="72" t="s">
        <v>3090</v>
      </c>
      <c r="Z1213" s="72" t="s">
        <v>30</v>
      </c>
    </row>
    <row r="1214" spans="1:26" ht="18.600000000000001" customHeight="1">
      <c r="A1214" s="142" t="str">
        <f>IF(priority(Main[[#This Row],[Comments]])&lt;&gt;0, priority(Main[[#This Row],[Comments]]),"")</f>
        <v/>
      </c>
      <c r="B1214" s="90" t="s">
        <v>1477</v>
      </c>
      <c r="C1214" s="72" t="s">
        <v>4</v>
      </c>
      <c r="D1214" s="73" t="s">
        <v>530</v>
      </c>
      <c r="E1214" s="74">
        <v>40926.590763888889</v>
      </c>
      <c r="F1214" s="74"/>
      <c r="G1214" s="75" t="str">
        <f>IF(stdProdLT(Main[[#This Row],[Comments]])=0.1,"N/A",IF(stdProdLT(Main[[#This Row],[Comments]])=0,"",stdProdLT(Main[[#This Row],[Comments]])))</f>
        <v/>
      </c>
      <c r="H1214" s="76" t="str">
        <f>IF(AND(Main[[#This Row],[In Stock Date]]&lt;&gt;"",Main[[#This Row],[Revised Due Date]]&lt;&gt;""),Main[[#This Row],[In Stock Date]]-Main[[#This Row],[Revised Due Date]],"")</f>
        <v/>
      </c>
      <c r="I1214" s="72" t="s">
        <v>4</v>
      </c>
      <c r="J1214" s="72" t="s">
        <v>4</v>
      </c>
      <c r="K1214" s="81" t="s">
        <v>4</v>
      </c>
      <c r="L1214" s="74"/>
      <c r="M1214" s="77" t="str">
        <f>IF(Main[[#This Row],[Tech Start Date]]&lt;1/1/1990,"",IF(Main[[#This Row],[Class]]="C",WORKDAY(Main[[#This Row],[Tech Start Date]],9),IF(Main[[#This Row],[Class]]="B", WORKDAY(Main[[#This Row],[Tech Start Date]],6),IF(Main[[#This Row],[Class]]="A",WORKDAY(Main[[#This Row],[Tech Start Date]],2),""))))</f>
        <v/>
      </c>
      <c r="N1214" s="77" t="str">
        <f>IF(Main[[#This Row],[Tech Start Date]]&lt;1/1/1990,"",IF(Main[[#This Row],[Class]]="C",WORKDAY(Main[[#This Row],[Tech Start Date]],19),IF(Main[[#This Row],[Class]]="B", WORKDAY(Main[[#This Row],[Tech Start Date]],12),IF(Main[[#This Row],[Class]]="A",WORKDAY(Main[[#This Row],[Tech Start Date]],4),""))))</f>
        <v/>
      </c>
      <c r="O1214" s="77" t="str">
        <f>IF(Main[[#This Row],[Tech Start Date]]&lt;1/1/1990,"",IF(Main[[#This Row],[Class]]="C",WORKDAY(Main[[#This Row],[Tech Start Date]],23),IF(Main[[#This Row],[Class]]="B", WORKDAY(Main[[#This Row],[Tech Start Date]],15),IF(Main[[#This Row],[Class]]="A",WORKDAY(Main[[#This Row],[Tech Start Date]],5),""))))</f>
        <v/>
      </c>
      <c r="P1214" s="77" t="str">
        <f>IF(Main[[#This Row],[Tech Start Date]]&lt;1/1/1990,"",IF(Main[[#This Row],[Class]]="C",WORKDAY(Main[[#This Row],[Tech Start Date]],28),IF(Main[[#This Row],[Class]]="B", WORKDAY(Main[[#This Row],[Tech Start Date]],19),IF(Main[[#This Row],[Class]]="A",WORKDAY(Main[[#This Row],[Tech Start Date]],9),""))))</f>
        <v/>
      </c>
      <c r="Q1214" s="74"/>
      <c r="R1214" s="74"/>
      <c r="S1214" s="72" t="s">
        <v>6</v>
      </c>
      <c r="T1214" s="80" t="s">
        <v>4</v>
      </c>
      <c r="U1214" s="72" t="s">
        <v>7</v>
      </c>
      <c r="V1214" s="72" t="s">
        <v>1940</v>
      </c>
      <c r="W1214" s="72" t="s">
        <v>4</v>
      </c>
      <c r="X1214" s="72" t="s">
        <v>2971</v>
      </c>
      <c r="Y1214" s="72" t="s">
        <v>3090</v>
      </c>
      <c r="Z1214" s="72" t="s">
        <v>4</v>
      </c>
    </row>
    <row r="1215" spans="1:26" ht="18.600000000000001" customHeight="1">
      <c r="A1215" s="142" t="str">
        <f>IF(priority(Main[[#This Row],[Comments]])&lt;&gt;0, priority(Main[[#This Row],[Comments]]),"")</f>
        <v/>
      </c>
      <c r="B1215" s="90" t="s">
        <v>1218</v>
      </c>
      <c r="C1215" s="72" t="s">
        <v>4</v>
      </c>
      <c r="D1215" s="73" t="s">
        <v>263</v>
      </c>
      <c r="E1215" s="74">
        <v>40926.591296296298</v>
      </c>
      <c r="F1215" s="74"/>
      <c r="G1215" s="75" t="str">
        <f>IF(stdProdLT(Main[[#This Row],[Comments]])=0.1,"N/A",IF(stdProdLT(Main[[#This Row],[Comments]])=0,"",stdProdLT(Main[[#This Row],[Comments]])))</f>
        <v/>
      </c>
      <c r="H1215" s="76" t="str">
        <f>IF(AND(Main[[#This Row],[In Stock Date]]&lt;&gt;"",Main[[#This Row],[Revised Due Date]]&lt;&gt;""),Main[[#This Row],[In Stock Date]]-Main[[#This Row],[Revised Due Date]],"")</f>
        <v/>
      </c>
      <c r="I1215" s="72" t="s">
        <v>4</v>
      </c>
      <c r="J1215" s="72" t="s">
        <v>4</v>
      </c>
      <c r="K1215" s="72" t="s">
        <v>4</v>
      </c>
      <c r="L1215" s="74"/>
      <c r="M1215" s="77" t="str">
        <f>IF(Main[[#This Row],[Tech Start Date]]&lt;1/1/1990,"",IF(Main[[#This Row],[Class]]="C",WORKDAY(Main[[#This Row],[Tech Start Date]],9),IF(Main[[#This Row],[Class]]="B", WORKDAY(Main[[#This Row],[Tech Start Date]],6),IF(Main[[#This Row],[Class]]="A",WORKDAY(Main[[#This Row],[Tech Start Date]],2),""))))</f>
        <v/>
      </c>
      <c r="N1215" s="77" t="str">
        <f>IF(Main[[#This Row],[Tech Start Date]]&lt;1/1/1990,"",IF(Main[[#This Row],[Class]]="C",WORKDAY(Main[[#This Row],[Tech Start Date]],19),IF(Main[[#This Row],[Class]]="B", WORKDAY(Main[[#This Row],[Tech Start Date]],12),IF(Main[[#This Row],[Class]]="A",WORKDAY(Main[[#This Row],[Tech Start Date]],4),""))))</f>
        <v/>
      </c>
      <c r="O1215" s="77" t="str">
        <f>IF(Main[[#This Row],[Tech Start Date]]&lt;1/1/1990,"",IF(Main[[#This Row],[Class]]="C",WORKDAY(Main[[#This Row],[Tech Start Date]],23),IF(Main[[#This Row],[Class]]="B", WORKDAY(Main[[#This Row],[Tech Start Date]],15),IF(Main[[#This Row],[Class]]="A",WORKDAY(Main[[#This Row],[Tech Start Date]],5),""))))</f>
        <v/>
      </c>
      <c r="P1215" s="77" t="str">
        <f>IF(Main[[#This Row],[Tech Start Date]]&lt;1/1/1990,"",IF(Main[[#This Row],[Class]]="C",WORKDAY(Main[[#This Row],[Tech Start Date]],28),IF(Main[[#This Row],[Class]]="B", WORKDAY(Main[[#This Row],[Tech Start Date]],19),IF(Main[[#This Row],[Class]]="A",WORKDAY(Main[[#This Row],[Tech Start Date]],9),""))))</f>
        <v/>
      </c>
      <c r="Q1215" s="74"/>
      <c r="R1215" s="74"/>
      <c r="S1215" s="72" t="s">
        <v>6</v>
      </c>
      <c r="T1215" s="80" t="s">
        <v>4</v>
      </c>
      <c r="U1215" s="72" t="s">
        <v>7</v>
      </c>
      <c r="V1215" s="72" t="s">
        <v>1940</v>
      </c>
      <c r="W1215" s="72" t="s">
        <v>4</v>
      </c>
      <c r="X1215" s="72" t="s">
        <v>2971</v>
      </c>
      <c r="Y1215" s="72" t="s">
        <v>3090</v>
      </c>
      <c r="Z1215" s="72" t="s">
        <v>4</v>
      </c>
    </row>
    <row r="1216" spans="1:26" ht="18.600000000000001" customHeight="1">
      <c r="A1216" s="142" t="str">
        <f>IF(priority(Main[[#This Row],[Comments]])&lt;&gt;0, priority(Main[[#This Row],[Comments]]),"")</f>
        <v/>
      </c>
      <c r="B1216" s="90" t="s">
        <v>2909</v>
      </c>
      <c r="C1216" s="72" t="s">
        <v>4</v>
      </c>
      <c r="D1216" s="73" t="s">
        <v>2910</v>
      </c>
      <c r="E1216" s="74">
        <v>40905.712777777779</v>
      </c>
      <c r="F1216" s="74"/>
      <c r="G1216" s="75" t="str">
        <f>IF(stdProdLT(Main[[#This Row],[Comments]])=0.1,"N/A",IF(stdProdLT(Main[[#This Row],[Comments]])=0,"",stdProdLT(Main[[#This Row],[Comments]])))</f>
        <v/>
      </c>
      <c r="H1216" s="76" t="str">
        <f>IF(AND(Main[[#This Row],[In Stock Date]]&lt;&gt;"",Main[[#This Row],[Revised Due Date]]&lt;&gt;""),Main[[#This Row],[In Stock Date]]-Main[[#This Row],[Revised Due Date]],"")</f>
        <v/>
      </c>
      <c r="I1216" s="72" t="s">
        <v>4</v>
      </c>
      <c r="J1216" s="72" t="s">
        <v>4</v>
      </c>
      <c r="K1216" s="72" t="s">
        <v>4</v>
      </c>
      <c r="L1216" s="74"/>
      <c r="M1216" s="77" t="str">
        <f>IF(Main[[#This Row],[Tech Start Date]]&lt;1/1/1990,"",IF(Main[[#This Row],[Class]]="C",WORKDAY(Main[[#This Row],[Tech Start Date]],9),IF(Main[[#This Row],[Class]]="B", WORKDAY(Main[[#This Row],[Tech Start Date]],6),IF(Main[[#This Row],[Class]]="A",WORKDAY(Main[[#This Row],[Tech Start Date]],2),""))))</f>
        <v/>
      </c>
      <c r="N1216" s="77" t="str">
        <f>IF(Main[[#This Row],[Tech Start Date]]&lt;1/1/1990,"",IF(Main[[#This Row],[Class]]="C",WORKDAY(Main[[#This Row],[Tech Start Date]],19),IF(Main[[#This Row],[Class]]="B", WORKDAY(Main[[#This Row],[Tech Start Date]],12),IF(Main[[#This Row],[Class]]="A",WORKDAY(Main[[#This Row],[Tech Start Date]],4),""))))</f>
        <v/>
      </c>
      <c r="O1216" s="77" t="str">
        <f>IF(Main[[#This Row],[Tech Start Date]]&lt;1/1/1990,"",IF(Main[[#This Row],[Class]]="C",WORKDAY(Main[[#This Row],[Tech Start Date]],23),IF(Main[[#This Row],[Class]]="B", WORKDAY(Main[[#This Row],[Tech Start Date]],15),IF(Main[[#This Row],[Class]]="A",WORKDAY(Main[[#This Row],[Tech Start Date]],5),""))))</f>
        <v/>
      </c>
      <c r="P1216" s="77" t="str">
        <f>IF(Main[[#This Row],[Tech Start Date]]&lt;1/1/1990,"",IF(Main[[#This Row],[Class]]="C",WORKDAY(Main[[#This Row],[Tech Start Date]],28),IF(Main[[#This Row],[Class]]="B", WORKDAY(Main[[#This Row],[Tech Start Date]],19),IF(Main[[#This Row],[Class]]="A",WORKDAY(Main[[#This Row],[Tech Start Date]],9),""))))</f>
        <v/>
      </c>
      <c r="Q1216" s="74">
        <v>40939</v>
      </c>
      <c r="R1216" s="74"/>
      <c r="S1216" s="72" t="s">
        <v>6</v>
      </c>
      <c r="T1216" s="80" t="s">
        <v>4</v>
      </c>
      <c r="U1216" s="72" t="s">
        <v>7</v>
      </c>
      <c r="V1216" s="72" t="s">
        <v>1937</v>
      </c>
      <c r="W1216" s="72" t="s">
        <v>4</v>
      </c>
      <c r="X1216" s="72" t="s">
        <v>2971</v>
      </c>
      <c r="Y1216" s="72" t="s">
        <v>3090</v>
      </c>
      <c r="Z1216" s="72" t="s">
        <v>4</v>
      </c>
    </row>
    <row r="1217" spans="1:26" ht="18.600000000000001" customHeight="1">
      <c r="A1217" s="142" t="str">
        <f>IF(priority(Main[[#This Row],[Comments]])&lt;&gt;0, priority(Main[[#This Row],[Comments]]),"")</f>
        <v/>
      </c>
      <c r="B1217" s="90" t="s">
        <v>2647</v>
      </c>
      <c r="C1217" s="72" t="s">
        <v>4</v>
      </c>
      <c r="D1217" s="73" t="s">
        <v>2912</v>
      </c>
      <c r="E1217" s="74">
        <v>40861.654675925929</v>
      </c>
      <c r="F1217" s="74"/>
      <c r="G1217" s="75" t="str">
        <f>IF(stdProdLT(Main[[#This Row],[Comments]])=0.1,"N/A",IF(stdProdLT(Main[[#This Row],[Comments]])=0,"",stdProdLT(Main[[#This Row],[Comments]])))</f>
        <v/>
      </c>
      <c r="H1217" s="76" t="str">
        <f>IF(AND(Main[[#This Row],[In Stock Date]]&lt;&gt;"",Main[[#This Row],[Revised Due Date]]&lt;&gt;""),Main[[#This Row],[In Stock Date]]-Main[[#This Row],[Revised Due Date]],"")</f>
        <v/>
      </c>
      <c r="I1217" s="72" t="s">
        <v>536</v>
      </c>
      <c r="J1217" s="72" t="s">
        <v>52</v>
      </c>
      <c r="K1217" s="72" t="s">
        <v>1946</v>
      </c>
      <c r="L1217" s="74"/>
      <c r="M1217" s="77" t="str">
        <f>IF(Main[[#This Row],[Tech Start Date]]&lt;1/1/1990,"",IF(Main[[#This Row],[Class]]="C",WORKDAY(Main[[#This Row],[Tech Start Date]],9),IF(Main[[#This Row],[Class]]="B", WORKDAY(Main[[#This Row],[Tech Start Date]],6),IF(Main[[#This Row],[Class]]="A",WORKDAY(Main[[#This Row],[Tech Start Date]],2),""))))</f>
        <v/>
      </c>
      <c r="N1217" s="77" t="str">
        <f>IF(Main[[#This Row],[Tech Start Date]]&lt;1/1/1990,"",IF(Main[[#This Row],[Class]]="C",WORKDAY(Main[[#This Row],[Tech Start Date]],19),IF(Main[[#This Row],[Class]]="B", WORKDAY(Main[[#This Row],[Tech Start Date]],12),IF(Main[[#This Row],[Class]]="A",WORKDAY(Main[[#This Row],[Tech Start Date]],4),""))))</f>
        <v/>
      </c>
      <c r="O1217" s="77" t="str">
        <f>IF(Main[[#This Row],[Tech Start Date]]&lt;1/1/1990,"",IF(Main[[#This Row],[Class]]="C",WORKDAY(Main[[#This Row],[Tech Start Date]],23),IF(Main[[#This Row],[Class]]="B", WORKDAY(Main[[#This Row],[Tech Start Date]],15),IF(Main[[#This Row],[Class]]="A",WORKDAY(Main[[#This Row],[Tech Start Date]],5),""))))</f>
        <v/>
      </c>
      <c r="P1217" s="77" t="str">
        <f>IF(Main[[#This Row],[Tech Start Date]]&lt;1/1/1990,"",IF(Main[[#This Row],[Class]]="C",WORKDAY(Main[[#This Row],[Tech Start Date]],28),IF(Main[[#This Row],[Class]]="B", WORKDAY(Main[[#This Row],[Tech Start Date]],19),IF(Main[[#This Row],[Class]]="A",WORKDAY(Main[[#This Row],[Tech Start Date]],9),""))))</f>
        <v/>
      </c>
      <c r="Q1217" s="74">
        <v>40897</v>
      </c>
      <c r="R1217" s="74"/>
      <c r="S1217" s="72" t="s">
        <v>6</v>
      </c>
      <c r="T1217" s="80" t="s">
        <v>4</v>
      </c>
      <c r="U1217" s="72" t="s">
        <v>29</v>
      </c>
      <c r="V1217" s="72" t="s">
        <v>1940</v>
      </c>
      <c r="W1217" s="72" t="s">
        <v>1941</v>
      </c>
      <c r="X1217" s="72" t="s">
        <v>30</v>
      </c>
      <c r="Y1217" s="72" t="s">
        <v>3098</v>
      </c>
      <c r="Z1217" s="72" t="s">
        <v>30</v>
      </c>
    </row>
    <row r="1218" spans="1:26" ht="18.600000000000001" customHeight="1">
      <c r="A1218" s="142" t="str">
        <f>IF(priority(Main[[#This Row],[Comments]])&lt;&gt;0, priority(Main[[#This Row],[Comments]]),"")</f>
        <v/>
      </c>
      <c r="B1218" s="90" t="s">
        <v>2640</v>
      </c>
      <c r="C1218" s="72" t="s">
        <v>4</v>
      </c>
      <c r="D1218" s="73" t="s">
        <v>738</v>
      </c>
      <c r="E1218" s="74"/>
      <c r="F1218" s="74"/>
      <c r="G1218" s="75" t="str">
        <f>IF(stdProdLT(Main[[#This Row],[Comments]])=0.1,"N/A",IF(stdProdLT(Main[[#This Row],[Comments]])=0,"",stdProdLT(Main[[#This Row],[Comments]])))</f>
        <v/>
      </c>
      <c r="H1218" s="76" t="str">
        <f>IF(AND(Main[[#This Row],[In Stock Date]]&lt;&gt;"",Main[[#This Row],[Revised Due Date]]&lt;&gt;""),Main[[#This Row],[In Stock Date]]-Main[[#This Row],[Revised Due Date]],"")</f>
        <v/>
      </c>
      <c r="I1218" s="72" t="s">
        <v>4</v>
      </c>
      <c r="J1218" s="72" t="s">
        <v>4</v>
      </c>
      <c r="K1218" s="81" t="s">
        <v>4</v>
      </c>
      <c r="L1218" s="74"/>
      <c r="M1218" s="77" t="str">
        <f>IF(Main[[#This Row],[Tech Start Date]]&lt;1/1/1990,"",IF(Main[[#This Row],[Class]]="C",WORKDAY(Main[[#This Row],[Tech Start Date]],9),IF(Main[[#This Row],[Class]]="B", WORKDAY(Main[[#This Row],[Tech Start Date]],6),IF(Main[[#This Row],[Class]]="A",WORKDAY(Main[[#This Row],[Tech Start Date]],2),""))))</f>
        <v/>
      </c>
      <c r="N1218" s="77" t="str">
        <f>IF(Main[[#This Row],[Tech Start Date]]&lt;1/1/1990,"",IF(Main[[#This Row],[Class]]="C",WORKDAY(Main[[#This Row],[Tech Start Date]],19),IF(Main[[#This Row],[Class]]="B", WORKDAY(Main[[#This Row],[Tech Start Date]],12),IF(Main[[#This Row],[Class]]="A",WORKDAY(Main[[#This Row],[Tech Start Date]],4),""))))</f>
        <v/>
      </c>
      <c r="O1218" s="77" t="str">
        <f>IF(Main[[#This Row],[Tech Start Date]]&lt;1/1/1990,"",IF(Main[[#This Row],[Class]]="C",WORKDAY(Main[[#This Row],[Tech Start Date]],23),IF(Main[[#This Row],[Class]]="B", WORKDAY(Main[[#This Row],[Tech Start Date]],15),IF(Main[[#This Row],[Class]]="A",WORKDAY(Main[[#This Row],[Tech Start Date]],5),""))))</f>
        <v/>
      </c>
      <c r="P1218" s="77" t="str">
        <f>IF(Main[[#This Row],[Tech Start Date]]&lt;1/1/1990,"",IF(Main[[#This Row],[Class]]="C",WORKDAY(Main[[#This Row],[Tech Start Date]],28),IF(Main[[#This Row],[Class]]="B", WORKDAY(Main[[#This Row],[Tech Start Date]],19),IF(Main[[#This Row],[Class]]="A",WORKDAY(Main[[#This Row],[Tech Start Date]],9),""))))</f>
        <v/>
      </c>
      <c r="Q1218" s="74"/>
      <c r="R1218" s="74"/>
      <c r="S1218" s="72" t="s">
        <v>4</v>
      </c>
      <c r="T1218" s="80" t="s">
        <v>4</v>
      </c>
      <c r="U1218" s="72" t="s">
        <v>14</v>
      </c>
      <c r="V1218" s="72" t="s">
        <v>1940</v>
      </c>
      <c r="W1218" s="72" t="s">
        <v>4</v>
      </c>
      <c r="X1218" s="72" t="s">
        <v>311</v>
      </c>
      <c r="Y1218" s="72" t="s">
        <v>4</v>
      </c>
      <c r="Z1218" s="72" t="s">
        <v>4</v>
      </c>
    </row>
    <row r="1219" spans="1:26" ht="18.600000000000001" customHeight="1">
      <c r="A1219" s="142" t="str">
        <f>IF(priority(Main[[#This Row],[Comments]])&lt;&gt;0, priority(Main[[#This Row],[Comments]]),"")</f>
        <v/>
      </c>
      <c r="B1219" s="90" t="s">
        <v>1497</v>
      </c>
      <c r="C1219" s="72" t="s">
        <v>4</v>
      </c>
      <c r="D1219" s="73" t="s">
        <v>363</v>
      </c>
      <c r="E1219" s="74">
        <v>40926.591666666667</v>
      </c>
      <c r="F1219" s="74"/>
      <c r="G1219" s="75" t="str">
        <f>IF(stdProdLT(Main[[#This Row],[Comments]])=0.1,"N/A",IF(stdProdLT(Main[[#This Row],[Comments]])=0,"",stdProdLT(Main[[#This Row],[Comments]])))</f>
        <v/>
      </c>
      <c r="H1219" s="76" t="str">
        <f>IF(AND(Main[[#This Row],[In Stock Date]]&lt;&gt;"",Main[[#This Row],[Revised Due Date]]&lt;&gt;""),Main[[#This Row],[In Stock Date]]-Main[[#This Row],[Revised Due Date]],"")</f>
        <v/>
      </c>
      <c r="I1219" s="72" t="s">
        <v>4</v>
      </c>
      <c r="J1219" s="72" t="s">
        <v>4</v>
      </c>
      <c r="K1219" s="72" t="s">
        <v>4</v>
      </c>
      <c r="L1219" s="74"/>
      <c r="M1219" s="77" t="str">
        <f>IF(Main[[#This Row],[Tech Start Date]]&lt;1/1/1990,"",IF(Main[[#This Row],[Class]]="C",WORKDAY(Main[[#This Row],[Tech Start Date]],9),IF(Main[[#This Row],[Class]]="B", WORKDAY(Main[[#This Row],[Tech Start Date]],6),IF(Main[[#This Row],[Class]]="A",WORKDAY(Main[[#This Row],[Tech Start Date]],2),""))))</f>
        <v/>
      </c>
      <c r="N1219" s="77" t="str">
        <f>IF(Main[[#This Row],[Tech Start Date]]&lt;1/1/1990,"",IF(Main[[#This Row],[Class]]="C",WORKDAY(Main[[#This Row],[Tech Start Date]],19),IF(Main[[#This Row],[Class]]="B", WORKDAY(Main[[#This Row],[Tech Start Date]],12),IF(Main[[#This Row],[Class]]="A",WORKDAY(Main[[#This Row],[Tech Start Date]],4),""))))</f>
        <v/>
      </c>
      <c r="O1219" s="77" t="str">
        <f>IF(Main[[#This Row],[Tech Start Date]]&lt;1/1/1990,"",IF(Main[[#This Row],[Class]]="C",WORKDAY(Main[[#This Row],[Tech Start Date]],23),IF(Main[[#This Row],[Class]]="B", WORKDAY(Main[[#This Row],[Tech Start Date]],15),IF(Main[[#This Row],[Class]]="A",WORKDAY(Main[[#This Row],[Tech Start Date]],5),""))))</f>
        <v/>
      </c>
      <c r="P1219" s="77" t="str">
        <f>IF(Main[[#This Row],[Tech Start Date]]&lt;1/1/1990,"",IF(Main[[#This Row],[Class]]="C",WORKDAY(Main[[#This Row],[Tech Start Date]],28),IF(Main[[#This Row],[Class]]="B", WORKDAY(Main[[#This Row],[Tech Start Date]],19),IF(Main[[#This Row],[Class]]="A",WORKDAY(Main[[#This Row],[Tech Start Date]],9),""))))</f>
        <v/>
      </c>
      <c r="Q1219" s="74">
        <v>40746</v>
      </c>
      <c r="R1219" s="74"/>
      <c r="S1219" s="72" t="s">
        <v>6</v>
      </c>
      <c r="T1219" s="80" t="s">
        <v>4</v>
      </c>
      <c r="U1219" s="72" t="s">
        <v>7</v>
      </c>
      <c r="V1219" s="72" t="s">
        <v>1940</v>
      </c>
      <c r="W1219" s="72" t="s">
        <v>4</v>
      </c>
      <c r="X1219" s="72" t="s">
        <v>2971</v>
      </c>
      <c r="Y1219" s="72" t="s">
        <v>3090</v>
      </c>
      <c r="Z1219" s="72" t="s">
        <v>4</v>
      </c>
    </row>
    <row r="1220" spans="1:26" ht="18.600000000000001" customHeight="1">
      <c r="A1220" s="142" t="str">
        <f>IF(priority(Main[[#This Row],[Comments]])&lt;&gt;0, priority(Main[[#This Row],[Comments]]),"")</f>
        <v/>
      </c>
      <c r="B1220" s="90" t="s">
        <v>2195</v>
      </c>
      <c r="C1220" s="72" t="s">
        <v>4</v>
      </c>
      <c r="D1220" s="73" t="s">
        <v>2650</v>
      </c>
      <c r="E1220" s="74">
        <v>40780.676446759258</v>
      </c>
      <c r="F1220" s="74"/>
      <c r="G1220" s="75" t="str">
        <f>IF(stdProdLT(Main[[#This Row],[Comments]])=0.1,"N/A",IF(stdProdLT(Main[[#This Row],[Comments]])=0,"",stdProdLT(Main[[#This Row],[Comments]])))</f>
        <v/>
      </c>
      <c r="H1220" s="76" t="str">
        <f>IF(AND(Main[[#This Row],[In Stock Date]]&lt;&gt;"",Main[[#This Row],[Revised Due Date]]&lt;&gt;""),Main[[#This Row],[In Stock Date]]-Main[[#This Row],[Revised Due Date]],"")</f>
        <v/>
      </c>
      <c r="I1220" s="72" t="s">
        <v>4</v>
      </c>
      <c r="J1220" s="72" t="s">
        <v>4</v>
      </c>
      <c r="K1220" s="72" t="s">
        <v>4</v>
      </c>
      <c r="L1220" s="74"/>
      <c r="M1220" s="77" t="str">
        <f>IF(Main[[#This Row],[Tech Start Date]]&lt;1/1/1990,"",IF(Main[[#This Row],[Class]]="C",WORKDAY(Main[[#This Row],[Tech Start Date]],9),IF(Main[[#This Row],[Class]]="B", WORKDAY(Main[[#This Row],[Tech Start Date]],6),IF(Main[[#This Row],[Class]]="A",WORKDAY(Main[[#This Row],[Tech Start Date]],2),""))))</f>
        <v/>
      </c>
      <c r="N1220" s="77" t="str">
        <f>IF(Main[[#This Row],[Tech Start Date]]&lt;1/1/1990,"",IF(Main[[#This Row],[Class]]="C",WORKDAY(Main[[#This Row],[Tech Start Date]],19),IF(Main[[#This Row],[Class]]="B", WORKDAY(Main[[#This Row],[Tech Start Date]],12),IF(Main[[#This Row],[Class]]="A",WORKDAY(Main[[#This Row],[Tech Start Date]],4),""))))</f>
        <v/>
      </c>
      <c r="O1220" s="77" t="str">
        <f>IF(Main[[#This Row],[Tech Start Date]]&lt;1/1/1990,"",IF(Main[[#This Row],[Class]]="C",WORKDAY(Main[[#This Row],[Tech Start Date]],23),IF(Main[[#This Row],[Class]]="B", WORKDAY(Main[[#This Row],[Tech Start Date]],15),IF(Main[[#This Row],[Class]]="A",WORKDAY(Main[[#This Row],[Tech Start Date]],5),""))))</f>
        <v/>
      </c>
      <c r="P1220" s="77" t="str">
        <f>IF(Main[[#This Row],[Tech Start Date]]&lt;1/1/1990,"",IF(Main[[#This Row],[Class]]="C",WORKDAY(Main[[#This Row],[Tech Start Date]],28),IF(Main[[#This Row],[Class]]="B", WORKDAY(Main[[#This Row],[Tech Start Date]],19),IF(Main[[#This Row],[Class]]="A",WORKDAY(Main[[#This Row],[Tech Start Date]],9),""))))</f>
        <v/>
      </c>
      <c r="Q1220" s="74">
        <v>40787</v>
      </c>
      <c r="R1220" s="74"/>
      <c r="S1220" s="72" t="s">
        <v>6</v>
      </c>
      <c r="T1220" s="80" t="s">
        <v>4</v>
      </c>
      <c r="U1220" s="72" t="s">
        <v>7</v>
      </c>
      <c r="V1220" s="72" t="s">
        <v>1937</v>
      </c>
      <c r="W1220" s="72" t="s">
        <v>1945</v>
      </c>
      <c r="X1220" s="72" t="s">
        <v>2973</v>
      </c>
      <c r="Y1220" s="72" t="s">
        <v>3094</v>
      </c>
      <c r="Z1220" s="72" t="s">
        <v>4</v>
      </c>
    </row>
    <row r="1221" spans="1:26" ht="18.600000000000001" customHeight="1">
      <c r="A1221" s="142" t="str">
        <f>IF(priority(Main[[#This Row],[Comments]])&lt;&gt;0, priority(Main[[#This Row],[Comments]]),"")</f>
        <v/>
      </c>
      <c r="B1221" s="90" t="s">
        <v>1868</v>
      </c>
      <c r="C1221" s="72" t="s">
        <v>67</v>
      </c>
      <c r="D1221" s="73" t="s">
        <v>2643</v>
      </c>
      <c r="E1221" s="74">
        <v>40343.573750000003</v>
      </c>
      <c r="F1221" s="74"/>
      <c r="G1221" s="75" t="str">
        <f>IF(stdProdLT(Main[[#This Row],[Comments]])=0.1,"N/A",IF(stdProdLT(Main[[#This Row],[Comments]])=0,"",stdProdLT(Main[[#This Row],[Comments]])))</f>
        <v/>
      </c>
      <c r="H1221" s="76" t="str">
        <f>IF(AND(Main[[#This Row],[In Stock Date]]&lt;&gt;"",Main[[#This Row],[Revised Due Date]]&lt;&gt;""),Main[[#This Row],[In Stock Date]]-Main[[#This Row],[Revised Due Date]],"")</f>
        <v/>
      </c>
      <c r="I1221" s="72" t="s">
        <v>74</v>
      </c>
      <c r="J1221" s="72" t="s">
        <v>28</v>
      </c>
      <c r="K1221" s="72" t="s">
        <v>1949</v>
      </c>
      <c r="L1221" s="74"/>
      <c r="M1221" s="77" t="str">
        <f>IF(Main[[#This Row],[Tech Start Date]]&lt;1/1/1990,"",IF(Main[[#This Row],[Class]]="C",WORKDAY(Main[[#This Row],[Tech Start Date]],9),IF(Main[[#This Row],[Class]]="B", WORKDAY(Main[[#This Row],[Tech Start Date]],6),IF(Main[[#This Row],[Class]]="A",WORKDAY(Main[[#This Row],[Tech Start Date]],2),""))))</f>
        <v/>
      </c>
      <c r="N1221" s="77" t="str">
        <f>IF(Main[[#This Row],[Tech Start Date]]&lt;1/1/1990,"",IF(Main[[#This Row],[Class]]="C",WORKDAY(Main[[#This Row],[Tech Start Date]],19),IF(Main[[#This Row],[Class]]="B", WORKDAY(Main[[#This Row],[Tech Start Date]],12),IF(Main[[#This Row],[Class]]="A",WORKDAY(Main[[#This Row],[Tech Start Date]],4),""))))</f>
        <v/>
      </c>
      <c r="O1221" s="77" t="str">
        <f>IF(Main[[#This Row],[Tech Start Date]]&lt;1/1/1990,"",IF(Main[[#This Row],[Class]]="C",WORKDAY(Main[[#This Row],[Tech Start Date]],23),IF(Main[[#This Row],[Class]]="B", WORKDAY(Main[[#This Row],[Tech Start Date]],15),IF(Main[[#This Row],[Class]]="A",WORKDAY(Main[[#This Row],[Tech Start Date]],5),""))))</f>
        <v/>
      </c>
      <c r="P1221" s="77" t="str">
        <f>IF(Main[[#This Row],[Tech Start Date]]&lt;1/1/1990,"",IF(Main[[#This Row],[Class]]="C",WORKDAY(Main[[#This Row],[Tech Start Date]],28),IF(Main[[#This Row],[Class]]="B", WORKDAY(Main[[#This Row],[Tech Start Date]],19),IF(Main[[#This Row],[Class]]="A",WORKDAY(Main[[#This Row],[Tech Start Date]],9),""))))</f>
        <v/>
      </c>
      <c r="Q1221" s="74">
        <v>40466</v>
      </c>
      <c r="R1221" s="74">
        <v>40868</v>
      </c>
      <c r="S1221" s="72" t="s">
        <v>17</v>
      </c>
      <c r="T1221" s="80" t="s">
        <v>4</v>
      </c>
      <c r="U1221" s="72" t="s">
        <v>29</v>
      </c>
      <c r="V1221" s="72" t="s">
        <v>1940</v>
      </c>
      <c r="W1221" s="72" t="s">
        <v>1943</v>
      </c>
      <c r="X1221" s="72" t="s">
        <v>311</v>
      </c>
      <c r="Y1221" s="72" t="s">
        <v>3107</v>
      </c>
      <c r="Z1221" s="72" t="s">
        <v>421</v>
      </c>
    </row>
    <row r="1222" spans="1:26" ht="18.600000000000001" customHeight="1">
      <c r="A1222" s="142" t="str">
        <f>IF(priority(Main[[#This Row],[Comments]])&lt;&gt;0, priority(Main[[#This Row],[Comments]]),"")</f>
        <v/>
      </c>
      <c r="B1222" s="90" t="s">
        <v>1762</v>
      </c>
      <c r="C1222" s="72" t="s">
        <v>37</v>
      </c>
      <c r="D1222" s="73" t="s">
        <v>2644</v>
      </c>
      <c r="E1222" s="74">
        <v>40682.487210648149</v>
      </c>
      <c r="F1222" s="74"/>
      <c r="G1222" s="75" t="str">
        <f>IF(stdProdLT(Main[[#This Row],[Comments]])=0.1,"N/A",IF(stdProdLT(Main[[#This Row],[Comments]])=0,"",stdProdLT(Main[[#This Row],[Comments]])))</f>
        <v/>
      </c>
      <c r="H1222" s="76" t="str">
        <f>IF(AND(Main[[#This Row],[In Stock Date]]&lt;&gt;"",Main[[#This Row],[Revised Due Date]]&lt;&gt;""),Main[[#This Row],[In Stock Date]]-Main[[#This Row],[Revised Due Date]],"")</f>
        <v/>
      </c>
      <c r="I1222" s="72" t="s">
        <v>4</v>
      </c>
      <c r="J1222" s="72" t="s">
        <v>4</v>
      </c>
      <c r="K1222" s="72" t="s">
        <v>4</v>
      </c>
      <c r="L1222" s="74"/>
      <c r="M1222" s="77" t="str">
        <f>IF(Main[[#This Row],[Tech Start Date]]&lt;1/1/1990,"",IF(Main[[#This Row],[Class]]="C",WORKDAY(Main[[#This Row],[Tech Start Date]],9),IF(Main[[#This Row],[Class]]="B", WORKDAY(Main[[#This Row],[Tech Start Date]],6),IF(Main[[#This Row],[Class]]="A",WORKDAY(Main[[#This Row],[Tech Start Date]],2),""))))</f>
        <v/>
      </c>
      <c r="N1222" s="77" t="str">
        <f>IF(Main[[#This Row],[Tech Start Date]]&lt;1/1/1990,"",IF(Main[[#This Row],[Class]]="C",WORKDAY(Main[[#This Row],[Tech Start Date]],19),IF(Main[[#This Row],[Class]]="B", WORKDAY(Main[[#This Row],[Tech Start Date]],12),IF(Main[[#This Row],[Class]]="A",WORKDAY(Main[[#This Row],[Tech Start Date]],4),""))))</f>
        <v/>
      </c>
      <c r="O1222" s="77" t="str">
        <f>IF(Main[[#This Row],[Tech Start Date]]&lt;1/1/1990,"",IF(Main[[#This Row],[Class]]="C",WORKDAY(Main[[#This Row],[Tech Start Date]],23),IF(Main[[#This Row],[Class]]="B", WORKDAY(Main[[#This Row],[Tech Start Date]],15),IF(Main[[#This Row],[Class]]="A",WORKDAY(Main[[#This Row],[Tech Start Date]],5),""))))</f>
        <v/>
      </c>
      <c r="P1222" s="77" t="str">
        <f>IF(Main[[#This Row],[Tech Start Date]]&lt;1/1/1990,"",IF(Main[[#This Row],[Class]]="C",WORKDAY(Main[[#This Row],[Tech Start Date]],28),IF(Main[[#This Row],[Class]]="B", WORKDAY(Main[[#This Row],[Tech Start Date]],19),IF(Main[[#This Row],[Class]]="A",WORKDAY(Main[[#This Row],[Tech Start Date]],9),""))))</f>
        <v/>
      </c>
      <c r="Q1222" s="74">
        <v>40701</v>
      </c>
      <c r="R1222" s="74"/>
      <c r="S1222" s="72" t="s">
        <v>6</v>
      </c>
      <c r="T1222" s="80" t="s">
        <v>4</v>
      </c>
      <c r="U1222" s="72" t="s">
        <v>7</v>
      </c>
      <c r="V1222" s="72" t="s">
        <v>1937</v>
      </c>
      <c r="W1222" s="72" t="s">
        <v>1948</v>
      </c>
      <c r="X1222" s="72" t="s">
        <v>986</v>
      </c>
      <c r="Y1222" s="72" t="s">
        <v>3256</v>
      </c>
      <c r="Z1222" s="72" t="s">
        <v>4</v>
      </c>
    </row>
    <row r="1223" spans="1:26" ht="18.600000000000001" customHeight="1">
      <c r="A1223" s="142" t="str">
        <f>IF(priority(Main[[#This Row],[Comments]])&lt;&gt;0, priority(Main[[#This Row],[Comments]]),"")</f>
        <v/>
      </c>
      <c r="B1223" s="90" t="s">
        <v>1869</v>
      </c>
      <c r="C1223" s="72" t="s">
        <v>67</v>
      </c>
      <c r="D1223" s="73" t="s">
        <v>917</v>
      </c>
      <c r="E1223" s="74">
        <v>39937.597453703704</v>
      </c>
      <c r="F1223" s="74">
        <v>40533</v>
      </c>
      <c r="G1223" s="75" t="str">
        <f>IF(stdProdLT(Main[[#This Row],[Comments]])=0.1,"N/A",IF(stdProdLT(Main[[#This Row],[Comments]])=0,"",stdProdLT(Main[[#This Row],[Comments]])))</f>
        <v/>
      </c>
      <c r="H1223" s="76">
        <f>IF(AND(Main[[#This Row],[In Stock Date]]&lt;&gt;"",Main[[#This Row],[Revised Due Date]]&lt;&gt;""),Main[[#This Row],[In Stock Date]]-Main[[#This Row],[Revised Due Date]],"")</f>
        <v>-342</v>
      </c>
      <c r="I1223" s="72" t="s">
        <v>74</v>
      </c>
      <c r="J1223" s="72" t="s">
        <v>28</v>
      </c>
      <c r="K1223" s="72" t="s">
        <v>1949</v>
      </c>
      <c r="L1223" s="74"/>
      <c r="M1223" s="77" t="str">
        <f>IF(Main[[#This Row],[Tech Start Date]]&lt;1/1/1990,"",IF(Main[[#This Row],[Class]]="C",WORKDAY(Main[[#This Row],[Tech Start Date]],9),IF(Main[[#This Row],[Class]]="B", WORKDAY(Main[[#This Row],[Tech Start Date]],6),IF(Main[[#This Row],[Class]]="A",WORKDAY(Main[[#This Row],[Tech Start Date]],2),""))))</f>
        <v/>
      </c>
      <c r="N1223" s="77" t="str">
        <f>IF(Main[[#This Row],[Tech Start Date]]&lt;1/1/1990,"",IF(Main[[#This Row],[Class]]="C",WORKDAY(Main[[#This Row],[Tech Start Date]],19),IF(Main[[#This Row],[Class]]="B", WORKDAY(Main[[#This Row],[Tech Start Date]],12),IF(Main[[#This Row],[Class]]="A",WORKDAY(Main[[#This Row],[Tech Start Date]],4),""))))</f>
        <v/>
      </c>
      <c r="O1223" s="77" t="str">
        <f>IF(Main[[#This Row],[Tech Start Date]]&lt;1/1/1990,"",IF(Main[[#This Row],[Class]]="C",WORKDAY(Main[[#This Row],[Tech Start Date]],23),IF(Main[[#This Row],[Class]]="B", WORKDAY(Main[[#This Row],[Tech Start Date]],15),IF(Main[[#This Row],[Class]]="A",WORKDAY(Main[[#This Row],[Tech Start Date]],5),""))))</f>
        <v/>
      </c>
      <c r="P1223" s="77" t="str">
        <f>IF(Main[[#This Row],[Tech Start Date]]&lt;1/1/1990,"",IF(Main[[#This Row],[Class]]="C",WORKDAY(Main[[#This Row],[Tech Start Date]],28),IF(Main[[#This Row],[Class]]="B", WORKDAY(Main[[#This Row],[Tech Start Date]],19),IF(Main[[#This Row],[Class]]="A",WORKDAY(Main[[#This Row],[Tech Start Date]],9),""))))</f>
        <v/>
      </c>
      <c r="Q1223" s="74"/>
      <c r="R1223" s="74">
        <v>40875</v>
      </c>
      <c r="S1223" s="72" t="s">
        <v>17</v>
      </c>
      <c r="T1223" s="80" t="s">
        <v>4</v>
      </c>
      <c r="U1223" s="72" t="s">
        <v>29</v>
      </c>
      <c r="V1223" s="72" t="s">
        <v>1940</v>
      </c>
      <c r="W1223" s="72" t="s">
        <v>1945</v>
      </c>
      <c r="X1223" s="72" t="s">
        <v>404</v>
      </c>
      <c r="Y1223" s="72" t="s">
        <v>4</v>
      </c>
      <c r="Z1223" s="72" t="s">
        <v>421</v>
      </c>
    </row>
    <row r="1224" spans="1:26" ht="18.600000000000001" customHeight="1">
      <c r="A1224" s="142" t="str">
        <f>IF(priority(Main[[#This Row],[Comments]])&lt;&gt;0, priority(Main[[#This Row],[Comments]]),"")</f>
        <v/>
      </c>
      <c r="B1224" s="90" t="s">
        <v>1646</v>
      </c>
      <c r="C1224" s="72" t="s">
        <v>4</v>
      </c>
      <c r="D1224" s="73" t="s">
        <v>711</v>
      </c>
      <c r="E1224" s="74">
        <v>40218.669039351851</v>
      </c>
      <c r="F1224" s="74"/>
      <c r="G1224" s="75" t="str">
        <f>IF(stdProdLT(Main[[#This Row],[Comments]])=0.1,"N/A",IF(stdProdLT(Main[[#This Row],[Comments]])=0,"",stdProdLT(Main[[#This Row],[Comments]])))</f>
        <v/>
      </c>
      <c r="H1224" s="76" t="str">
        <f>IF(AND(Main[[#This Row],[In Stock Date]]&lt;&gt;"",Main[[#This Row],[Revised Due Date]]&lt;&gt;""),Main[[#This Row],[In Stock Date]]-Main[[#This Row],[Revised Due Date]],"")</f>
        <v/>
      </c>
      <c r="I1224" s="72" t="s">
        <v>4</v>
      </c>
      <c r="J1224" s="72" t="s">
        <v>4</v>
      </c>
      <c r="K1224" s="81" t="s">
        <v>4</v>
      </c>
      <c r="L1224" s="74"/>
      <c r="M1224" s="77" t="str">
        <f>IF(Main[[#This Row],[Tech Start Date]]&lt;1/1/1990,"",IF(Main[[#This Row],[Class]]="C",WORKDAY(Main[[#This Row],[Tech Start Date]],9),IF(Main[[#This Row],[Class]]="B", WORKDAY(Main[[#This Row],[Tech Start Date]],6),IF(Main[[#This Row],[Class]]="A",WORKDAY(Main[[#This Row],[Tech Start Date]],2),""))))</f>
        <v/>
      </c>
      <c r="N1224" s="77" t="str">
        <f>IF(Main[[#This Row],[Tech Start Date]]&lt;1/1/1990,"",IF(Main[[#This Row],[Class]]="C",WORKDAY(Main[[#This Row],[Tech Start Date]],19),IF(Main[[#This Row],[Class]]="B", WORKDAY(Main[[#This Row],[Tech Start Date]],12),IF(Main[[#This Row],[Class]]="A",WORKDAY(Main[[#This Row],[Tech Start Date]],4),""))))</f>
        <v/>
      </c>
      <c r="O1224" s="77" t="str">
        <f>IF(Main[[#This Row],[Tech Start Date]]&lt;1/1/1990,"",IF(Main[[#This Row],[Class]]="C",WORKDAY(Main[[#This Row],[Tech Start Date]],23),IF(Main[[#This Row],[Class]]="B", WORKDAY(Main[[#This Row],[Tech Start Date]],15),IF(Main[[#This Row],[Class]]="A",WORKDAY(Main[[#This Row],[Tech Start Date]],5),""))))</f>
        <v/>
      </c>
      <c r="P1224" s="77" t="str">
        <f>IF(Main[[#This Row],[Tech Start Date]]&lt;1/1/1990,"",IF(Main[[#This Row],[Class]]="C",WORKDAY(Main[[#This Row],[Tech Start Date]],28),IF(Main[[#This Row],[Class]]="B", WORKDAY(Main[[#This Row],[Tech Start Date]],19),IF(Main[[#This Row],[Class]]="A",WORKDAY(Main[[#This Row],[Tech Start Date]],9),""))))</f>
        <v/>
      </c>
      <c r="Q1224" s="74">
        <v>40237</v>
      </c>
      <c r="R1224" s="74"/>
      <c r="S1224" s="72" t="s">
        <v>17</v>
      </c>
      <c r="T1224" s="80" t="s">
        <v>4</v>
      </c>
      <c r="U1224" s="72" t="s">
        <v>29</v>
      </c>
      <c r="V1224" s="72" t="s">
        <v>1940</v>
      </c>
      <c r="W1224" s="72" t="s">
        <v>4</v>
      </c>
      <c r="X1224" s="72" t="s">
        <v>660</v>
      </c>
      <c r="Y1224" s="72" t="s">
        <v>3287</v>
      </c>
      <c r="Z1224" s="72" t="s">
        <v>4</v>
      </c>
    </row>
    <row r="1225" spans="1:26" ht="18.600000000000001" customHeight="1">
      <c r="A1225" s="142" t="str">
        <f>IF(priority(Main[[#This Row],[Comments]])&lt;&gt;0, priority(Main[[#This Row],[Comments]]),"")</f>
        <v/>
      </c>
      <c r="B1225" s="90" t="s">
        <v>1200</v>
      </c>
      <c r="C1225" s="72" t="s">
        <v>42</v>
      </c>
      <c r="D1225" s="73" t="s">
        <v>245</v>
      </c>
      <c r="E1225" s="74">
        <v>39937.598217592589</v>
      </c>
      <c r="F1225" s="74"/>
      <c r="G1225" s="75" t="str">
        <f>IF(stdProdLT(Main[[#This Row],[Comments]])=0.1,"N/A",IF(stdProdLT(Main[[#This Row],[Comments]])=0,"",stdProdLT(Main[[#This Row],[Comments]])))</f>
        <v/>
      </c>
      <c r="H1225" s="76" t="str">
        <f>IF(AND(Main[[#This Row],[In Stock Date]]&lt;&gt;"",Main[[#This Row],[Revised Due Date]]&lt;&gt;""),Main[[#This Row],[In Stock Date]]-Main[[#This Row],[Revised Due Date]],"")</f>
        <v/>
      </c>
      <c r="I1225" s="72" t="s">
        <v>4</v>
      </c>
      <c r="J1225" s="72" t="s">
        <v>4</v>
      </c>
      <c r="K1225" s="81" t="s">
        <v>4</v>
      </c>
      <c r="L1225" s="74"/>
      <c r="M1225" s="77" t="str">
        <f>IF(Main[[#This Row],[Tech Start Date]]&lt;1/1/1990,"",IF(Main[[#This Row],[Class]]="C",WORKDAY(Main[[#This Row],[Tech Start Date]],9),IF(Main[[#This Row],[Class]]="B", WORKDAY(Main[[#This Row],[Tech Start Date]],6),IF(Main[[#This Row],[Class]]="A",WORKDAY(Main[[#This Row],[Tech Start Date]],2),""))))</f>
        <v/>
      </c>
      <c r="N1225" s="77" t="str">
        <f>IF(Main[[#This Row],[Tech Start Date]]&lt;1/1/1990,"",IF(Main[[#This Row],[Class]]="C",WORKDAY(Main[[#This Row],[Tech Start Date]],19),IF(Main[[#This Row],[Class]]="B", WORKDAY(Main[[#This Row],[Tech Start Date]],12),IF(Main[[#This Row],[Class]]="A",WORKDAY(Main[[#This Row],[Tech Start Date]],4),""))))</f>
        <v/>
      </c>
      <c r="O1225" s="77" t="str">
        <f>IF(Main[[#This Row],[Tech Start Date]]&lt;1/1/1990,"",IF(Main[[#This Row],[Class]]="C",WORKDAY(Main[[#This Row],[Tech Start Date]],23),IF(Main[[#This Row],[Class]]="B", WORKDAY(Main[[#This Row],[Tech Start Date]],15),IF(Main[[#This Row],[Class]]="A",WORKDAY(Main[[#This Row],[Tech Start Date]],5),""))))</f>
        <v/>
      </c>
      <c r="P1225" s="77" t="str">
        <f>IF(Main[[#This Row],[Tech Start Date]]&lt;1/1/1990,"",IF(Main[[#This Row],[Class]]="C",WORKDAY(Main[[#This Row],[Tech Start Date]],28),IF(Main[[#This Row],[Class]]="B", WORKDAY(Main[[#This Row],[Tech Start Date]],19),IF(Main[[#This Row],[Class]]="A",WORKDAY(Main[[#This Row],[Tech Start Date]],9),""))))</f>
        <v/>
      </c>
      <c r="Q1225" s="74"/>
      <c r="R1225" s="74">
        <v>41289</v>
      </c>
      <c r="S1225" s="72" t="s">
        <v>17</v>
      </c>
      <c r="T1225" s="80" t="s">
        <v>4</v>
      </c>
      <c r="U1225" s="72" t="s">
        <v>29</v>
      </c>
      <c r="V1225" s="72" t="s">
        <v>1940</v>
      </c>
      <c r="W1225" s="72" t="s">
        <v>4</v>
      </c>
      <c r="X1225" s="72" t="s">
        <v>404</v>
      </c>
      <c r="Y1225" s="72" t="s">
        <v>4</v>
      </c>
      <c r="Z1225" s="72" t="s">
        <v>660</v>
      </c>
    </row>
    <row r="1226" spans="1:26" ht="18.600000000000001" customHeight="1">
      <c r="A1226" s="142" t="str">
        <f>IF(priority(Main[[#This Row],[Comments]])&lt;&gt;0, priority(Main[[#This Row],[Comments]]),"")</f>
        <v/>
      </c>
      <c r="B1226" s="90" t="s">
        <v>1851</v>
      </c>
      <c r="C1226" s="72" t="s">
        <v>4</v>
      </c>
      <c r="D1226" s="73" t="s">
        <v>895</v>
      </c>
      <c r="E1226" s="74">
        <v>40284.719155092593</v>
      </c>
      <c r="F1226" s="74"/>
      <c r="G1226" s="75" t="str">
        <f>IF(stdProdLT(Main[[#This Row],[Comments]])=0.1,"N/A",IF(stdProdLT(Main[[#This Row],[Comments]])=0,"",stdProdLT(Main[[#This Row],[Comments]])))</f>
        <v/>
      </c>
      <c r="H1226" s="76" t="str">
        <f>IF(AND(Main[[#This Row],[In Stock Date]]&lt;&gt;"",Main[[#This Row],[Revised Due Date]]&lt;&gt;""),Main[[#This Row],[In Stock Date]]-Main[[#This Row],[Revised Due Date]],"")</f>
        <v/>
      </c>
      <c r="I1226" s="72" t="s">
        <v>4</v>
      </c>
      <c r="J1226" s="72" t="s">
        <v>52</v>
      </c>
      <c r="K1226" s="72" t="s">
        <v>1949</v>
      </c>
      <c r="L1226" s="74"/>
      <c r="M1226" s="77" t="str">
        <f>IF(Main[[#This Row],[Tech Start Date]]&lt;1/1/1990,"",IF(Main[[#This Row],[Class]]="C",WORKDAY(Main[[#This Row],[Tech Start Date]],9),IF(Main[[#This Row],[Class]]="B", WORKDAY(Main[[#This Row],[Tech Start Date]],6),IF(Main[[#This Row],[Class]]="A",WORKDAY(Main[[#This Row],[Tech Start Date]],2),""))))</f>
        <v/>
      </c>
      <c r="N1226" s="77" t="str">
        <f>IF(Main[[#This Row],[Tech Start Date]]&lt;1/1/1990,"",IF(Main[[#This Row],[Class]]="C",WORKDAY(Main[[#This Row],[Tech Start Date]],19),IF(Main[[#This Row],[Class]]="B", WORKDAY(Main[[#This Row],[Tech Start Date]],12),IF(Main[[#This Row],[Class]]="A",WORKDAY(Main[[#This Row],[Tech Start Date]],4),""))))</f>
        <v/>
      </c>
      <c r="O1226" s="77" t="str">
        <f>IF(Main[[#This Row],[Tech Start Date]]&lt;1/1/1990,"",IF(Main[[#This Row],[Class]]="C",WORKDAY(Main[[#This Row],[Tech Start Date]],23),IF(Main[[#This Row],[Class]]="B", WORKDAY(Main[[#This Row],[Tech Start Date]],15),IF(Main[[#This Row],[Class]]="A",WORKDAY(Main[[#This Row],[Tech Start Date]],5),""))))</f>
        <v/>
      </c>
      <c r="P1226" s="77" t="str">
        <f>IF(Main[[#This Row],[Tech Start Date]]&lt;1/1/1990,"",IF(Main[[#This Row],[Class]]="C",WORKDAY(Main[[#This Row],[Tech Start Date]],28),IF(Main[[#This Row],[Class]]="B", WORKDAY(Main[[#This Row],[Tech Start Date]],19),IF(Main[[#This Row],[Class]]="A",WORKDAY(Main[[#This Row],[Tech Start Date]],9),""))))</f>
        <v/>
      </c>
      <c r="Q1226" s="74">
        <v>40389</v>
      </c>
      <c r="R1226" s="74">
        <v>40403</v>
      </c>
      <c r="S1226" s="72" t="s">
        <v>17</v>
      </c>
      <c r="T1226" s="80" t="s">
        <v>4</v>
      </c>
      <c r="U1226" s="72" t="s">
        <v>29</v>
      </c>
      <c r="V1226" s="72" t="s">
        <v>1937</v>
      </c>
      <c r="W1226" s="72" t="s">
        <v>1951</v>
      </c>
      <c r="X1226" s="72" t="s">
        <v>2973</v>
      </c>
      <c r="Y1226" s="72" t="s">
        <v>3094</v>
      </c>
      <c r="Z1226" s="72" t="s">
        <v>129</v>
      </c>
    </row>
    <row r="1227" spans="1:26" ht="18.600000000000001" customHeight="1">
      <c r="A1227" s="142" t="str">
        <f>IF(priority(Main[[#This Row],[Comments]])&lt;&gt;0, priority(Main[[#This Row],[Comments]]),"")</f>
        <v/>
      </c>
      <c r="B1227" s="90" t="s">
        <v>1523</v>
      </c>
      <c r="C1227" s="72" t="s">
        <v>584</v>
      </c>
      <c r="D1227" s="73" t="s">
        <v>2645</v>
      </c>
      <c r="E1227" s="74"/>
      <c r="F1227" s="74"/>
      <c r="G1227" s="75" t="str">
        <f>IF(stdProdLT(Main[[#This Row],[Comments]])=0.1,"N/A",IF(stdProdLT(Main[[#This Row],[Comments]])=0,"",stdProdLT(Main[[#This Row],[Comments]])))</f>
        <v/>
      </c>
      <c r="H1227" s="76" t="str">
        <f>IF(AND(Main[[#This Row],[In Stock Date]]&lt;&gt;"",Main[[#This Row],[Revised Due Date]]&lt;&gt;""),Main[[#This Row],[In Stock Date]]-Main[[#This Row],[Revised Due Date]],"")</f>
        <v/>
      </c>
      <c r="I1227" s="72" t="s">
        <v>4</v>
      </c>
      <c r="J1227" s="72" t="s">
        <v>28</v>
      </c>
      <c r="K1227" s="81" t="s">
        <v>1944</v>
      </c>
      <c r="L1227" s="74"/>
      <c r="M1227" s="77" t="str">
        <f>IF(Main[[#This Row],[Tech Start Date]]&lt;1/1/1990,"",IF(Main[[#This Row],[Class]]="C",WORKDAY(Main[[#This Row],[Tech Start Date]],9),IF(Main[[#This Row],[Class]]="B", WORKDAY(Main[[#This Row],[Tech Start Date]],6),IF(Main[[#This Row],[Class]]="A",WORKDAY(Main[[#This Row],[Tech Start Date]],2),""))))</f>
        <v/>
      </c>
      <c r="N1227" s="77" t="str">
        <f>IF(Main[[#This Row],[Tech Start Date]]&lt;1/1/1990,"",IF(Main[[#This Row],[Class]]="C",WORKDAY(Main[[#This Row],[Tech Start Date]],19),IF(Main[[#This Row],[Class]]="B", WORKDAY(Main[[#This Row],[Tech Start Date]],12),IF(Main[[#This Row],[Class]]="A",WORKDAY(Main[[#This Row],[Tech Start Date]],4),""))))</f>
        <v/>
      </c>
      <c r="O1227" s="77" t="str">
        <f>IF(Main[[#This Row],[Tech Start Date]]&lt;1/1/1990,"",IF(Main[[#This Row],[Class]]="C",WORKDAY(Main[[#This Row],[Tech Start Date]],23),IF(Main[[#This Row],[Class]]="B", WORKDAY(Main[[#This Row],[Tech Start Date]],15),IF(Main[[#This Row],[Class]]="A",WORKDAY(Main[[#This Row],[Tech Start Date]],5),""))))</f>
        <v/>
      </c>
      <c r="P1227" s="77" t="str">
        <f>IF(Main[[#This Row],[Tech Start Date]]&lt;1/1/1990,"",IF(Main[[#This Row],[Class]]="C",WORKDAY(Main[[#This Row],[Tech Start Date]],28),IF(Main[[#This Row],[Class]]="B", WORKDAY(Main[[#This Row],[Tech Start Date]],19),IF(Main[[#This Row],[Class]]="A",WORKDAY(Main[[#This Row],[Tech Start Date]],9),""))))</f>
        <v/>
      </c>
      <c r="Q1227" s="74">
        <v>40486</v>
      </c>
      <c r="R1227" s="74"/>
      <c r="S1227" s="72" t="s">
        <v>6</v>
      </c>
      <c r="T1227" s="80" t="s">
        <v>4</v>
      </c>
      <c r="U1227" s="72" t="s">
        <v>14</v>
      </c>
      <c r="V1227" s="72" t="s">
        <v>1937</v>
      </c>
      <c r="W1227" s="72" t="s">
        <v>1941</v>
      </c>
      <c r="X1227" s="72" t="s">
        <v>2973</v>
      </c>
      <c r="Y1227" s="72" t="s">
        <v>3094</v>
      </c>
      <c r="Z1227" s="72" t="s">
        <v>129</v>
      </c>
    </row>
    <row r="1228" spans="1:26" ht="18.600000000000001" customHeight="1">
      <c r="A1228" s="142" t="str">
        <f>IF(priority(Main[[#This Row],[Comments]])&lt;&gt;0, priority(Main[[#This Row],[Comments]]),"")</f>
        <v/>
      </c>
      <c r="B1228" s="90" t="s">
        <v>2119</v>
      </c>
      <c r="C1228" s="72" t="s">
        <v>4</v>
      </c>
      <c r="D1228" s="73" t="s">
        <v>2646</v>
      </c>
      <c r="E1228" s="74">
        <v>40760.553842592592</v>
      </c>
      <c r="F1228" s="74"/>
      <c r="G1228" s="75" t="str">
        <f>IF(stdProdLT(Main[[#This Row],[Comments]])=0.1,"N/A",IF(stdProdLT(Main[[#This Row],[Comments]])=0,"",stdProdLT(Main[[#This Row],[Comments]])))</f>
        <v/>
      </c>
      <c r="H1228" s="76" t="str">
        <f>IF(AND(Main[[#This Row],[In Stock Date]]&lt;&gt;"",Main[[#This Row],[Revised Due Date]]&lt;&gt;""),Main[[#This Row],[In Stock Date]]-Main[[#This Row],[Revised Due Date]],"")</f>
        <v/>
      </c>
      <c r="I1228" s="72" t="s">
        <v>4</v>
      </c>
      <c r="J1228" s="72" t="s">
        <v>4</v>
      </c>
      <c r="K1228" s="72" t="s">
        <v>4</v>
      </c>
      <c r="L1228" s="74"/>
      <c r="M1228" s="77" t="str">
        <f>IF(Main[[#This Row],[Tech Start Date]]&lt;1/1/1990,"",IF(Main[[#This Row],[Class]]="C",WORKDAY(Main[[#This Row],[Tech Start Date]],9),IF(Main[[#This Row],[Class]]="B", WORKDAY(Main[[#This Row],[Tech Start Date]],6),IF(Main[[#This Row],[Class]]="A",WORKDAY(Main[[#This Row],[Tech Start Date]],2),""))))</f>
        <v/>
      </c>
      <c r="N1228" s="77" t="str">
        <f>IF(Main[[#This Row],[Tech Start Date]]&lt;1/1/1990,"",IF(Main[[#This Row],[Class]]="C",WORKDAY(Main[[#This Row],[Tech Start Date]],19),IF(Main[[#This Row],[Class]]="B", WORKDAY(Main[[#This Row],[Tech Start Date]],12),IF(Main[[#This Row],[Class]]="A",WORKDAY(Main[[#This Row],[Tech Start Date]],4),""))))</f>
        <v/>
      </c>
      <c r="O1228" s="77" t="str">
        <f>IF(Main[[#This Row],[Tech Start Date]]&lt;1/1/1990,"",IF(Main[[#This Row],[Class]]="C",WORKDAY(Main[[#This Row],[Tech Start Date]],23),IF(Main[[#This Row],[Class]]="B", WORKDAY(Main[[#This Row],[Tech Start Date]],15),IF(Main[[#This Row],[Class]]="A",WORKDAY(Main[[#This Row],[Tech Start Date]],5),""))))</f>
        <v/>
      </c>
      <c r="P1228" s="77" t="str">
        <f>IF(Main[[#This Row],[Tech Start Date]]&lt;1/1/1990,"",IF(Main[[#This Row],[Class]]="C",WORKDAY(Main[[#This Row],[Tech Start Date]],28),IF(Main[[#This Row],[Class]]="B", WORKDAY(Main[[#This Row],[Tech Start Date]],19),IF(Main[[#This Row],[Class]]="A",WORKDAY(Main[[#This Row],[Tech Start Date]],9),""))))</f>
        <v/>
      </c>
      <c r="Q1228" s="74"/>
      <c r="R1228" s="74"/>
      <c r="S1228" s="72" t="s">
        <v>6</v>
      </c>
      <c r="T1228" s="80" t="s">
        <v>4</v>
      </c>
      <c r="U1228" s="72" t="s">
        <v>7</v>
      </c>
      <c r="V1228" s="72" t="s">
        <v>1937</v>
      </c>
      <c r="W1228" s="72" t="s">
        <v>1941</v>
      </c>
      <c r="X1228" s="72" t="s">
        <v>311</v>
      </c>
      <c r="Y1228" s="72" t="s">
        <v>4</v>
      </c>
      <c r="Z1228" s="72" t="s">
        <v>4</v>
      </c>
    </row>
    <row r="1229" spans="1:26" ht="18.600000000000001" customHeight="1">
      <c r="A1229" s="142" t="str">
        <f>IF(priority(Main[[#This Row],[Comments]])&lt;&gt;0, priority(Main[[#This Row],[Comments]]),"")</f>
        <v/>
      </c>
      <c r="B1229" s="90" t="s">
        <v>1129</v>
      </c>
      <c r="C1229" s="72" t="s">
        <v>162</v>
      </c>
      <c r="D1229" s="73" t="s">
        <v>163</v>
      </c>
      <c r="E1229" s="74"/>
      <c r="F1229" s="74">
        <v>40238</v>
      </c>
      <c r="G1229" s="75" t="str">
        <f>IF(stdProdLT(Main[[#This Row],[Comments]])=0.1,"N/A",IF(stdProdLT(Main[[#This Row],[Comments]])=0,"",stdProdLT(Main[[#This Row],[Comments]])))</f>
        <v/>
      </c>
      <c r="H1229" s="76" t="str">
        <f>IF(AND(Main[[#This Row],[In Stock Date]]&lt;&gt;"",Main[[#This Row],[Revised Due Date]]&lt;&gt;""),Main[[#This Row],[In Stock Date]]-Main[[#This Row],[Revised Due Date]],"")</f>
        <v/>
      </c>
      <c r="I1229" s="72" t="s">
        <v>4</v>
      </c>
      <c r="J1229" s="72" t="s">
        <v>4</v>
      </c>
      <c r="K1229" s="81" t="s">
        <v>4</v>
      </c>
      <c r="L1229" s="74"/>
      <c r="M1229" s="77" t="str">
        <f>IF(Main[[#This Row],[Tech Start Date]]&lt;1/1/1990,"",IF(Main[[#This Row],[Class]]="C",WORKDAY(Main[[#This Row],[Tech Start Date]],9),IF(Main[[#This Row],[Class]]="B", WORKDAY(Main[[#This Row],[Tech Start Date]],6),IF(Main[[#This Row],[Class]]="A",WORKDAY(Main[[#This Row],[Tech Start Date]],2),""))))</f>
        <v/>
      </c>
      <c r="N1229" s="77" t="str">
        <f>IF(Main[[#This Row],[Tech Start Date]]&lt;1/1/1990,"",IF(Main[[#This Row],[Class]]="C",WORKDAY(Main[[#This Row],[Tech Start Date]],19),IF(Main[[#This Row],[Class]]="B", WORKDAY(Main[[#This Row],[Tech Start Date]],12),IF(Main[[#This Row],[Class]]="A",WORKDAY(Main[[#This Row],[Tech Start Date]],4),""))))</f>
        <v/>
      </c>
      <c r="O1229" s="77" t="str">
        <f>IF(Main[[#This Row],[Tech Start Date]]&lt;1/1/1990,"",IF(Main[[#This Row],[Class]]="C",WORKDAY(Main[[#This Row],[Tech Start Date]],23),IF(Main[[#This Row],[Class]]="B", WORKDAY(Main[[#This Row],[Tech Start Date]],15),IF(Main[[#This Row],[Class]]="A",WORKDAY(Main[[#This Row],[Tech Start Date]],5),""))))</f>
        <v/>
      </c>
      <c r="P1229" s="77" t="str">
        <f>IF(Main[[#This Row],[Tech Start Date]]&lt;1/1/1990,"",IF(Main[[#This Row],[Class]]="C",WORKDAY(Main[[#This Row],[Tech Start Date]],28),IF(Main[[#This Row],[Class]]="B", WORKDAY(Main[[#This Row],[Tech Start Date]],19),IF(Main[[#This Row],[Class]]="A",WORKDAY(Main[[#This Row],[Tech Start Date]],9),""))))</f>
        <v/>
      </c>
      <c r="Q1229" s="74">
        <v>40167</v>
      </c>
      <c r="R1229" s="74"/>
      <c r="S1229" s="72" t="s">
        <v>17</v>
      </c>
      <c r="T1229" s="80" t="s">
        <v>4</v>
      </c>
      <c r="U1229" s="72" t="s">
        <v>14</v>
      </c>
      <c r="V1229" s="72" t="s">
        <v>1940</v>
      </c>
      <c r="W1229" s="72" t="s">
        <v>1945</v>
      </c>
      <c r="X1229" s="72" t="s">
        <v>50</v>
      </c>
      <c r="Y1229" s="72" t="s">
        <v>3101</v>
      </c>
      <c r="Z1229" s="72" t="s">
        <v>866</v>
      </c>
    </row>
    <row r="1230" spans="1:26" ht="18.600000000000001" customHeight="1">
      <c r="A1230" s="142" t="str">
        <f>IF(priority(Main[[#This Row],[Comments]])&lt;&gt;0, priority(Main[[#This Row],[Comments]]),"")</f>
        <v/>
      </c>
      <c r="B1230" s="90" t="s">
        <v>3375</v>
      </c>
      <c r="C1230" s="72" t="s">
        <v>31</v>
      </c>
      <c r="D1230" s="73" t="s">
        <v>3376</v>
      </c>
      <c r="E1230" s="74"/>
      <c r="F1230" s="74">
        <v>41122</v>
      </c>
      <c r="G1230" s="75" t="str">
        <f>IF(stdProdLT(Main[[#This Row],[Comments]])=0.1,"N/A",IF(stdProdLT(Main[[#This Row],[Comments]])=0,"",stdProdLT(Main[[#This Row],[Comments]])))</f>
        <v/>
      </c>
      <c r="H1230" s="76" t="str">
        <f>IF(AND(Main[[#This Row],[In Stock Date]]&lt;&gt;"",Main[[#This Row],[Revised Due Date]]&lt;&gt;""),Main[[#This Row],[In Stock Date]]-Main[[#This Row],[Revised Due Date]],"")</f>
        <v/>
      </c>
      <c r="I1230" s="72" t="s">
        <v>4</v>
      </c>
      <c r="J1230" s="72" t="s">
        <v>4</v>
      </c>
      <c r="K1230" s="72" t="s">
        <v>4</v>
      </c>
      <c r="L1230" s="74"/>
      <c r="M1230" s="77" t="str">
        <f>IF(Main[[#This Row],[Tech Start Date]]&lt;1/1/1990,"",IF(Main[[#This Row],[Class]]="C",WORKDAY(Main[[#This Row],[Tech Start Date]],9),IF(Main[[#This Row],[Class]]="B", WORKDAY(Main[[#This Row],[Tech Start Date]],6),IF(Main[[#This Row],[Class]]="A",WORKDAY(Main[[#This Row],[Tech Start Date]],2),""))))</f>
        <v/>
      </c>
      <c r="N1230" s="77" t="str">
        <f>IF(Main[[#This Row],[Tech Start Date]]&lt;1/1/1990,"",IF(Main[[#This Row],[Class]]="C",WORKDAY(Main[[#This Row],[Tech Start Date]],19),IF(Main[[#This Row],[Class]]="B", WORKDAY(Main[[#This Row],[Tech Start Date]],12),IF(Main[[#This Row],[Class]]="A",WORKDAY(Main[[#This Row],[Tech Start Date]],4),""))))</f>
        <v/>
      </c>
      <c r="O1230" s="77" t="str">
        <f>IF(Main[[#This Row],[Tech Start Date]]&lt;1/1/1990,"",IF(Main[[#This Row],[Class]]="C",WORKDAY(Main[[#This Row],[Tech Start Date]],23),IF(Main[[#This Row],[Class]]="B", WORKDAY(Main[[#This Row],[Tech Start Date]],15),IF(Main[[#This Row],[Class]]="A",WORKDAY(Main[[#This Row],[Tech Start Date]],5),""))))</f>
        <v/>
      </c>
      <c r="P1230" s="77" t="str">
        <f>IF(Main[[#This Row],[Tech Start Date]]&lt;1/1/1990,"",IF(Main[[#This Row],[Class]]="C",WORKDAY(Main[[#This Row],[Tech Start Date]],28),IF(Main[[#This Row],[Class]]="B", WORKDAY(Main[[#This Row],[Tech Start Date]],19),IF(Main[[#This Row],[Class]]="A",WORKDAY(Main[[#This Row],[Tech Start Date]],9),""))))</f>
        <v/>
      </c>
      <c r="Q1230" s="74">
        <v>40940</v>
      </c>
      <c r="R1230" s="74"/>
      <c r="S1230" s="72" t="s">
        <v>11</v>
      </c>
      <c r="T1230" s="80" t="s">
        <v>4</v>
      </c>
      <c r="U1230" s="72" t="s">
        <v>12</v>
      </c>
      <c r="V1230" s="72" t="s">
        <v>1940</v>
      </c>
      <c r="W1230" s="72" t="s">
        <v>1948</v>
      </c>
      <c r="X1230" s="72" t="s">
        <v>2998</v>
      </c>
      <c r="Y1230" s="72" t="s">
        <v>4</v>
      </c>
      <c r="Z1230" s="72" t="s">
        <v>4</v>
      </c>
    </row>
    <row r="1231" spans="1:26" ht="18.600000000000001" customHeight="1">
      <c r="A1231" s="142" t="str">
        <f>IF(priority(Main[[#This Row],[Comments]])&lt;&gt;0, priority(Main[[#This Row],[Comments]]),"")</f>
        <v/>
      </c>
      <c r="B1231" s="90" t="s">
        <v>2905</v>
      </c>
      <c r="C1231" s="72" t="s">
        <v>2808</v>
      </c>
      <c r="D1231" s="73" t="s">
        <v>2906</v>
      </c>
      <c r="E1231" s="74"/>
      <c r="F1231" s="74"/>
      <c r="G1231" s="75" t="str">
        <f>IF(stdProdLT(Main[[#This Row],[Comments]])=0.1,"N/A",IF(stdProdLT(Main[[#This Row],[Comments]])=0,"",stdProdLT(Main[[#This Row],[Comments]])))</f>
        <v/>
      </c>
      <c r="H1231" s="76" t="str">
        <f>IF(AND(Main[[#This Row],[In Stock Date]]&lt;&gt;"",Main[[#This Row],[Revised Due Date]]&lt;&gt;""),Main[[#This Row],[In Stock Date]]-Main[[#This Row],[Revised Due Date]],"")</f>
        <v/>
      </c>
      <c r="I1231" s="72" t="s">
        <v>4</v>
      </c>
      <c r="J1231" s="72" t="s">
        <v>4</v>
      </c>
      <c r="K1231" s="72" t="s">
        <v>4</v>
      </c>
      <c r="L1231" s="74"/>
      <c r="M1231" s="77" t="str">
        <f>IF(Main[[#This Row],[Tech Start Date]]&lt;1/1/1990,"",IF(Main[[#This Row],[Class]]="C",WORKDAY(Main[[#This Row],[Tech Start Date]],9),IF(Main[[#This Row],[Class]]="B", WORKDAY(Main[[#This Row],[Tech Start Date]],6),IF(Main[[#This Row],[Class]]="A",WORKDAY(Main[[#This Row],[Tech Start Date]],2),""))))</f>
        <v/>
      </c>
      <c r="N1231" s="77" t="str">
        <f>IF(Main[[#This Row],[Tech Start Date]]&lt;1/1/1990,"",IF(Main[[#This Row],[Class]]="C",WORKDAY(Main[[#This Row],[Tech Start Date]],19),IF(Main[[#This Row],[Class]]="B", WORKDAY(Main[[#This Row],[Tech Start Date]],12),IF(Main[[#This Row],[Class]]="A",WORKDAY(Main[[#This Row],[Tech Start Date]],4),""))))</f>
        <v/>
      </c>
      <c r="O1231" s="77" t="str">
        <f>IF(Main[[#This Row],[Tech Start Date]]&lt;1/1/1990,"",IF(Main[[#This Row],[Class]]="C",WORKDAY(Main[[#This Row],[Tech Start Date]],23),IF(Main[[#This Row],[Class]]="B", WORKDAY(Main[[#This Row],[Tech Start Date]],15),IF(Main[[#This Row],[Class]]="A",WORKDAY(Main[[#This Row],[Tech Start Date]],5),""))))</f>
        <v/>
      </c>
      <c r="P1231" s="77" t="str">
        <f>IF(Main[[#This Row],[Tech Start Date]]&lt;1/1/1990,"",IF(Main[[#This Row],[Class]]="C",WORKDAY(Main[[#This Row],[Tech Start Date]],28),IF(Main[[#This Row],[Class]]="B", WORKDAY(Main[[#This Row],[Tech Start Date]],19),IF(Main[[#This Row],[Class]]="A",WORKDAY(Main[[#This Row],[Tech Start Date]],9),""))))</f>
        <v/>
      </c>
      <c r="Q1231" s="74"/>
      <c r="R1231" s="74"/>
      <c r="S1231" s="72" t="s">
        <v>17</v>
      </c>
      <c r="T1231" s="80" t="s">
        <v>4</v>
      </c>
      <c r="U1231" s="72" t="s">
        <v>12</v>
      </c>
      <c r="V1231" s="72" t="s">
        <v>1940</v>
      </c>
      <c r="W1231" s="72" t="s">
        <v>1942</v>
      </c>
      <c r="X1231" s="72" t="s">
        <v>3045</v>
      </c>
      <c r="Y1231" s="72" t="s">
        <v>3213</v>
      </c>
      <c r="Z1231" s="72" t="s">
        <v>4</v>
      </c>
    </row>
    <row r="1232" spans="1:26" ht="18.600000000000001" customHeight="1">
      <c r="A1232" s="142" t="str">
        <f>IF(priority(Main[[#This Row],[Comments]])&lt;&gt;0, priority(Main[[#This Row],[Comments]]),"")</f>
        <v/>
      </c>
      <c r="B1232" s="90" t="s">
        <v>1887</v>
      </c>
      <c r="C1232" s="72" t="s">
        <v>47</v>
      </c>
      <c r="D1232" s="73" t="s">
        <v>935</v>
      </c>
      <c r="E1232" s="74">
        <v>39937.596770833334</v>
      </c>
      <c r="F1232" s="74"/>
      <c r="G1232" s="75" t="str">
        <f>IF(stdProdLT(Main[[#This Row],[Comments]])=0.1,"N/A",IF(stdProdLT(Main[[#This Row],[Comments]])=0,"",stdProdLT(Main[[#This Row],[Comments]])))</f>
        <v/>
      </c>
      <c r="H1232" s="76" t="str">
        <f>IF(AND(Main[[#This Row],[In Stock Date]]&lt;&gt;"",Main[[#This Row],[Revised Due Date]]&lt;&gt;""),Main[[#This Row],[In Stock Date]]-Main[[#This Row],[Revised Due Date]],"")</f>
        <v/>
      </c>
      <c r="I1232" s="72" t="s">
        <v>990</v>
      </c>
      <c r="J1232" s="72" t="s">
        <v>4</v>
      </c>
      <c r="K1232" s="72" t="s">
        <v>1949</v>
      </c>
      <c r="L1232" s="74"/>
      <c r="M1232" s="77" t="str">
        <f>IF(Main[[#This Row],[Tech Start Date]]&lt;1/1/1990,"",IF(Main[[#This Row],[Class]]="C",WORKDAY(Main[[#This Row],[Tech Start Date]],9),IF(Main[[#This Row],[Class]]="B", WORKDAY(Main[[#This Row],[Tech Start Date]],6),IF(Main[[#This Row],[Class]]="A",WORKDAY(Main[[#This Row],[Tech Start Date]],2),""))))</f>
        <v/>
      </c>
      <c r="N1232" s="77" t="str">
        <f>IF(Main[[#This Row],[Tech Start Date]]&lt;1/1/1990,"",IF(Main[[#This Row],[Class]]="C",WORKDAY(Main[[#This Row],[Tech Start Date]],19),IF(Main[[#This Row],[Class]]="B", WORKDAY(Main[[#This Row],[Tech Start Date]],12),IF(Main[[#This Row],[Class]]="A",WORKDAY(Main[[#This Row],[Tech Start Date]],4),""))))</f>
        <v/>
      </c>
      <c r="O1232" s="77" t="str">
        <f>IF(Main[[#This Row],[Tech Start Date]]&lt;1/1/1990,"",IF(Main[[#This Row],[Class]]="C",WORKDAY(Main[[#This Row],[Tech Start Date]],23),IF(Main[[#This Row],[Class]]="B", WORKDAY(Main[[#This Row],[Tech Start Date]],15),IF(Main[[#This Row],[Class]]="A",WORKDAY(Main[[#This Row],[Tech Start Date]],5),""))))</f>
        <v/>
      </c>
      <c r="P1232" s="77" t="str">
        <f>IF(Main[[#This Row],[Tech Start Date]]&lt;1/1/1990,"",IF(Main[[#This Row],[Class]]="C",WORKDAY(Main[[#This Row],[Tech Start Date]],28),IF(Main[[#This Row],[Class]]="B", WORKDAY(Main[[#This Row],[Tech Start Date]],19),IF(Main[[#This Row],[Class]]="A",WORKDAY(Main[[#This Row],[Tech Start Date]],9),""))))</f>
        <v/>
      </c>
      <c r="Q1232" s="74"/>
      <c r="R1232" s="74">
        <v>40999</v>
      </c>
      <c r="S1232" s="72" t="s">
        <v>17</v>
      </c>
      <c r="T1232" s="80" t="s">
        <v>4</v>
      </c>
      <c r="U1232" s="72" t="s">
        <v>29</v>
      </c>
      <c r="V1232" s="72" t="s">
        <v>1940</v>
      </c>
      <c r="W1232" s="72" t="s">
        <v>1942</v>
      </c>
      <c r="X1232" s="72" t="s">
        <v>2979</v>
      </c>
      <c r="Y1232" s="72" t="s">
        <v>3106</v>
      </c>
      <c r="Z1232" s="72" t="s">
        <v>421</v>
      </c>
    </row>
    <row r="1233" spans="1:26" ht="18.600000000000001" customHeight="1">
      <c r="A1233" s="142" t="str">
        <f>IF(priority(Main[[#This Row],[Comments]])&lt;&gt;0, priority(Main[[#This Row],[Comments]]),"")</f>
        <v/>
      </c>
      <c r="B1233" s="90" t="s">
        <v>2639</v>
      </c>
      <c r="C1233" s="72" t="s">
        <v>4</v>
      </c>
      <c r="D1233" s="73" t="s">
        <v>2904</v>
      </c>
      <c r="E1233" s="74">
        <v>40870.475462962961</v>
      </c>
      <c r="F1233" s="74"/>
      <c r="G1233" s="75" t="str">
        <f>IF(stdProdLT(Main[[#This Row],[Comments]])=0.1,"N/A",IF(stdProdLT(Main[[#This Row],[Comments]])=0,"",stdProdLT(Main[[#This Row],[Comments]])))</f>
        <v/>
      </c>
      <c r="H1233" s="76" t="str">
        <f>IF(AND(Main[[#This Row],[In Stock Date]]&lt;&gt;"",Main[[#This Row],[Revised Due Date]]&lt;&gt;""),Main[[#This Row],[In Stock Date]]-Main[[#This Row],[Revised Due Date]],"")</f>
        <v/>
      </c>
      <c r="I1233" s="72" t="s">
        <v>435</v>
      </c>
      <c r="J1233" s="72" t="s">
        <v>28</v>
      </c>
      <c r="K1233" s="72" t="s">
        <v>1944</v>
      </c>
      <c r="L1233" s="74"/>
      <c r="M1233" s="77" t="str">
        <f>IF(Main[[#This Row],[Tech Start Date]]&lt;1/1/1990,"",IF(Main[[#This Row],[Class]]="C",WORKDAY(Main[[#This Row],[Tech Start Date]],9),IF(Main[[#This Row],[Class]]="B", WORKDAY(Main[[#This Row],[Tech Start Date]],6),IF(Main[[#This Row],[Class]]="A",WORKDAY(Main[[#This Row],[Tech Start Date]],2),""))))</f>
        <v/>
      </c>
      <c r="N1233" s="77" t="str">
        <f>IF(Main[[#This Row],[Tech Start Date]]&lt;1/1/1990,"",IF(Main[[#This Row],[Class]]="C",WORKDAY(Main[[#This Row],[Tech Start Date]],19),IF(Main[[#This Row],[Class]]="B", WORKDAY(Main[[#This Row],[Tech Start Date]],12),IF(Main[[#This Row],[Class]]="A",WORKDAY(Main[[#This Row],[Tech Start Date]],4),""))))</f>
        <v/>
      </c>
      <c r="O1233" s="77" t="str">
        <f>IF(Main[[#This Row],[Tech Start Date]]&lt;1/1/1990,"",IF(Main[[#This Row],[Class]]="C",WORKDAY(Main[[#This Row],[Tech Start Date]],23),IF(Main[[#This Row],[Class]]="B", WORKDAY(Main[[#This Row],[Tech Start Date]],15),IF(Main[[#This Row],[Class]]="A",WORKDAY(Main[[#This Row],[Tech Start Date]],5),""))))</f>
        <v/>
      </c>
      <c r="P1233" s="77" t="str">
        <f>IF(Main[[#This Row],[Tech Start Date]]&lt;1/1/1990,"",IF(Main[[#This Row],[Class]]="C",WORKDAY(Main[[#This Row],[Tech Start Date]],28),IF(Main[[#This Row],[Class]]="B", WORKDAY(Main[[#This Row],[Tech Start Date]],19),IF(Main[[#This Row],[Class]]="A",WORKDAY(Main[[#This Row],[Tech Start Date]],9),""))))</f>
        <v/>
      </c>
      <c r="Q1233" s="74">
        <v>40905</v>
      </c>
      <c r="R1233" s="74"/>
      <c r="S1233" s="72" t="s">
        <v>6</v>
      </c>
      <c r="T1233" s="80" t="s">
        <v>4</v>
      </c>
      <c r="U1233" s="72" t="s">
        <v>29</v>
      </c>
      <c r="V1233" s="72" t="s">
        <v>1940</v>
      </c>
      <c r="W1233" s="72" t="s">
        <v>1941</v>
      </c>
      <c r="X1233" s="72" t="s">
        <v>2078</v>
      </c>
      <c r="Y1233" s="72" t="s">
        <v>3218</v>
      </c>
      <c r="Z1233" s="72" t="s">
        <v>30</v>
      </c>
    </row>
    <row r="1234" spans="1:26" ht="18.600000000000001" customHeight="1">
      <c r="A1234" s="142" t="str">
        <f>IF(priority(Main[[#This Row],[Comments]])&lt;&gt;0, priority(Main[[#This Row],[Comments]]),"")</f>
        <v/>
      </c>
      <c r="B1234" s="90" t="s">
        <v>2247</v>
      </c>
      <c r="C1234" s="72" t="s">
        <v>4</v>
      </c>
      <c r="D1234" s="73" t="s">
        <v>2248</v>
      </c>
      <c r="E1234" s="74"/>
      <c r="F1234" s="74"/>
      <c r="G1234" s="75" t="str">
        <f>IF(stdProdLT(Main[[#This Row],[Comments]])=0.1,"N/A",IF(stdProdLT(Main[[#This Row],[Comments]])=0,"",stdProdLT(Main[[#This Row],[Comments]])))</f>
        <v/>
      </c>
      <c r="H1234" s="76" t="str">
        <f>IF(AND(Main[[#This Row],[In Stock Date]]&lt;&gt;"",Main[[#This Row],[Revised Due Date]]&lt;&gt;""),Main[[#This Row],[In Stock Date]]-Main[[#This Row],[Revised Due Date]],"")</f>
        <v/>
      </c>
      <c r="I1234" s="72" t="s">
        <v>536</v>
      </c>
      <c r="J1234" s="72" t="s">
        <v>28</v>
      </c>
      <c r="K1234" s="72" t="s">
        <v>1946</v>
      </c>
      <c r="L1234" s="74"/>
      <c r="M1234" s="77" t="str">
        <f>IF(Main[[#This Row],[Tech Start Date]]&lt;1/1/1990,"",IF(Main[[#This Row],[Class]]="C",WORKDAY(Main[[#This Row],[Tech Start Date]],9),IF(Main[[#This Row],[Class]]="B", WORKDAY(Main[[#This Row],[Tech Start Date]],6),IF(Main[[#This Row],[Class]]="A",WORKDAY(Main[[#This Row],[Tech Start Date]],2),""))))</f>
        <v/>
      </c>
      <c r="N1234" s="77" t="str">
        <f>IF(Main[[#This Row],[Tech Start Date]]&lt;1/1/1990,"",IF(Main[[#This Row],[Class]]="C",WORKDAY(Main[[#This Row],[Tech Start Date]],19),IF(Main[[#This Row],[Class]]="B", WORKDAY(Main[[#This Row],[Tech Start Date]],12),IF(Main[[#This Row],[Class]]="A",WORKDAY(Main[[#This Row],[Tech Start Date]],4),""))))</f>
        <v/>
      </c>
      <c r="O1234" s="77" t="str">
        <f>IF(Main[[#This Row],[Tech Start Date]]&lt;1/1/1990,"",IF(Main[[#This Row],[Class]]="C",WORKDAY(Main[[#This Row],[Tech Start Date]],23),IF(Main[[#This Row],[Class]]="B", WORKDAY(Main[[#This Row],[Tech Start Date]],15),IF(Main[[#This Row],[Class]]="A",WORKDAY(Main[[#This Row],[Tech Start Date]],5),""))))</f>
        <v/>
      </c>
      <c r="P1234" s="77" t="str">
        <f>IF(Main[[#This Row],[Tech Start Date]]&lt;1/1/1990,"",IF(Main[[#This Row],[Class]]="C",WORKDAY(Main[[#This Row],[Tech Start Date]],28),IF(Main[[#This Row],[Class]]="B", WORKDAY(Main[[#This Row],[Tech Start Date]],19),IF(Main[[#This Row],[Class]]="A",WORKDAY(Main[[#This Row],[Tech Start Date]],9),""))))</f>
        <v/>
      </c>
      <c r="Q1234" s="74"/>
      <c r="R1234" s="74"/>
      <c r="S1234" s="72" t="s">
        <v>6</v>
      </c>
      <c r="T1234" s="80" t="s">
        <v>4</v>
      </c>
      <c r="U1234" s="72" t="s">
        <v>14</v>
      </c>
      <c r="V1234" s="72" t="s">
        <v>1940</v>
      </c>
      <c r="W1234" s="72" t="s">
        <v>1941</v>
      </c>
      <c r="X1234" s="72" t="s">
        <v>2971</v>
      </c>
      <c r="Y1234" s="72" t="s">
        <v>3090</v>
      </c>
      <c r="Z1234" s="72" t="s">
        <v>30</v>
      </c>
    </row>
    <row r="1235" spans="1:26" ht="18.600000000000001" customHeight="1">
      <c r="A1235" s="142" t="str">
        <f>IF(priority(Main[[#This Row],[Comments]])&lt;&gt;0, priority(Main[[#This Row],[Comments]]),"")</f>
        <v/>
      </c>
      <c r="B1235" s="90" t="s">
        <v>2641</v>
      </c>
      <c r="C1235" s="72" t="s">
        <v>4</v>
      </c>
      <c r="D1235" s="73" t="s">
        <v>2642</v>
      </c>
      <c r="E1235" s="74"/>
      <c r="F1235" s="74"/>
      <c r="G1235" s="75" t="str">
        <f>IF(stdProdLT(Main[[#This Row],[Comments]])=0.1,"N/A",IF(stdProdLT(Main[[#This Row],[Comments]])=0,"",stdProdLT(Main[[#This Row],[Comments]])))</f>
        <v/>
      </c>
      <c r="H1235" s="76" t="str">
        <f>IF(AND(Main[[#This Row],[In Stock Date]]&lt;&gt;"",Main[[#This Row],[Revised Due Date]]&lt;&gt;""),Main[[#This Row],[In Stock Date]]-Main[[#This Row],[Revised Due Date]],"")</f>
        <v/>
      </c>
      <c r="I1235" s="72" t="s">
        <v>4</v>
      </c>
      <c r="J1235" s="72" t="s">
        <v>4</v>
      </c>
      <c r="K1235" s="72" t="s">
        <v>4</v>
      </c>
      <c r="L1235" s="74"/>
      <c r="M1235" s="77" t="str">
        <f>IF(Main[[#This Row],[Tech Start Date]]&lt;1/1/1990,"",IF(Main[[#This Row],[Class]]="C",WORKDAY(Main[[#This Row],[Tech Start Date]],9),IF(Main[[#This Row],[Class]]="B", WORKDAY(Main[[#This Row],[Tech Start Date]],6),IF(Main[[#This Row],[Class]]="A",WORKDAY(Main[[#This Row],[Tech Start Date]],2),""))))</f>
        <v/>
      </c>
      <c r="N1235" s="77" t="str">
        <f>IF(Main[[#This Row],[Tech Start Date]]&lt;1/1/1990,"",IF(Main[[#This Row],[Class]]="C",WORKDAY(Main[[#This Row],[Tech Start Date]],19),IF(Main[[#This Row],[Class]]="B", WORKDAY(Main[[#This Row],[Tech Start Date]],12),IF(Main[[#This Row],[Class]]="A",WORKDAY(Main[[#This Row],[Tech Start Date]],4),""))))</f>
        <v/>
      </c>
      <c r="O1235" s="77" t="str">
        <f>IF(Main[[#This Row],[Tech Start Date]]&lt;1/1/1990,"",IF(Main[[#This Row],[Class]]="C",WORKDAY(Main[[#This Row],[Tech Start Date]],23),IF(Main[[#This Row],[Class]]="B", WORKDAY(Main[[#This Row],[Tech Start Date]],15),IF(Main[[#This Row],[Class]]="A",WORKDAY(Main[[#This Row],[Tech Start Date]],5),""))))</f>
        <v/>
      </c>
      <c r="P1235" s="77" t="str">
        <f>IF(Main[[#This Row],[Tech Start Date]]&lt;1/1/1990,"",IF(Main[[#This Row],[Class]]="C",WORKDAY(Main[[#This Row],[Tech Start Date]],28),IF(Main[[#This Row],[Class]]="B", WORKDAY(Main[[#This Row],[Tech Start Date]],19),IF(Main[[#This Row],[Class]]="A",WORKDAY(Main[[#This Row],[Tech Start Date]],9),""))))</f>
        <v/>
      </c>
      <c r="Q1235" s="74"/>
      <c r="R1235" s="74"/>
      <c r="S1235" s="72" t="s">
        <v>6</v>
      </c>
      <c r="T1235" s="80" t="s">
        <v>4</v>
      </c>
      <c r="U1235" s="72" t="s">
        <v>12</v>
      </c>
      <c r="V1235" s="72" t="s">
        <v>1940</v>
      </c>
      <c r="W1235" s="72" t="s">
        <v>1942</v>
      </c>
      <c r="X1235" s="72" t="s">
        <v>2993</v>
      </c>
      <c r="Y1235" s="72" t="s">
        <v>3129</v>
      </c>
      <c r="Z1235" s="72" t="s">
        <v>4</v>
      </c>
    </row>
    <row r="1236" spans="1:26" ht="18.600000000000001" customHeight="1">
      <c r="A1236" s="142" t="str">
        <f>IF(priority(Main[[#This Row],[Comments]])&lt;&gt;0, priority(Main[[#This Row],[Comments]]),"")</f>
        <v/>
      </c>
      <c r="B1236" s="90" t="s">
        <v>2348</v>
      </c>
      <c r="C1236" s="72" t="s">
        <v>2336</v>
      </c>
      <c r="D1236" s="73" t="s">
        <v>2337</v>
      </c>
      <c r="E1236" s="74"/>
      <c r="F1236" s="74">
        <v>40544</v>
      </c>
      <c r="G1236" s="75" t="str">
        <f>IF(stdProdLT(Main[[#This Row],[Comments]])=0.1,"N/A",IF(stdProdLT(Main[[#This Row],[Comments]])=0,"",stdProdLT(Main[[#This Row],[Comments]])))</f>
        <v/>
      </c>
      <c r="H1236" s="76" t="str">
        <f>IF(AND(Main[[#This Row],[In Stock Date]]&lt;&gt;"",Main[[#This Row],[Revised Due Date]]&lt;&gt;""),Main[[#This Row],[In Stock Date]]-Main[[#This Row],[Revised Due Date]],"")</f>
        <v/>
      </c>
      <c r="I1236" s="72" t="s">
        <v>4</v>
      </c>
      <c r="J1236" s="72" t="s">
        <v>4</v>
      </c>
      <c r="K1236" s="72" t="s">
        <v>4</v>
      </c>
      <c r="L1236" s="74"/>
      <c r="M1236" s="77" t="str">
        <f>IF(Main[[#This Row],[Tech Start Date]]&lt;1/1/1990,"",IF(Main[[#This Row],[Class]]="C",WORKDAY(Main[[#This Row],[Tech Start Date]],9),IF(Main[[#This Row],[Class]]="B", WORKDAY(Main[[#This Row],[Tech Start Date]],6),IF(Main[[#This Row],[Class]]="A",WORKDAY(Main[[#This Row],[Tech Start Date]],2),""))))</f>
        <v/>
      </c>
      <c r="N1236" s="77" t="str">
        <f>IF(Main[[#This Row],[Tech Start Date]]&lt;1/1/1990,"",IF(Main[[#This Row],[Class]]="C",WORKDAY(Main[[#This Row],[Tech Start Date]],19),IF(Main[[#This Row],[Class]]="B", WORKDAY(Main[[#This Row],[Tech Start Date]],12),IF(Main[[#This Row],[Class]]="A",WORKDAY(Main[[#This Row],[Tech Start Date]],4),""))))</f>
        <v/>
      </c>
      <c r="O1236" s="77" t="str">
        <f>IF(Main[[#This Row],[Tech Start Date]]&lt;1/1/1990,"",IF(Main[[#This Row],[Class]]="C",WORKDAY(Main[[#This Row],[Tech Start Date]],23),IF(Main[[#This Row],[Class]]="B", WORKDAY(Main[[#This Row],[Tech Start Date]],15),IF(Main[[#This Row],[Class]]="A",WORKDAY(Main[[#This Row],[Tech Start Date]],5),""))))</f>
        <v/>
      </c>
      <c r="P1236" s="77" t="str">
        <f>IF(Main[[#This Row],[Tech Start Date]]&lt;1/1/1990,"",IF(Main[[#This Row],[Class]]="C",WORKDAY(Main[[#This Row],[Tech Start Date]],28),IF(Main[[#This Row],[Class]]="B", WORKDAY(Main[[#This Row],[Tech Start Date]],19),IF(Main[[#This Row],[Class]]="A",WORKDAY(Main[[#This Row],[Tech Start Date]],9),""))))</f>
        <v/>
      </c>
      <c r="Q1236" s="74"/>
      <c r="R1236" s="74"/>
      <c r="S1236" s="72" t="s">
        <v>11</v>
      </c>
      <c r="T1236" s="80" t="s">
        <v>4</v>
      </c>
      <c r="U1236" s="72" t="s">
        <v>12</v>
      </c>
      <c r="V1236" s="72" t="s">
        <v>1940</v>
      </c>
      <c r="W1236" s="72" t="s">
        <v>1945</v>
      </c>
      <c r="X1236" s="72" t="s">
        <v>3064</v>
      </c>
      <c r="Y1236" s="72" t="s">
        <v>3296</v>
      </c>
      <c r="Z1236" s="72" t="s">
        <v>4</v>
      </c>
    </row>
    <row r="1237" spans="1:26" ht="18.600000000000001" customHeight="1">
      <c r="A1237" s="142" t="str">
        <f>IF(priority(Main[[#This Row],[Comments]])&lt;&gt;0, priority(Main[[#This Row],[Comments]]),"")</f>
        <v/>
      </c>
      <c r="B1237" s="90" t="s">
        <v>2506</v>
      </c>
      <c r="C1237" s="72" t="s">
        <v>4</v>
      </c>
      <c r="D1237" s="73" t="s">
        <v>2507</v>
      </c>
      <c r="E1237" s="74">
        <v>40855.432083333333</v>
      </c>
      <c r="F1237" s="74">
        <v>40877</v>
      </c>
      <c r="G1237" s="75" t="str">
        <f>IF(stdProdLT(Main[[#This Row],[Comments]])=0.1,"N/A",IF(stdProdLT(Main[[#This Row],[Comments]])=0,"",stdProdLT(Main[[#This Row],[Comments]])))</f>
        <v/>
      </c>
      <c r="H1237" s="76" t="str">
        <f>IF(AND(Main[[#This Row],[In Stock Date]]&lt;&gt;"",Main[[#This Row],[Revised Due Date]]&lt;&gt;""),Main[[#This Row],[In Stock Date]]-Main[[#This Row],[Revised Due Date]],"")</f>
        <v/>
      </c>
      <c r="I1237" s="72" t="s">
        <v>4</v>
      </c>
      <c r="J1237" s="72" t="s">
        <v>4</v>
      </c>
      <c r="K1237" s="72" t="s">
        <v>4</v>
      </c>
      <c r="L1237" s="74"/>
      <c r="M1237" s="77" t="str">
        <f>IF(Main[[#This Row],[Tech Start Date]]&lt;1/1/1990,"",IF(Main[[#This Row],[Class]]="C",WORKDAY(Main[[#This Row],[Tech Start Date]],9),IF(Main[[#This Row],[Class]]="B", WORKDAY(Main[[#This Row],[Tech Start Date]],6),IF(Main[[#This Row],[Class]]="A",WORKDAY(Main[[#This Row],[Tech Start Date]],2),""))))</f>
        <v/>
      </c>
      <c r="N1237" s="77" t="str">
        <f>IF(Main[[#This Row],[Tech Start Date]]&lt;1/1/1990,"",IF(Main[[#This Row],[Class]]="C",WORKDAY(Main[[#This Row],[Tech Start Date]],19),IF(Main[[#This Row],[Class]]="B", WORKDAY(Main[[#This Row],[Tech Start Date]],12),IF(Main[[#This Row],[Class]]="A",WORKDAY(Main[[#This Row],[Tech Start Date]],4),""))))</f>
        <v/>
      </c>
      <c r="O1237" s="77" t="str">
        <f>IF(Main[[#This Row],[Tech Start Date]]&lt;1/1/1990,"",IF(Main[[#This Row],[Class]]="C",WORKDAY(Main[[#This Row],[Tech Start Date]],23),IF(Main[[#This Row],[Class]]="B", WORKDAY(Main[[#This Row],[Tech Start Date]],15),IF(Main[[#This Row],[Class]]="A",WORKDAY(Main[[#This Row],[Tech Start Date]],5),""))))</f>
        <v/>
      </c>
      <c r="P1237" s="77" t="str">
        <f>IF(Main[[#This Row],[Tech Start Date]]&lt;1/1/1990,"",IF(Main[[#This Row],[Class]]="C",WORKDAY(Main[[#This Row],[Tech Start Date]],28),IF(Main[[#This Row],[Class]]="B", WORKDAY(Main[[#This Row],[Tech Start Date]],19),IF(Main[[#This Row],[Class]]="A",WORKDAY(Main[[#This Row],[Tech Start Date]],9),""))))</f>
        <v/>
      </c>
      <c r="Q1237" s="74">
        <v>40865</v>
      </c>
      <c r="R1237" s="74"/>
      <c r="S1237" s="72" t="s">
        <v>11</v>
      </c>
      <c r="T1237" s="80" t="s">
        <v>4</v>
      </c>
      <c r="U1237" s="72" t="s">
        <v>7</v>
      </c>
      <c r="V1237" s="72" t="s">
        <v>2317</v>
      </c>
      <c r="W1237" s="72" t="s">
        <v>1945</v>
      </c>
      <c r="X1237" s="72" t="s">
        <v>3065</v>
      </c>
      <c r="Y1237" s="72" t="s">
        <v>3297</v>
      </c>
      <c r="Z1237" s="72" t="s">
        <v>4</v>
      </c>
    </row>
    <row r="1238" spans="1:26" ht="18.600000000000001" customHeight="1">
      <c r="A1238" s="142" t="str">
        <f>IF(priority(Main[[#This Row],[Comments]])&lt;&gt;0, priority(Main[[#This Row],[Comments]]),"")</f>
        <v/>
      </c>
      <c r="B1238" s="90" t="s">
        <v>2533</v>
      </c>
      <c r="C1238" s="72" t="s">
        <v>4</v>
      </c>
      <c r="D1238" s="73" t="s">
        <v>2534</v>
      </c>
      <c r="E1238" s="74">
        <v>40864.625219907408</v>
      </c>
      <c r="F1238" s="74"/>
      <c r="G1238" s="75" t="str">
        <f>IF(stdProdLT(Main[[#This Row],[Comments]])=0.1,"N/A",IF(stdProdLT(Main[[#This Row],[Comments]])=0,"",stdProdLT(Main[[#This Row],[Comments]])))</f>
        <v/>
      </c>
      <c r="H1238" s="76" t="str">
        <f>IF(AND(Main[[#This Row],[In Stock Date]]&lt;&gt;"",Main[[#This Row],[Revised Due Date]]&lt;&gt;""),Main[[#This Row],[In Stock Date]]-Main[[#This Row],[Revised Due Date]],"")</f>
        <v/>
      </c>
      <c r="I1238" s="72" t="s">
        <v>4</v>
      </c>
      <c r="J1238" s="72" t="s">
        <v>4</v>
      </c>
      <c r="K1238" s="72" t="s">
        <v>4</v>
      </c>
      <c r="L1238" s="74"/>
      <c r="M1238" s="77" t="str">
        <f>IF(Main[[#This Row],[Tech Start Date]]&lt;1/1/1990,"",IF(Main[[#This Row],[Class]]="C",WORKDAY(Main[[#This Row],[Tech Start Date]],9),IF(Main[[#This Row],[Class]]="B", WORKDAY(Main[[#This Row],[Tech Start Date]],6),IF(Main[[#This Row],[Class]]="A",WORKDAY(Main[[#This Row],[Tech Start Date]],2),""))))</f>
        <v/>
      </c>
      <c r="N1238" s="77" t="str">
        <f>IF(Main[[#This Row],[Tech Start Date]]&lt;1/1/1990,"",IF(Main[[#This Row],[Class]]="C",WORKDAY(Main[[#This Row],[Tech Start Date]],19),IF(Main[[#This Row],[Class]]="B", WORKDAY(Main[[#This Row],[Tech Start Date]],12),IF(Main[[#This Row],[Class]]="A",WORKDAY(Main[[#This Row],[Tech Start Date]],4),""))))</f>
        <v/>
      </c>
      <c r="O1238" s="77" t="str">
        <f>IF(Main[[#This Row],[Tech Start Date]]&lt;1/1/1990,"",IF(Main[[#This Row],[Class]]="C",WORKDAY(Main[[#This Row],[Tech Start Date]],23),IF(Main[[#This Row],[Class]]="B", WORKDAY(Main[[#This Row],[Tech Start Date]],15),IF(Main[[#This Row],[Class]]="A",WORKDAY(Main[[#This Row],[Tech Start Date]],5),""))))</f>
        <v/>
      </c>
      <c r="P1238" s="77" t="str">
        <f>IF(Main[[#This Row],[Tech Start Date]]&lt;1/1/1990,"",IF(Main[[#This Row],[Class]]="C",WORKDAY(Main[[#This Row],[Tech Start Date]],28),IF(Main[[#This Row],[Class]]="B", WORKDAY(Main[[#This Row],[Tech Start Date]],19),IF(Main[[#This Row],[Class]]="A",WORKDAY(Main[[#This Row],[Tech Start Date]],9),""))))</f>
        <v/>
      </c>
      <c r="Q1238" s="74"/>
      <c r="R1238" s="74"/>
      <c r="S1238" s="72" t="s">
        <v>17</v>
      </c>
      <c r="T1238" s="80" t="s">
        <v>4</v>
      </c>
      <c r="U1238" s="72" t="s">
        <v>7</v>
      </c>
      <c r="V1238" s="72" t="s">
        <v>1938</v>
      </c>
      <c r="W1238" s="72" t="s">
        <v>1941</v>
      </c>
      <c r="X1238" s="72" t="s">
        <v>3018</v>
      </c>
      <c r="Y1238" s="72" t="s">
        <v>3158</v>
      </c>
      <c r="Z1238" s="72" t="s">
        <v>4</v>
      </c>
    </row>
    <row r="1239" spans="1:26" ht="18.600000000000001" customHeight="1">
      <c r="A1239" s="142" t="str">
        <f>IF(priority(Main[[#This Row],[Comments]])&lt;&gt;0, priority(Main[[#This Row],[Comments]]),"")</f>
        <v/>
      </c>
      <c r="B1239" s="90" t="s">
        <v>2265</v>
      </c>
      <c r="C1239" s="72" t="s">
        <v>4</v>
      </c>
      <c r="D1239" s="73" t="s">
        <v>2631</v>
      </c>
      <c r="E1239" s="74">
        <v>40798.47016203704</v>
      </c>
      <c r="F1239" s="74"/>
      <c r="G1239" s="75" t="str">
        <f>IF(stdProdLT(Main[[#This Row],[Comments]])=0.1,"N/A",IF(stdProdLT(Main[[#This Row],[Comments]])=0,"",stdProdLT(Main[[#This Row],[Comments]])))</f>
        <v/>
      </c>
      <c r="H1239" s="76" t="str">
        <f>IF(AND(Main[[#This Row],[In Stock Date]]&lt;&gt;"",Main[[#This Row],[Revised Due Date]]&lt;&gt;""),Main[[#This Row],[In Stock Date]]-Main[[#This Row],[Revised Due Date]],"")</f>
        <v/>
      </c>
      <c r="I1239" s="72" t="s">
        <v>131</v>
      </c>
      <c r="J1239" s="72" t="s">
        <v>28</v>
      </c>
      <c r="K1239" s="81" t="s">
        <v>1946</v>
      </c>
      <c r="L1239" s="74"/>
      <c r="M1239" s="77" t="str">
        <f>IF(Main[[#This Row],[Tech Start Date]]&lt;1/1/1990,"",IF(Main[[#This Row],[Class]]="C",WORKDAY(Main[[#This Row],[Tech Start Date]],9),IF(Main[[#This Row],[Class]]="B", WORKDAY(Main[[#This Row],[Tech Start Date]],6),IF(Main[[#This Row],[Class]]="A",WORKDAY(Main[[#This Row],[Tech Start Date]],2),""))))</f>
        <v/>
      </c>
      <c r="N1239" s="77" t="str">
        <f>IF(Main[[#This Row],[Tech Start Date]]&lt;1/1/1990,"",IF(Main[[#This Row],[Class]]="C",WORKDAY(Main[[#This Row],[Tech Start Date]],19),IF(Main[[#This Row],[Class]]="B", WORKDAY(Main[[#This Row],[Tech Start Date]],12),IF(Main[[#This Row],[Class]]="A",WORKDAY(Main[[#This Row],[Tech Start Date]],4),""))))</f>
        <v/>
      </c>
      <c r="O1239" s="77" t="str">
        <f>IF(Main[[#This Row],[Tech Start Date]]&lt;1/1/1990,"",IF(Main[[#This Row],[Class]]="C",WORKDAY(Main[[#This Row],[Tech Start Date]],23),IF(Main[[#This Row],[Class]]="B", WORKDAY(Main[[#This Row],[Tech Start Date]],15),IF(Main[[#This Row],[Class]]="A",WORKDAY(Main[[#This Row],[Tech Start Date]],5),""))))</f>
        <v/>
      </c>
      <c r="P1239" s="77" t="str">
        <f>IF(Main[[#This Row],[Tech Start Date]]&lt;1/1/1990,"",IF(Main[[#This Row],[Class]]="C",WORKDAY(Main[[#This Row],[Tech Start Date]],28),IF(Main[[#This Row],[Class]]="B", WORKDAY(Main[[#This Row],[Tech Start Date]],19),IF(Main[[#This Row],[Class]]="A",WORKDAY(Main[[#This Row],[Tech Start Date]],9),""))))</f>
        <v/>
      </c>
      <c r="Q1239" s="74">
        <v>40847</v>
      </c>
      <c r="R1239" s="74"/>
      <c r="S1239" s="72" t="s">
        <v>6</v>
      </c>
      <c r="T1239" s="80" t="s">
        <v>4</v>
      </c>
      <c r="U1239" s="72" t="s">
        <v>29</v>
      </c>
      <c r="V1239" s="72" t="s">
        <v>1940</v>
      </c>
      <c r="W1239" s="72" t="s">
        <v>1941</v>
      </c>
      <c r="X1239" s="72" t="s">
        <v>30</v>
      </c>
      <c r="Y1239" s="72" t="s">
        <v>3298</v>
      </c>
      <c r="Z1239" s="72" t="s">
        <v>30</v>
      </c>
    </row>
    <row r="1240" spans="1:26" ht="18.600000000000001" customHeight="1">
      <c r="A1240" s="142" t="str">
        <f>IF(priority(Main[[#This Row],[Comments]])&lt;&gt;0, priority(Main[[#This Row],[Comments]]),"")</f>
        <v/>
      </c>
      <c r="B1240" s="90" t="s">
        <v>2391</v>
      </c>
      <c r="C1240" s="72" t="s">
        <v>2392</v>
      </c>
      <c r="D1240" s="73" t="s">
        <v>2393</v>
      </c>
      <c r="E1240" s="74"/>
      <c r="F1240" s="74">
        <v>41008</v>
      </c>
      <c r="G1240" s="75" t="str">
        <f>IF(stdProdLT(Main[[#This Row],[Comments]])=0.1,"N/A",IF(stdProdLT(Main[[#This Row],[Comments]])=0,"",stdProdLT(Main[[#This Row],[Comments]])))</f>
        <v/>
      </c>
      <c r="H1240" s="76" t="str">
        <f>IF(AND(Main[[#This Row],[In Stock Date]]&lt;&gt;"",Main[[#This Row],[Revised Due Date]]&lt;&gt;""),Main[[#This Row],[In Stock Date]]-Main[[#This Row],[Revised Due Date]],"")</f>
        <v/>
      </c>
      <c r="I1240" s="72" t="s">
        <v>4</v>
      </c>
      <c r="J1240" s="72" t="s">
        <v>4</v>
      </c>
      <c r="K1240" s="81" t="s">
        <v>4</v>
      </c>
      <c r="L1240" s="74"/>
      <c r="M1240" s="77" t="str">
        <f>IF(Main[[#This Row],[Tech Start Date]]&lt;1/1/1990,"",IF(Main[[#This Row],[Class]]="C",WORKDAY(Main[[#This Row],[Tech Start Date]],9),IF(Main[[#This Row],[Class]]="B", WORKDAY(Main[[#This Row],[Tech Start Date]],6),IF(Main[[#This Row],[Class]]="A",WORKDAY(Main[[#This Row],[Tech Start Date]],2),""))))</f>
        <v/>
      </c>
      <c r="N1240" s="77" t="str">
        <f>IF(Main[[#This Row],[Tech Start Date]]&lt;1/1/1990,"",IF(Main[[#This Row],[Class]]="C",WORKDAY(Main[[#This Row],[Tech Start Date]],19),IF(Main[[#This Row],[Class]]="B", WORKDAY(Main[[#This Row],[Tech Start Date]],12),IF(Main[[#This Row],[Class]]="A",WORKDAY(Main[[#This Row],[Tech Start Date]],4),""))))</f>
        <v/>
      </c>
      <c r="O1240" s="77" t="str">
        <f>IF(Main[[#This Row],[Tech Start Date]]&lt;1/1/1990,"",IF(Main[[#This Row],[Class]]="C",WORKDAY(Main[[#This Row],[Tech Start Date]],23),IF(Main[[#This Row],[Class]]="B", WORKDAY(Main[[#This Row],[Tech Start Date]],15),IF(Main[[#This Row],[Class]]="A",WORKDAY(Main[[#This Row],[Tech Start Date]],5),""))))</f>
        <v/>
      </c>
      <c r="P1240" s="77" t="str">
        <f>IF(Main[[#This Row],[Tech Start Date]]&lt;1/1/1990,"",IF(Main[[#This Row],[Class]]="C",WORKDAY(Main[[#This Row],[Tech Start Date]],28),IF(Main[[#This Row],[Class]]="B", WORKDAY(Main[[#This Row],[Tech Start Date]],19),IF(Main[[#This Row],[Class]]="A",WORKDAY(Main[[#This Row],[Tech Start Date]],9),""))))</f>
        <v/>
      </c>
      <c r="Q1240" s="74">
        <v>40826</v>
      </c>
      <c r="R1240" s="74"/>
      <c r="S1240" s="72" t="s">
        <v>11</v>
      </c>
      <c r="T1240" s="80" t="s">
        <v>4</v>
      </c>
      <c r="U1240" s="72" t="s">
        <v>12</v>
      </c>
      <c r="V1240" s="72" t="s">
        <v>1940</v>
      </c>
      <c r="W1240" s="72" t="s">
        <v>1943</v>
      </c>
      <c r="X1240" s="72" t="s">
        <v>2995</v>
      </c>
      <c r="Y1240" s="72" t="s">
        <v>4</v>
      </c>
      <c r="Z1240" s="72" t="s">
        <v>4</v>
      </c>
    </row>
    <row r="1241" spans="1:26" ht="18.600000000000001" customHeight="1">
      <c r="A1241" s="142" t="str">
        <f>IF(priority(Main[[#This Row],[Comments]])&lt;&gt;0, priority(Main[[#This Row],[Comments]]),"")</f>
        <v/>
      </c>
      <c r="B1241" s="90" t="s">
        <v>2651</v>
      </c>
      <c r="C1241" s="72" t="s">
        <v>4</v>
      </c>
      <c r="D1241" s="73" t="s">
        <v>2652</v>
      </c>
      <c r="E1241" s="74">
        <v>40843.713865740741</v>
      </c>
      <c r="F1241" s="74"/>
      <c r="G1241" s="75" t="str">
        <f>IF(stdProdLT(Main[[#This Row],[Comments]])=0.1,"N/A",IF(stdProdLT(Main[[#This Row],[Comments]])=0,"",stdProdLT(Main[[#This Row],[Comments]])))</f>
        <v/>
      </c>
      <c r="H1241" s="76" t="str">
        <f>IF(AND(Main[[#This Row],[In Stock Date]]&lt;&gt;"",Main[[#This Row],[Revised Due Date]]&lt;&gt;""),Main[[#This Row],[In Stock Date]]-Main[[#This Row],[Revised Due Date]],"")</f>
        <v/>
      </c>
      <c r="I1241" s="72" t="s">
        <v>4</v>
      </c>
      <c r="J1241" s="72" t="s">
        <v>51</v>
      </c>
      <c r="K1241" s="72" t="s">
        <v>4</v>
      </c>
      <c r="L1241" s="74"/>
      <c r="M1241" s="77" t="str">
        <f>IF(Main[[#This Row],[Tech Start Date]]&lt;1/1/1990,"",IF(Main[[#This Row],[Class]]="C",WORKDAY(Main[[#This Row],[Tech Start Date]],9),IF(Main[[#This Row],[Class]]="B", WORKDAY(Main[[#This Row],[Tech Start Date]],6),IF(Main[[#This Row],[Class]]="A",WORKDAY(Main[[#This Row],[Tech Start Date]],2),""))))</f>
        <v/>
      </c>
      <c r="N1241" s="77" t="str">
        <f>IF(Main[[#This Row],[Tech Start Date]]&lt;1/1/1990,"",IF(Main[[#This Row],[Class]]="C",WORKDAY(Main[[#This Row],[Tech Start Date]],19),IF(Main[[#This Row],[Class]]="B", WORKDAY(Main[[#This Row],[Tech Start Date]],12),IF(Main[[#This Row],[Class]]="A",WORKDAY(Main[[#This Row],[Tech Start Date]],4),""))))</f>
        <v/>
      </c>
      <c r="O1241" s="77" t="str">
        <f>IF(Main[[#This Row],[Tech Start Date]]&lt;1/1/1990,"",IF(Main[[#This Row],[Class]]="C",WORKDAY(Main[[#This Row],[Tech Start Date]],23),IF(Main[[#This Row],[Class]]="B", WORKDAY(Main[[#This Row],[Tech Start Date]],15),IF(Main[[#This Row],[Class]]="A",WORKDAY(Main[[#This Row],[Tech Start Date]],5),""))))</f>
        <v/>
      </c>
      <c r="P1241" s="77" t="str">
        <f>IF(Main[[#This Row],[Tech Start Date]]&lt;1/1/1990,"",IF(Main[[#This Row],[Class]]="C",WORKDAY(Main[[#This Row],[Tech Start Date]],28),IF(Main[[#This Row],[Class]]="B", WORKDAY(Main[[#This Row],[Tech Start Date]],19),IF(Main[[#This Row],[Class]]="A",WORKDAY(Main[[#This Row],[Tech Start Date]],9),""))))</f>
        <v/>
      </c>
      <c r="Q1241" s="74"/>
      <c r="R1241" s="74"/>
      <c r="S1241" s="72" t="s">
        <v>6</v>
      </c>
      <c r="T1241" s="80" t="s">
        <v>2455</v>
      </c>
      <c r="U1241" s="72" t="s">
        <v>540</v>
      </c>
      <c r="V1241" s="72" t="s">
        <v>1937</v>
      </c>
      <c r="W1241" s="72" t="s">
        <v>1943</v>
      </c>
      <c r="X1241" s="72" t="s">
        <v>311</v>
      </c>
      <c r="Y1241" s="72" t="s">
        <v>4</v>
      </c>
      <c r="Z1241" s="72" t="s">
        <v>4</v>
      </c>
    </row>
    <row r="1242" spans="1:26" ht="18.600000000000001" customHeight="1">
      <c r="A1242" s="142" t="str">
        <f>IF(priority(Main[[#This Row],[Comments]])&lt;&gt;0, priority(Main[[#This Row],[Comments]]),"")</f>
        <v/>
      </c>
      <c r="B1242" s="90" t="s">
        <v>2329</v>
      </c>
      <c r="C1242" s="72" t="s">
        <v>4</v>
      </c>
      <c r="D1242" s="73" t="s">
        <v>2330</v>
      </c>
      <c r="E1242" s="74">
        <v>40815.373611111114</v>
      </c>
      <c r="F1242" s="74"/>
      <c r="G1242" s="75" t="str">
        <f>IF(stdProdLT(Main[[#This Row],[Comments]])=0.1,"N/A",IF(stdProdLT(Main[[#This Row],[Comments]])=0,"",stdProdLT(Main[[#This Row],[Comments]])))</f>
        <v/>
      </c>
      <c r="H1242" s="76" t="str">
        <f>IF(AND(Main[[#This Row],[In Stock Date]]&lt;&gt;"",Main[[#This Row],[Revised Due Date]]&lt;&gt;""),Main[[#This Row],[In Stock Date]]-Main[[#This Row],[Revised Due Date]],"")</f>
        <v/>
      </c>
      <c r="I1242" s="72" t="s">
        <v>4</v>
      </c>
      <c r="J1242" s="72" t="s">
        <v>4</v>
      </c>
      <c r="K1242" s="81" t="s">
        <v>4</v>
      </c>
      <c r="L1242" s="74"/>
      <c r="M1242" s="77" t="str">
        <f>IF(Main[[#This Row],[Tech Start Date]]&lt;1/1/1990,"",IF(Main[[#This Row],[Class]]="C",WORKDAY(Main[[#This Row],[Tech Start Date]],9),IF(Main[[#This Row],[Class]]="B", WORKDAY(Main[[#This Row],[Tech Start Date]],6),IF(Main[[#This Row],[Class]]="A",WORKDAY(Main[[#This Row],[Tech Start Date]],2),""))))</f>
        <v/>
      </c>
      <c r="N1242" s="77" t="str">
        <f>IF(Main[[#This Row],[Tech Start Date]]&lt;1/1/1990,"",IF(Main[[#This Row],[Class]]="C",WORKDAY(Main[[#This Row],[Tech Start Date]],19),IF(Main[[#This Row],[Class]]="B", WORKDAY(Main[[#This Row],[Tech Start Date]],12),IF(Main[[#This Row],[Class]]="A",WORKDAY(Main[[#This Row],[Tech Start Date]],4),""))))</f>
        <v/>
      </c>
      <c r="O1242" s="77" t="str">
        <f>IF(Main[[#This Row],[Tech Start Date]]&lt;1/1/1990,"",IF(Main[[#This Row],[Class]]="C",WORKDAY(Main[[#This Row],[Tech Start Date]],23),IF(Main[[#This Row],[Class]]="B", WORKDAY(Main[[#This Row],[Tech Start Date]],15),IF(Main[[#This Row],[Class]]="A",WORKDAY(Main[[#This Row],[Tech Start Date]],5),""))))</f>
        <v/>
      </c>
      <c r="P1242" s="77" t="str">
        <f>IF(Main[[#This Row],[Tech Start Date]]&lt;1/1/1990,"",IF(Main[[#This Row],[Class]]="C",WORKDAY(Main[[#This Row],[Tech Start Date]],28),IF(Main[[#This Row],[Class]]="B", WORKDAY(Main[[#This Row],[Tech Start Date]],19),IF(Main[[#This Row],[Class]]="A",WORKDAY(Main[[#This Row],[Tech Start Date]],9),""))))</f>
        <v/>
      </c>
      <c r="Q1242" s="74"/>
      <c r="R1242" s="74"/>
      <c r="S1242" s="72" t="s">
        <v>6</v>
      </c>
      <c r="T1242" s="80" t="s">
        <v>4</v>
      </c>
      <c r="U1242" s="72" t="s">
        <v>29</v>
      </c>
      <c r="V1242" s="72" t="s">
        <v>1940</v>
      </c>
      <c r="W1242" s="72" t="s">
        <v>1941</v>
      </c>
      <c r="X1242" s="72" t="s">
        <v>102</v>
      </c>
      <c r="Y1242" s="72" t="s">
        <v>3299</v>
      </c>
      <c r="Z1242" s="72" t="s">
        <v>4</v>
      </c>
    </row>
    <row r="1243" spans="1:26" ht="18.600000000000001" customHeight="1">
      <c r="A1243" s="142" t="str">
        <f>IF(priority(Main[[#This Row],[Comments]])&lt;&gt;0, priority(Main[[#This Row],[Comments]]),"")</f>
        <v/>
      </c>
      <c r="B1243" s="90" t="s">
        <v>2653</v>
      </c>
      <c r="C1243" s="72" t="s">
        <v>4</v>
      </c>
      <c r="D1243" s="73" t="s">
        <v>2654</v>
      </c>
      <c r="E1243" s="74"/>
      <c r="F1243" s="74"/>
      <c r="G1243" s="75" t="str">
        <f>IF(stdProdLT(Main[[#This Row],[Comments]])=0.1,"N/A",IF(stdProdLT(Main[[#This Row],[Comments]])=0,"",stdProdLT(Main[[#This Row],[Comments]])))</f>
        <v/>
      </c>
      <c r="H1243" s="76" t="str">
        <f>IF(AND(Main[[#This Row],[In Stock Date]]&lt;&gt;"",Main[[#This Row],[Revised Due Date]]&lt;&gt;""),Main[[#This Row],[In Stock Date]]-Main[[#This Row],[Revised Due Date]],"")</f>
        <v/>
      </c>
      <c r="I1243" s="72" t="s">
        <v>4</v>
      </c>
      <c r="J1243" s="72" t="s">
        <v>4</v>
      </c>
      <c r="K1243" s="72" t="s">
        <v>4</v>
      </c>
      <c r="L1243" s="74"/>
      <c r="M1243" s="77" t="str">
        <f>IF(Main[[#This Row],[Tech Start Date]]&lt;1/1/1990,"",IF(Main[[#This Row],[Class]]="C",WORKDAY(Main[[#This Row],[Tech Start Date]],9),IF(Main[[#This Row],[Class]]="B", WORKDAY(Main[[#This Row],[Tech Start Date]],6),IF(Main[[#This Row],[Class]]="A",WORKDAY(Main[[#This Row],[Tech Start Date]],2),""))))</f>
        <v/>
      </c>
      <c r="N1243" s="77" t="str">
        <f>IF(Main[[#This Row],[Tech Start Date]]&lt;1/1/1990,"",IF(Main[[#This Row],[Class]]="C",WORKDAY(Main[[#This Row],[Tech Start Date]],19),IF(Main[[#This Row],[Class]]="B", WORKDAY(Main[[#This Row],[Tech Start Date]],12),IF(Main[[#This Row],[Class]]="A",WORKDAY(Main[[#This Row],[Tech Start Date]],4),""))))</f>
        <v/>
      </c>
      <c r="O1243" s="77" t="str">
        <f>IF(Main[[#This Row],[Tech Start Date]]&lt;1/1/1990,"",IF(Main[[#This Row],[Class]]="C",WORKDAY(Main[[#This Row],[Tech Start Date]],23),IF(Main[[#This Row],[Class]]="B", WORKDAY(Main[[#This Row],[Tech Start Date]],15),IF(Main[[#This Row],[Class]]="A",WORKDAY(Main[[#This Row],[Tech Start Date]],5),""))))</f>
        <v/>
      </c>
      <c r="P1243" s="77" t="str">
        <f>IF(Main[[#This Row],[Tech Start Date]]&lt;1/1/1990,"",IF(Main[[#This Row],[Class]]="C",WORKDAY(Main[[#This Row],[Tech Start Date]],28),IF(Main[[#This Row],[Class]]="B", WORKDAY(Main[[#This Row],[Tech Start Date]],19),IF(Main[[#This Row],[Class]]="A",WORKDAY(Main[[#This Row],[Tech Start Date]],9),""))))</f>
        <v/>
      </c>
      <c r="Q1243" s="74"/>
      <c r="R1243" s="74"/>
      <c r="S1243" s="72" t="s">
        <v>11</v>
      </c>
      <c r="T1243" s="80" t="s">
        <v>4</v>
      </c>
      <c r="U1243" s="72" t="s">
        <v>14</v>
      </c>
      <c r="V1243" s="72" t="s">
        <v>1940</v>
      </c>
      <c r="W1243" s="72" t="s">
        <v>1945</v>
      </c>
      <c r="X1243" s="72" t="s">
        <v>311</v>
      </c>
      <c r="Y1243" s="72" t="s">
        <v>4</v>
      </c>
      <c r="Z1243" s="72" t="s">
        <v>4</v>
      </c>
    </row>
    <row r="1244" spans="1:26" ht="18.600000000000001" customHeight="1">
      <c r="A1244" s="142" t="str">
        <f>IF(priority(Main[[#This Row],[Comments]])&lt;&gt;0, priority(Main[[#This Row],[Comments]]),"")</f>
        <v/>
      </c>
      <c r="B1244" s="90" t="s">
        <v>2318</v>
      </c>
      <c r="C1244" s="72" t="s">
        <v>67</v>
      </c>
      <c r="D1244" s="73" t="s">
        <v>2319</v>
      </c>
      <c r="E1244" s="74"/>
      <c r="F1244" s="74">
        <v>41075</v>
      </c>
      <c r="G1244" s="75" t="str">
        <f>IF(stdProdLT(Main[[#This Row],[Comments]])=0.1,"N/A",IF(stdProdLT(Main[[#This Row],[Comments]])=0,"",stdProdLT(Main[[#This Row],[Comments]])))</f>
        <v/>
      </c>
      <c r="H1244" s="76" t="str">
        <f>IF(AND(Main[[#This Row],[In Stock Date]]&lt;&gt;"",Main[[#This Row],[Revised Due Date]]&lt;&gt;""),Main[[#This Row],[In Stock Date]]-Main[[#This Row],[Revised Due Date]],"")</f>
        <v/>
      </c>
      <c r="I1244" s="72" t="s">
        <v>4</v>
      </c>
      <c r="J1244" s="72" t="s">
        <v>4</v>
      </c>
      <c r="K1244" s="72" t="s">
        <v>4</v>
      </c>
      <c r="L1244" s="74"/>
      <c r="M1244" s="77" t="str">
        <f>IF(Main[[#This Row],[Tech Start Date]]&lt;1/1/1990,"",IF(Main[[#This Row],[Class]]="C",WORKDAY(Main[[#This Row],[Tech Start Date]],9),IF(Main[[#This Row],[Class]]="B", WORKDAY(Main[[#This Row],[Tech Start Date]],6),IF(Main[[#This Row],[Class]]="A",WORKDAY(Main[[#This Row],[Tech Start Date]],2),""))))</f>
        <v/>
      </c>
      <c r="N1244" s="77" t="str">
        <f>IF(Main[[#This Row],[Tech Start Date]]&lt;1/1/1990,"",IF(Main[[#This Row],[Class]]="C",WORKDAY(Main[[#This Row],[Tech Start Date]],19),IF(Main[[#This Row],[Class]]="B", WORKDAY(Main[[#This Row],[Tech Start Date]],12),IF(Main[[#This Row],[Class]]="A",WORKDAY(Main[[#This Row],[Tech Start Date]],4),""))))</f>
        <v/>
      </c>
      <c r="O1244" s="77" t="str">
        <f>IF(Main[[#This Row],[Tech Start Date]]&lt;1/1/1990,"",IF(Main[[#This Row],[Class]]="C",WORKDAY(Main[[#This Row],[Tech Start Date]],23),IF(Main[[#This Row],[Class]]="B", WORKDAY(Main[[#This Row],[Tech Start Date]],15),IF(Main[[#This Row],[Class]]="A",WORKDAY(Main[[#This Row],[Tech Start Date]],5),""))))</f>
        <v/>
      </c>
      <c r="P1244" s="77" t="str">
        <f>IF(Main[[#This Row],[Tech Start Date]]&lt;1/1/1990,"",IF(Main[[#This Row],[Class]]="C",WORKDAY(Main[[#This Row],[Tech Start Date]],28),IF(Main[[#This Row],[Class]]="B", WORKDAY(Main[[#This Row],[Tech Start Date]],19),IF(Main[[#This Row],[Class]]="A",WORKDAY(Main[[#This Row],[Tech Start Date]],9),""))))</f>
        <v/>
      </c>
      <c r="Q1244" s="74">
        <v>40908</v>
      </c>
      <c r="R1244" s="74"/>
      <c r="S1244" s="72" t="s">
        <v>17</v>
      </c>
      <c r="T1244" s="80" t="s">
        <v>4</v>
      </c>
      <c r="U1244" s="72" t="s">
        <v>14</v>
      </c>
      <c r="V1244" s="72" t="s">
        <v>1947</v>
      </c>
      <c r="W1244" s="72" t="s">
        <v>1948</v>
      </c>
      <c r="X1244" s="72" t="s">
        <v>560</v>
      </c>
      <c r="Y1244" s="72" t="s">
        <v>3110</v>
      </c>
      <c r="Z1244" s="72" t="s">
        <v>4</v>
      </c>
    </row>
    <row r="1245" spans="1:26" ht="18.600000000000001" customHeight="1">
      <c r="A1245" s="142" t="str">
        <f>IF(priority(Main[[#This Row],[Comments]])&lt;&gt;0, priority(Main[[#This Row],[Comments]]),"")</f>
        <v/>
      </c>
      <c r="B1245" s="90" t="s">
        <v>2664</v>
      </c>
      <c r="C1245" s="72" t="s">
        <v>4</v>
      </c>
      <c r="D1245" s="73" t="s">
        <v>2665</v>
      </c>
      <c r="E1245" s="74">
        <v>40877.273229166669</v>
      </c>
      <c r="F1245" s="74"/>
      <c r="G1245" s="75" t="str">
        <f>IF(stdProdLT(Main[[#This Row],[Comments]])=0.1,"N/A",IF(stdProdLT(Main[[#This Row],[Comments]])=0,"",stdProdLT(Main[[#This Row],[Comments]])))</f>
        <v/>
      </c>
      <c r="H1245" s="76" t="str">
        <f>IF(AND(Main[[#This Row],[In Stock Date]]&lt;&gt;"",Main[[#This Row],[Revised Due Date]]&lt;&gt;""),Main[[#This Row],[In Stock Date]]-Main[[#This Row],[Revised Due Date]],"")</f>
        <v/>
      </c>
      <c r="I1245" s="72" t="s">
        <v>69</v>
      </c>
      <c r="J1245" s="72" t="s">
        <v>70</v>
      </c>
      <c r="K1245" s="72" t="s">
        <v>1946</v>
      </c>
      <c r="L1245" s="74"/>
      <c r="M1245" s="77" t="str">
        <f>IF(Main[[#This Row],[Tech Start Date]]&lt;1/1/1990,"",IF(Main[[#This Row],[Class]]="C",WORKDAY(Main[[#This Row],[Tech Start Date]],9),IF(Main[[#This Row],[Class]]="B", WORKDAY(Main[[#This Row],[Tech Start Date]],6),IF(Main[[#This Row],[Class]]="A",WORKDAY(Main[[#This Row],[Tech Start Date]],2),""))))</f>
        <v/>
      </c>
      <c r="N1245" s="77" t="str">
        <f>IF(Main[[#This Row],[Tech Start Date]]&lt;1/1/1990,"",IF(Main[[#This Row],[Class]]="C",WORKDAY(Main[[#This Row],[Tech Start Date]],19),IF(Main[[#This Row],[Class]]="B", WORKDAY(Main[[#This Row],[Tech Start Date]],12),IF(Main[[#This Row],[Class]]="A",WORKDAY(Main[[#This Row],[Tech Start Date]],4),""))))</f>
        <v/>
      </c>
      <c r="O1245" s="77" t="str">
        <f>IF(Main[[#This Row],[Tech Start Date]]&lt;1/1/1990,"",IF(Main[[#This Row],[Class]]="C",WORKDAY(Main[[#This Row],[Tech Start Date]],23),IF(Main[[#This Row],[Class]]="B", WORKDAY(Main[[#This Row],[Tech Start Date]],15),IF(Main[[#This Row],[Class]]="A",WORKDAY(Main[[#This Row],[Tech Start Date]],5),""))))</f>
        <v/>
      </c>
      <c r="P1245" s="77" t="str">
        <f>IF(Main[[#This Row],[Tech Start Date]]&lt;1/1/1990,"",IF(Main[[#This Row],[Class]]="C",WORKDAY(Main[[#This Row],[Tech Start Date]],28),IF(Main[[#This Row],[Class]]="B", WORKDAY(Main[[#This Row],[Tech Start Date]],19),IF(Main[[#This Row],[Class]]="A",WORKDAY(Main[[#This Row],[Tech Start Date]],9),""))))</f>
        <v/>
      </c>
      <c r="Q1245" s="74">
        <v>40906</v>
      </c>
      <c r="R1245" s="74"/>
      <c r="S1245" s="72" t="s">
        <v>6</v>
      </c>
      <c r="T1245" s="80" t="s">
        <v>4</v>
      </c>
      <c r="U1245" s="72" t="s">
        <v>29</v>
      </c>
      <c r="V1245" s="72" t="s">
        <v>1940</v>
      </c>
      <c r="W1245" s="72" t="s">
        <v>1941</v>
      </c>
      <c r="X1245" s="72" t="s">
        <v>30</v>
      </c>
      <c r="Y1245" s="72" t="s">
        <v>3300</v>
      </c>
      <c r="Z1245" s="72" t="s">
        <v>30</v>
      </c>
    </row>
    <row r="1246" spans="1:26" ht="18.600000000000001" customHeight="1">
      <c r="A1246" s="142" t="str">
        <f>IF(priority(Main[[#This Row],[Comments]])&lt;&gt;0, priority(Main[[#This Row],[Comments]]),"")</f>
        <v/>
      </c>
      <c r="B1246" s="90" t="s">
        <v>2806</v>
      </c>
      <c r="C1246" s="72" t="s">
        <v>4</v>
      </c>
      <c r="D1246" s="73" t="s">
        <v>3529</v>
      </c>
      <c r="E1246" s="74"/>
      <c r="F1246" s="74"/>
      <c r="G1246" s="75" t="str">
        <f>IF(stdProdLT(Main[[#This Row],[Comments]])=0.1,"N/A",IF(stdProdLT(Main[[#This Row],[Comments]])=0,"",stdProdLT(Main[[#This Row],[Comments]])))</f>
        <v/>
      </c>
      <c r="H1246" s="76" t="str">
        <f>IF(AND(Main[[#This Row],[In Stock Date]]&lt;&gt;"",Main[[#This Row],[Revised Due Date]]&lt;&gt;""),Main[[#This Row],[In Stock Date]]-Main[[#This Row],[Revised Due Date]],"")</f>
        <v/>
      </c>
      <c r="I1246" s="72" t="s">
        <v>2239</v>
      </c>
      <c r="J1246" s="72" t="s">
        <v>75</v>
      </c>
      <c r="K1246" s="72" t="s">
        <v>1946</v>
      </c>
      <c r="L1246" s="74"/>
      <c r="M1246" s="77" t="str">
        <f>IF(Main[[#This Row],[Tech Start Date]]&lt;1/1/1990,"",IF(Main[[#This Row],[Class]]="C",WORKDAY(Main[[#This Row],[Tech Start Date]],9),IF(Main[[#This Row],[Class]]="B", WORKDAY(Main[[#This Row],[Tech Start Date]],6),IF(Main[[#This Row],[Class]]="A",WORKDAY(Main[[#This Row],[Tech Start Date]],2),""))))</f>
        <v/>
      </c>
      <c r="N1246" s="77" t="str">
        <f>IF(Main[[#This Row],[Tech Start Date]]&lt;1/1/1990,"",IF(Main[[#This Row],[Class]]="C",WORKDAY(Main[[#This Row],[Tech Start Date]],19),IF(Main[[#This Row],[Class]]="B", WORKDAY(Main[[#This Row],[Tech Start Date]],12),IF(Main[[#This Row],[Class]]="A",WORKDAY(Main[[#This Row],[Tech Start Date]],4),""))))</f>
        <v/>
      </c>
      <c r="O1246" s="77" t="str">
        <f>IF(Main[[#This Row],[Tech Start Date]]&lt;1/1/1990,"",IF(Main[[#This Row],[Class]]="C",WORKDAY(Main[[#This Row],[Tech Start Date]],23),IF(Main[[#This Row],[Class]]="B", WORKDAY(Main[[#This Row],[Tech Start Date]],15),IF(Main[[#This Row],[Class]]="A",WORKDAY(Main[[#This Row],[Tech Start Date]],5),""))))</f>
        <v/>
      </c>
      <c r="P1246" s="77" t="str">
        <f>IF(Main[[#This Row],[Tech Start Date]]&lt;1/1/1990,"",IF(Main[[#This Row],[Class]]="C",WORKDAY(Main[[#This Row],[Tech Start Date]],28),IF(Main[[#This Row],[Class]]="B", WORKDAY(Main[[#This Row],[Tech Start Date]],19),IF(Main[[#This Row],[Class]]="A",WORKDAY(Main[[#This Row],[Tech Start Date]],9),""))))</f>
        <v/>
      </c>
      <c r="Q1246" s="74">
        <v>40939</v>
      </c>
      <c r="R1246" s="74"/>
      <c r="S1246" s="72" t="s">
        <v>6</v>
      </c>
      <c r="T1246" s="80" t="s">
        <v>4</v>
      </c>
      <c r="U1246" s="72" t="s">
        <v>14</v>
      </c>
      <c r="V1246" s="72" t="s">
        <v>1940</v>
      </c>
      <c r="W1246" s="72" t="s">
        <v>1941</v>
      </c>
      <c r="X1246" s="72" t="s">
        <v>2971</v>
      </c>
      <c r="Y1246" s="72" t="s">
        <v>3090</v>
      </c>
      <c r="Z1246" s="72" t="s">
        <v>30</v>
      </c>
    </row>
    <row r="1247" spans="1:26" ht="18.600000000000001" customHeight="1">
      <c r="A1247" s="142" t="str">
        <f>IF(priority(Main[[#This Row],[Comments]])&lt;&gt;0, priority(Main[[#This Row],[Comments]]),"")</f>
        <v/>
      </c>
      <c r="B1247" s="90" t="s">
        <v>2954</v>
      </c>
      <c r="C1247" s="72" t="s">
        <v>4</v>
      </c>
      <c r="D1247" s="73" t="s">
        <v>2955</v>
      </c>
      <c r="E1247" s="74">
        <v>40918.365578703706</v>
      </c>
      <c r="F1247" s="74"/>
      <c r="G1247" s="75" t="str">
        <f>IF(stdProdLT(Main[[#This Row],[Comments]])=0.1,"N/A",IF(stdProdLT(Main[[#This Row],[Comments]])=0,"",stdProdLT(Main[[#This Row],[Comments]])))</f>
        <v/>
      </c>
      <c r="H1247" s="76" t="str">
        <f>IF(AND(Main[[#This Row],[In Stock Date]]&lt;&gt;"",Main[[#This Row],[Revised Due Date]]&lt;&gt;""),Main[[#This Row],[In Stock Date]]-Main[[#This Row],[Revised Due Date]],"")</f>
        <v/>
      </c>
      <c r="I1247" s="72" t="s">
        <v>4</v>
      </c>
      <c r="J1247" s="72" t="s">
        <v>4</v>
      </c>
      <c r="K1247" s="81" t="s">
        <v>4</v>
      </c>
      <c r="L1247" s="74"/>
      <c r="M1247" s="77" t="str">
        <f>IF(Main[[#This Row],[Tech Start Date]]&lt;1/1/1990,"",IF(Main[[#This Row],[Class]]="C",WORKDAY(Main[[#This Row],[Tech Start Date]],9),IF(Main[[#This Row],[Class]]="B", WORKDAY(Main[[#This Row],[Tech Start Date]],6),IF(Main[[#This Row],[Class]]="A",WORKDAY(Main[[#This Row],[Tech Start Date]],2),""))))</f>
        <v/>
      </c>
      <c r="N1247" s="77" t="str">
        <f>IF(Main[[#This Row],[Tech Start Date]]&lt;1/1/1990,"",IF(Main[[#This Row],[Class]]="C",WORKDAY(Main[[#This Row],[Tech Start Date]],19),IF(Main[[#This Row],[Class]]="B", WORKDAY(Main[[#This Row],[Tech Start Date]],12),IF(Main[[#This Row],[Class]]="A",WORKDAY(Main[[#This Row],[Tech Start Date]],4),""))))</f>
        <v/>
      </c>
      <c r="O1247" s="77" t="str">
        <f>IF(Main[[#This Row],[Tech Start Date]]&lt;1/1/1990,"",IF(Main[[#This Row],[Class]]="C",WORKDAY(Main[[#This Row],[Tech Start Date]],23),IF(Main[[#This Row],[Class]]="B", WORKDAY(Main[[#This Row],[Tech Start Date]],15),IF(Main[[#This Row],[Class]]="A",WORKDAY(Main[[#This Row],[Tech Start Date]],5),""))))</f>
        <v/>
      </c>
      <c r="P1247" s="77" t="str">
        <f>IF(Main[[#This Row],[Tech Start Date]]&lt;1/1/1990,"",IF(Main[[#This Row],[Class]]="C",WORKDAY(Main[[#This Row],[Tech Start Date]],28),IF(Main[[#This Row],[Class]]="B", WORKDAY(Main[[#This Row],[Tech Start Date]],19),IF(Main[[#This Row],[Class]]="A",WORKDAY(Main[[#This Row],[Tech Start Date]],9),""))))</f>
        <v/>
      </c>
      <c r="Q1247" s="74">
        <v>40925</v>
      </c>
      <c r="R1247" s="74"/>
      <c r="S1247" s="72" t="s">
        <v>6</v>
      </c>
      <c r="T1247" s="80" t="s">
        <v>4</v>
      </c>
      <c r="U1247" s="72" t="s">
        <v>7</v>
      </c>
      <c r="V1247" s="72" t="s">
        <v>1937</v>
      </c>
      <c r="W1247" s="72" t="s">
        <v>4</v>
      </c>
      <c r="X1247" s="72" t="s">
        <v>2971</v>
      </c>
      <c r="Y1247" s="72" t="s">
        <v>3090</v>
      </c>
      <c r="Z1247" s="72" t="s">
        <v>4</v>
      </c>
    </row>
    <row r="1248" spans="1:26" ht="18.600000000000001" customHeight="1">
      <c r="A1248" s="142" t="str">
        <f>IF(priority(Main[[#This Row],[Comments]])&lt;&gt;0, priority(Main[[#This Row],[Comments]]),"")</f>
        <v/>
      </c>
      <c r="B1248" s="90" t="s">
        <v>3377</v>
      </c>
      <c r="C1248" s="72" t="s">
        <v>31</v>
      </c>
      <c r="D1248" s="73" t="s">
        <v>3378</v>
      </c>
      <c r="E1248" s="74"/>
      <c r="F1248" s="74">
        <v>41122</v>
      </c>
      <c r="G1248" s="75" t="str">
        <f>IF(stdProdLT(Main[[#This Row],[Comments]])=0.1,"N/A",IF(stdProdLT(Main[[#This Row],[Comments]])=0,"",stdProdLT(Main[[#This Row],[Comments]])))</f>
        <v/>
      </c>
      <c r="H1248" s="76" t="str">
        <f>IF(AND(Main[[#This Row],[In Stock Date]]&lt;&gt;"",Main[[#This Row],[Revised Due Date]]&lt;&gt;""),Main[[#This Row],[In Stock Date]]-Main[[#This Row],[Revised Due Date]],"")</f>
        <v/>
      </c>
      <c r="I1248" s="72" t="s">
        <v>4</v>
      </c>
      <c r="J1248" s="72" t="s">
        <v>4</v>
      </c>
      <c r="K1248" s="72" t="s">
        <v>4</v>
      </c>
      <c r="L1248" s="74"/>
      <c r="M1248" s="77" t="str">
        <f>IF(Main[[#This Row],[Tech Start Date]]&lt;1/1/1990,"",IF(Main[[#This Row],[Class]]="C",WORKDAY(Main[[#This Row],[Tech Start Date]],9),IF(Main[[#This Row],[Class]]="B", WORKDAY(Main[[#This Row],[Tech Start Date]],6),IF(Main[[#This Row],[Class]]="A",WORKDAY(Main[[#This Row],[Tech Start Date]],2),""))))</f>
        <v/>
      </c>
      <c r="N1248" s="77" t="str">
        <f>IF(Main[[#This Row],[Tech Start Date]]&lt;1/1/1990,"",IF(Main[[#This Row],[Class]]="C",WORKDAY(Main[[#This Row],[Tech Start Date]],19),IF(Main[[#This Row],[Class]]="B", WORKDAY(Main[[#This Row],[Tech Start Date]],12),IF(Main[[#This Row],[Class]]="A",WORKDAY(Main[[#This Row],[Tech Start Date]],4),""))))</f>
        <v/>
      </c>
      <c r="O1248" s="77" t="str">
        <f>IF(Main[[#This Row],[Tech Start Date]]&lt;1/1/1990,"",IF(Main[[#This Row],[Class]]="C",WORKDAY(Main[[#This Row],[Tech Start Date]],23),IF(Main[[#This Row],[Class]]="B", WORKDAY(Main[[#This Row],[Tech Start Date]],15),IF(Main[[#This Row],[Class]]="A",WORKDAY(Main[[#This Row],[Tech Start Date]],5),""))))</f>
        <v/>
      </c>
      <c r="P1248" s="77" t="str">
        <f>IF(Main[[#This Row],[Tech Start Date]]&lt;1/1/1990,"",IF(Main[[#This Row],[Class]]="C",WORKDAY(Main[[#This Row],[Tech Start Date]],28),IF(Main[[#This Row],[Class]]="B", WORKDAY(Main[[#This Row],[Tech Start Date]],19),IF(Main[[#This Row],[Class]]="A",WORKDAY(Main[[#This Row],[Tech Start Date]],9),""))))</f>
        <v/>
      </c>
      <c r="Q1248" s="74">
        <v>40940</v>
      </c>
      <c r="R1248" s="74"/>
      <c r="S1248" s="72" t="s">
        <v>11</v>
      </c>
      <c r="T1248" s="80" t="s">
        <v>4</v>
      </c>
      <c r="U1248" s="72" t="s">
        <v>12</v>
      </c>
      <c r="V1248" s="72" t="s">
        <v>1940</v>
      </c>
      <c r="W1248" s="72" t="s">
        <v>1948</v>
      </c>
      <c r="X1248" s="72" t="s">
        <v>2998</v>
      </c>
      <c r="Y1248" s="72" t="s">
        <v>4</v>
      </c>
      <c r="Z1248" s="72" t="s">
        <v>4</v>
      </c>
    </row>
    <row r="1249" spans="1:26" ht="18.600000000000001" customHeight="1">
      <c r="A1249" s="142" t="str">
        <f>IF(priority(Main[[#This Row],[Comments]])&lt;&gt;0, priority(Main[[#This Row],[Comments]]),"")</f>
        <v/>
      </c>
      <c r="B1249" s="90" t="s">
        <v>3411</v>
      </c>
      <c r="C1249" s="72" t="s">
        <v>4</v>
      </c>
      <c r="D1249" s="73" t="s">
        <v>3412</v>
      </c>
      <c r="E1249" s="74">
        <v>40921.54005787037</v>
      </c>
      <c r="F1249" s="74"/>
      <c r="G1249" s="75" t="str">
        <f>IF(stdProdLT(Main[[#This Row],[Comments]])=0.1,"N/A",IF(stdProdLT(Main[[#This Row],[Comments]])=0,"",stdProdLT(Main[[#This Row],[Comments]])))</f>
        <v/>
      </c>
      <c r="H1249" s="76" t="str">
        <f>IF(AND(Main[[#This Row],[In Stock Date]]&lt;&gt;"",Main[[#This Row],[Revised Due Date]]&lt;&gt;""),Main[[#This Row],[In Stock Date]]-Main[[#This Row],[Revised Due Date]],"")</f>
        <v/>
      </c>
      <c r="I1249" s="72" t="s">
        <v>4</v>
      </c>
      <c r="J1249" s="72" t="s">
        <v>4</v>
      </c>
      <c r="K1249" s="81" t="s">
        <v>4</v>
      </c>
      <c r="L1249" s="74"/>
      <c r="M1249" s="77" t="str">
        <f>IF(Main[[#This Row],[Tech Start Date]]&lt;1/1/1990,"",IF(Main[[#This Row],[Class]]="C",WORKDAY(Main[[#This Row],[Tech Start Date]],9),IF(Main[[#This Row],[Class]]="B", WORKDAY(Main[[#This Row],[Tech Start Date]],6),IF(Main[[#This Row],[Class]]="A",WORKDAY(Main[[#This Row],[Tech Start Date]],2),""))))</f>
        <v/>
      </c>
      <c r="N1249" s="77" t="str">
        <f>IF(Main[[#This Row],[Tech Start Date]]&lt;1/1/1990,"",IF(Main[[#This Row],[Class]]="C",WORKDAY(Main[[#This Row],[Tech Start Date]],19),IF(Main[[#This Row],[Class]]="B", WORKDAY(Main[[#This Row],[Tech Start Date]],12),IF(Main[[#This Row],[Class]]="A",WORKDAY(Main[[#This Row],[Tech Start Date]],4),""))))</f>
        <v/>
      </c>
      <c r="O1249" s="77" t="str">
        <f>IF(Main[[#This Row],[Tech Start Date]]&lt;1/1/1990,"",IF(Main[[#This Row],[Class]]="C",WORKDAY(Main[[#This Row],[Tech Start Date]],23),IF(Main[[#This Row],[Class]]="B", WORKDAY(Main[[#This Row],[Tech Start Date]],15),IF(Main[[#This Row],[Class]]="A",WORKDAY(Main[[#This Row],[Tech Start Date]],5),""))))</f>
        <v/>
      </c>
      <c r="P1249" s="77" t="str">
        <f>IF(Main[[#This Row],[Tech Start Date]]&lt;1/1/1990,"",IF(Main[[#This Row],[Class]]="C",WORKDAY(Main[[#This Row],[Tech Start Date]],28),IF(Main[[#This Row],[Class]]="B", WORKDAY(Main[[#This Row],[Tech Start Date]],19),IF(Main[[#This Row],[Class]]="A",WORKDAY(Main[[#This Row],[Tech Start Date]],9),""))))</f>
        <v/>
      </c>
      <c r="Q1249" s="74"/>
      <c r="R1249" s="74"/>
      <c r="S1249" s="72" t="s">
        <v>6</v>
      </c>
      <c r="T1249" s="80" t="s">
        <v>4</v>
      </c>
      <c r="U1249" s="72" t="s">
        <v>29</v>
      </c>
      <c r="V1249" s="72" t="s">
        <v>1937</v>
      </c>
      <c r="W1249" s="72" t="s">
        <v>1941</v>
      </c>
      <c r="X1249" s="72" t="s">
        <v>953</v>
      </c>
      <c r="Y1249" s="72" t="s">
        <v>3142</v>
      </c>
      <c r="Z1249" s="72" t="s">
        <v>4</v>
      </c>
    </row>
    <row r="1250" spans="1:26" ht="18.600000000000001" customHeight="1">
      <c r="A1250" s="142" t="str">
        <f>IF(priority(Main[[#This Row],[Comments]])&lt;&gt;0, priority(Main[[#This Row],[Comments]]),"")</f>
        <v/>
      </c>
      <c r="B1250" s="90" t="s">
        <v>2334</v>
      </c>
      <c r="C1250" s="72" t="s">
        <v>4</v>
      </c>
      <c r="D1250" s="73" t="s">
        <v>2658</v>
      </c>
      <c r="E1250" s="74">
        <v>40820.42082175926</v>
      </c>
      <c r="F1250" s="74"/>
      <c r="G1250" s="75" t="str">
        <f>IF(stdProdLT(Main[[#This Row],[Comments]])=0.1,"N/A",IF(stdProdLT(Main[[#This Row],[Comments]])=0,"",stdProdLT(Main[[#This Row],[Comments]])))</f>
        <v/>
      </c>
      <c r="H1250" s="76" t="str">
        <f>IF(AND(Main[[#This Row],[In Stock Date]]&lt;&gt;"",Main[[#This Row],[Revised Due Date]]&lt;&gt;""),Main[[#This Row],[In Stock Date]]-Main[[#This Row],[Revised Due Date]],"")</f>
        <v/>
      </c>
      <c r="I1250" s="72" t="s">
        <v>568</v>
      </c>
      <c r="J1250" s="72" t="s">
        <v>21</v>
      </c>
      <c r="K1250" s="72" t="s">
        <v>4</v>
      </c>
      <c r="L1250" s="74"/>
      <c r="M1250" s="77" t="str">
        <f>IF(Main[[#This Row],[Tech Start Date]]&lt;1/1/1990,"",IF(Main[[#This Row],[Class]]="C",WORKDAY(Main[[#This Row],[Tech Start Date]],9),IF(Main[[#This Row],[Class]]="B", WORKDAY(Main[[#This Row],[Tech Start Date]],6),IF(Main[[#This Row],[Class]]="A",WORKDAY(Main[[#This Row],[Tech Start Date]],2),""))))</f>
        <v/>
      </c>
      <c r="N1250" s="77" t="str">
        <f>IF(Main[[#This Row],[Tech Start Date]]&lt;1/1/1990,"",IF(Main[[#This Row],[Class]]="C",WORKDAY(Main[[#This Row],[Tech Start Date]],19),IF(Main[[#This Row],[Class]]="B", WORKDAY(Main[[#This Row],[Tech Start Date]],12),IF(Main[[#This Row],[Class]]="A",WORKDAY(Main[[#This Row],[Tech Start Date]],4),""))))</f>
        <v/>
      </c>
      <c r="O1250" s="77" t="str">
        <f>IF(Main[[#This Row],[Tech Start Date]]&lt;1/1/1990,"",IF(Main[[#This Row],[Class]]="C",WORKDAY(Main[[#This Row],[Tech Start Date]],23),IF(Main[[#This Row],[Class]]="B", WORKDAY(Main[[#This Row],[Tech Start Date]],15),IF(Main[[#This Row],[Class]]="A",WORKDAY(Main[[#This Row],[Tech Start Date]],5),""))))</f>
        <v/>
      </c>
      <c r="P1250" s="77" t="str">
        <f>IF(Main[[#This Row],[Tech Start Date]]&lt;1/1/1990,"",IF(Main[[#This Row],[Class]]="C",WORKDAY(Main[[#This Row],[Tech Start Date]],28),IF(Main[[#This Row],[Class]]="B", WORKDAY(Main[[#This Row],[Tech Start Date]],19),IF(Main[[#This Row],[Class]]="A",WORKDAY(Main[[#This Row],[Tech Start Date]],9),""))))</f>
        <v/>
      </c>
      <c r="Q1250" s="74"/>
      <c r="R1250" s="74">
        <v>40840</v>
      </c>
      <c r="S1250" s="72" t="s">
        <v>6</v>
      </c>
      <c r="T1250" s="80" t="s">
        <v>4</v>
      </c>
      <c r="U1250" s="72" t="s">
        <v>29</v>
      </c>
      <c r="V1250" s="72" t="s">
        <v>1937</v>
      </c>
      <c r="W1250" s="72" t="s">
        <v>1945</v>
      </c>
      <c r="X1250" s="72" t="s">
        <v>50</v>
      </c>
      <c r="Y1250" s="72" t="s">
        <v>3117</v>
      </c>
      <c r="Z1250" s="72" t="s">
        <v>4</v>
      </c>
    </row>
    <row r="1251" spans="1:26" ht="18.600000000000001" customHeight="1">
      <c r="A1251" s="142" t="str">
        <f>IF(priority(Main[[#This Row],[Comments]])&lt;&gt;0, priority(Main[[#This Row],[Comments]]),"")</f>
        <v/>
      </c>
      <c r="B1251" s="90" t="s">
        <v>2816</v>
      </c>
      <c r="C1251" s="72" t="s">
        <v>4</v>
      </c>
      <c r="D1251" s="73" t="s">
        <v>2817</v>
      </c>
      <c r="E1251" s="74"/>
      <c r="F1251" s="74"/>
      <c r="G1251" s="75" t="str">
        <f>IF(stdProdLT(Main[[#This Row],[Comments]])=0.1,"N/A",IF(stdProdLT(Main[[#This Row],[Comments]])=0,"",stdProdLT(Main[[#This Row],[Comments]])))</f>
        <v/>
      </c>
      <c r="H1251" s="76" t="str">
        <f>IF(AND(Main[[#This Row],[In Stock Date]]&lt;&gt;"",Main[[#This Row],[Revised Due Date]]&lt;&gt;""),Main[[#This Row],[In Stock Date]]-Main[[#This Row],[Revised Due Date]],"")</f>
        <v/>
      </c>
      <c r="I1251" s="72" t="s">
        <v>4</v>
      </c>
      <c r="J1251" s="72" t="s">
        <v>4</v>
      </c>
      <c r="K1251" s="72" t="s">
        <v>4</v>
      </c>
      <c r="L1251" s="74"/>
      <c r="M1251" s="77" t="str">
        <f>IF(Main[[#This Row],[Tech Start Date]]&lt;1/1/1990,"",IF(Main[[#This Row],[Class]]="C",WORKDAY(Main[[#This Row],[Tech Start Date]],9),IF(Main[[#This Row],[Class]]="B", WORKDAY(Main[[#This Row],[Tech Start Date]],6),IF(Main[[#This Row],[Class]]="A",WORKDAY(Main[[#This Row],[Tech Start Date]],2),""))))</f>
        <v/>
      </c>
      <c r="N1251" s="77" t="str">
        <f>IF(Main[[#This Row],[Tech Start Date]]&lt;1/1/1990,"",IF(Main[[#This Row],[Class]]="C",WORKDAY(Main[[#This Row],[Tech Start Date]],19),IF(Main[[#This Row],[Class]]="B", WORKDAY(Main[[#This Row],[Tech Start Date]],12),IF(Main[[#This Row],[Class]]="A",WORKDAY(Main[[#This Row],[Tech Start Date]],4),""))))</f>
        <v/>
      </c>
      <c r="O1251" s="77" t="str">
        <f>IF(Main[[#This Row],[Tech Start Date]]&lt;1/1/1990,"",IF(Main[[#This Row],[Class]]="C",WORKDAY(Main[[#This Row],[Tech Start Date]],23),IF(Main[[#This Row],[Class]]="B", WORKDAY(Main[[#This Row],[Tech Start Date]],15),IF(Main[[#This Row],[Class]]="A",WORKDAY(Main[[#This Row],[Tech Start Date]],5),""))))</f>
        <v/>
      </c>
      <c r="P1251" s="77" t="str">
        <f>IF(Main[[#This Row],[Tech Start Date]]&lt;1/1/1990,"",IF(Main[[#This Row],[Class]]="C",WORKDAY(Main[[#This Row],[Tech Start Date]],28),IF(Main[[#This Row],[Class]]="B", WORKDAY(Main[[#This Row],[Tech Start Date]],19),IF(Main[[#This Row],[Class]]="A",WORKDAY(Main[[#This Row],[Tech Start Date]],9),""))))</f>
        <v/>
      </c>
      <c r="Q1251" s="74"/>
      <c r="R1251" s="74"/>
      <c r="S1251" s="72" t="s">
        <v>6</v>
      </c>
      <c r="T1251" s="80" t="s">
        <v>4</v>
      </c>
      <c r="U1251" s="72" t="s">
        <v>14</v>
      </c>
      <c r="V1251" s="72" t="s">
        <v>1937</v>
      </c>
      <c r="W1251" s="72" t="s">
        <v>1941</v>
      </c>
      <c r="X1251" s="72" t="s">
        <v>3054</v>
      </c>
      <c r="Y1251" s="72" t="s">
        <v>3239</v>
      </c>
      <c r="Z1251" s="72" t="s">
        <v>4</v>
      </c>
    </row>
    <row r="1252" spans="1:26" ht="18.600000000000001" customHeight="1">
      <c r="A1252" s="142" t="str">
        <f>IF(priority(Main[[#This Row],[Comments]])&lt;&gt;0, priority(Main[[#This Row],[Comments]]),"")</f>
        <v/>
      </c>
      <c r="B1252" s="90" t="s">
        <v>2907</v>
      </c>
      <c r="C1252" s="72" t="s">
        <v>4</v>
      </c>
      <c r="D1252" s="73" t="s">
        <v>2908</v>
      </c>
      <c r="E1252" s="74">
        <v>40913.323819444442</v>
      </c>
      <c r="F1252" s="74"/>
      <c r="G1252" s="75" t="str">
        <f>IF(stdProdLT(Main[[#This Row],[Comments]])=0.1,"N/A",IF(stdProdLT(Main[[#This Row],[Comments]])=0,"",stdProdLT(Main[[#This Row],[Comments]])))</f>
        <v/>
      </c>
      <c r="H1252" s="76" t="str">
        <f>IF(AND(Main[[#This Row],[In Stock Date]]&lt;&gt;"",Main[[#This Row],[Revised Due Date]]&lt;&gt;""),Main[[#This Row],[In Stock Date]]-Main[[#This Row],[Revised Due Date]],"")</f>
        <v/>
      </c>
      <c r="I1252" s="72" t="s">
        <v>4</v>
      </c>
      <c r="J1252" s="72" t="s">
        <v>4</v>
      </c>
      <c r="K1252" s="72" t="s">
        <v>4</v>
      </c>
      <c r="L1252" s="74"/>
      <c r="M1252" s="77" t="str">
        <f>IF(Main[[#This Row],[Tech Start Date]]&lt;1/1/1990,"",IF(Main[[#This Row],[Class]]="C",WORKDAY(Main[[#This Row],[Tech Start Date]],9),IF(Main[[#This Row],[Class]]="B", WORKDAY(Main[[#This Row],[Tech Start Date]],6),IF(Main[[#This Row],[Class]]="A",WORKDAY(Main[[#This Row],[Tech Start Date]],2),""))))</f>
        <v/>
      </c>
      <c r="N1252" s="77" t="str">
        <f>IF(Main[[#This Row],[Tech Start Date]]&lt;1/1/1990,"",IF(Main[[#This Row],[Class]]="C",WORKDAY(Main[[#This Row],[Tech Start Date]],19),IF(Main[[#This Row],[Class]]="B", WORKDAY(Main[[#This Row],[Tech Start Date]],12),IF(Main[[#This Row],[Class]]="A",WORKDAY(Main[[#This Row],[Tech Start Date]],4),""))))</f>
        <v/>
      </c>
      <c r="O1252" s="77" t="str">
        <f>IF(Main[[#This Row],[Tech Start Date]]&lt;1/1/1990,"",IF(Main[[#This Row],[Class]]="C",WORKDAY(Main[[#This Row],[Tech Start Date]],23),IF(Main[[#This Row],[Class]]="B", WORKDAY(Main[[#This Row],[Tech Start Date]],15),IF(Main[[#This Row],[Class]]="A",WORKDAY(Main[[#This Row],[Tech Start Date]],5),""))))</f>
        <v/>
      </c>
      <c r="P1252" s="77" t="str">
        <f>IF(Main[[#This Row],[Tech Start Date]]&lt;1/1/1990,"",IF(Main[[#This Row],[Class]]="C",WORKDAY(Main[[#This Row],[Tech Start Date]],28),IF(Main[[#This Row],[Class]]="B", WORKDAY(Main[[#This Row],[Tech Start Date]],19),IF(Main[[#This Row],[Class]]="A",WORKDAY(Main[[#This Row],[Tech Start Date]],9),""))))</f>
        <v/>
      </c>
      <c r="Q1252" s="74">
        <v>40945</v>
      </c>
      <c r="R1252" s="74"/>
      <c r="S1252" s="72" t="s">
        <v>6</v>
      </c>
      <c r="T1252" s="80" t="s">
        <v>4</v>
      </c>
      <c r="U1252" s="72" t="s">
        <v>7</v>
      </c>
      <c r="V1252" s="72" t="s">
        <v>1937</v>
      </c>
      <c r="W1252" s="72" t="s">
        <v>4</v>
      </c>
      <c r="X1252" s="72" t="s">
        <v>2971</v>
      </c>
      <c r="Y1252" s="72" t="s">
        <v>3090</v>
      </c>
      <c r="Z1252" s="72" t="s">
        <v>4</v>
      </c>
    </row>
    <row r="1253" spans="1:26" ht="18.600000000000001" customHeight="1">
      <c r="A1253" s="142" t="str">
        <f>IF(priority(Main[[#This Row],[Comments]])&lt;&gt;0, priority(Main[[#This Row],[Comments]]),"")</f>
        <v/>
      </c>
      <c r="B1253" s="90" t="s">
        <v>2660</v>
      </c>
      <c r="C1253" s="72" t="s">
        <v>4</v>
      </c>
      <c r="D1253" s="73" t="s">
        <v>2661</v>
      </c>
      <c r="E1253" s="74">
        <v>40868.429988425924</v>
      </c>
      <c r="F1253" s="74"/>
      <c r="G1253" s="75" t="str">
        <f>IF(stdProdLT(Main[[#This Row],[Comments]])=0.1,"N/A",IF(stdProdLT(Main[[#This Row],[Comments]])=0,"",stdProdLT(Main[[#This Row],[Comments]])))</f>
        <v/>
      </c>
      <c r="H1253" s="76" t="str">
        <f>IF(AND(Main[[#This Row],[In Stock Date]]&lt;&gt;"",Main[[#This Row],[Revised Due Date]]&lt;&gt;""),Main[[#This Row],[In Stock Date]]-Main[[#This Row],[Revised Due Date]],"")</f>
        <v/>
      </c>
      <c r="I1253" s="72" t="s">
        <v>242</v>
      </c>
      <c r="J1253" s="72" t="s">
        <v>21</v>
      </c>
      <c r="K1253" s="72" t="s">
        <v>4</v>
      </c>
      <c r="L1253" s="74"/>
      <c r="M1253" s="77" t="str">
        <f>IF(Main[[#This Row],[Tech Start Date]]&lt;1/1/1990,"",IF(Main[[#This Row],[Class]]="C",WORKDAY(Main[[#This Row],[Tech Start Date]],9),IF(Main[[#This Row],[Class]]="B", WORKDAY(Main[[#This Row],[Tech Start Date]],6),IF(Main[[#This Row],[Class]]="A",WORKDAY(Main[[#This Row],[Tech Start Date]],2),""))))</f>
        <v/>
      </c>
      <c r="N1253" s="77" t="str">
        <f>IF(Main[[#This Row],[Tech Start Date]]&lt;1/1/1990,"",IF(Main[[#This Row],[Class]]="C",WORKDAY(Main[[#This Row],[Tech Start Date]],19),IF(Main[[#This Row],[Class]]="B", WORKDAY(Main[[#This Row],[Tech Start Date]],12),IF(Main[[#This Row],[Class]]="A",WORKDAY(Main[[#This Row],[Tech Start Date]],4),""))))</f>
        <v/>
      </c>
      <c r="O1253" s="77" t="str">
        <f>IF(Main[[#This Row],[Tech Start Date]]&lt;1/1/1990,"",IF(Main[[#This Row],[Class]]="C",WORKDAY(Main[[#This Row],[Tech Start Date]],23),IF(Main[[#This Row],[Class]]="B", WORKDAY(Main[[#This Row],[Tech Start Date]],15),IF(Main[[#This Row],[Class]]="A",WORKDAY(Main[[#This Row],[Tech Start Date]],5),""))))</f>
        <v/>
      </c>
      <c r="P1253" s="77" t="str">
        <f>IF(Main[[#This Row],[Tech Start Date]]&lt;1/1/1990,"",IF(Main[[#This Row],[Class]]="C",WORKDAY(Main[[#This Row],[Tech Start Date]],28),IF(Main[[#This Row],[Class]]="B", WORKDAY(Main[[#This Row],[Tech Start Date]],19),IF(Main[[#This Row],[Class]]="A",WORKDAY(Main[[#This Row],[Tech Start Date]],9),""))))</f>
        <v/>
      </c>
      <c r="Q1253" s="74">
        <v>40877</v>
      </c>
      <c r="R1253" s="74"/>
      <c r="S1253" s="72" t="s">
        <v>6</v>
      </c>
      <c r="T1253" s="80" t="s">
        <v>4</v>
      </c>
      <c r="U1253" s="72" t="s">
        <v>29</v>
      </c>
      <c r="V1253" s="72" t="s">
        <v>1940</v>
      </c>
      <c r="W1253" s="72" t="s">
        <v>1941</v>
      </c>
      <c r="X1253" s="72" t="s">
        <v>242</v>
      </c>
      <c r="Y1253" s="72" t="s">
        <v>3301</v>
      </c>
      <c r="Z1253" s="72" t="s">
        <v>242</v>
      </c>
    </row>
    <row r="1254" spans="1:26" ht="18.600000000000001" customHeight="1">
      <c r="A1254" s="142" t="str">
        <f>IF(priority(Main[[#This Row],[Comments]])&lt;&gt;0, priority(Main[[#This Row],[Comments]]),"")</f>
        <v/>
      </c>
      <c r="B1254" s="90" t="s">
        <v>2662</v>
      </c>
      <c r="C1254" s="72" t="s">
        <v>4</v>
      </c>
      <c r="D1254" s="73" t="s">
        <v>2917</v>
      </c>
      <c r="E1254" s="74">
        <v>40870.471666666665</v>
      </c>
      <c r="F1254" s="74"/>
      <c r="G1254" s="75" t="str">
        <f>IF(stdProdLT(Main[[#This Row],[Comments]])=0.1,"N/A",IF(stdProdLT(Main[[#This Row],[Comments]])=0,"",stdProdLT(Main[[#This Row],[Comments]])))</f>
        <v/>
      </c>
      <c r="H1254" s="76" t="str">
        <f>IF(AND(Main[[#This Row],[In Stock Date]]&lt;&gt;"",Main[[#This Row],[Revised Due Date]]&lt;&gt;""),Main[[#This Row],[In Stock Date]]-Main[[#This Row],[Revised Due Date]],"")</f>
        <v/>
      </c>
      <c r="I1254" s="72" t="s">
        <v>4</v>
      </c>
      <c r="J1254" s="72" t="s">
        <v>28</v>
      </c>
      <c r="K1254" s="72" t="s">
        <v>1946</v>
      </c>
      <c r="L1254" s="74"/>
      <c r="M1254" s="77" t="str">
        <f>IF(Main[[#This Row],[Tech Start Date]]&lt;1/1/1990,"",IF(Main[[#This Row],[Class]]="C",WORKDAY(Main[[#This Row],[Tech Start Date]],9),IF(Main[[#This Row],[Class]]="B", WORKDAY(Main[[#This Row],[Tech Start Date]],6),IF(Main[[#This Row],[Class]]="A",WORKDAY(Main[[#This Row],[Tech Start Date]],2),""))))</f>
        <v/>
      </c>
      <c r="N1254" s="77" t="str">
        <f>IF(Main[[#This Row],[Tech Start Date]]&lt;1/1/1990,"",IF(Main[[#This Row],[Class]]="C",WORKDAY(Main[[#This Row],[Tech Start Date]],19),IF(Main[[#This Row],[Class]]="B", WORKDAY(Main[[#This Row],[Tech Start Date]],12),IF(Main[[#This Row],[Class]]="A",WORKDAY(Main[[#This Row],[Tech Start Date]],4),""))))</f>
        <v/>
      </c>
      <c r="O1254" s="77" t="str">
        <f>IF(Main[[#This Row],[Tech Start Date]]&lt;1/1/1990,"",IF(Main[[#This Row],[Class]]="C",WORKDAY(Main[[#This Row],[Tech Start Date]],23),IF(Main[[#This Row],[Class]]="B", WORKDAY(Main[[#This Row],[Tech Start Date]],15),IF(Main[[#This Row],[Class]]="A",WORKDAY(Main[[#This Row],[Tech Start Date]],5),""))))</f>
        <v/>
      </c>
      <c r="P1254" s="77" t="str">
        <f>IF(Main[[#This Row],[Tech Start Date]]&lt;1/1/1990,"",IF(Main[[#This Row],[Class]]="C",WORKDAY(Main[[#This Row],[Tech Start Date]],28),IF(Main[[#This Row],[Class]]="B", WORKDAY(Main[[#This Row],[Tech Start Date]],19),IF(Main[[#This Row],[Class]]="A",WORKDAY(Main[[#This Row],[Tech Start Date]],9),""))))</f>
        <v/>
      </c>
      <c r="Q1254" s="74">
        <v>40905</v>
      </c>
      <c r="R1254" s="74"/>
      <c r="S1254" s="72" t="s">
        <v>6</v>
      </c>
      <c r="T1254" s="80" t="s">
        <v>4</v>
      </c>
      <c r="U1254" s="72" t="s">
        <v>29</v>
      </c>
      <c r="V1254" s="72" t="s">
        <v>1940</v>
      </c>
      <c r="W1254" s="72" t="s">
        <v>1941</v>
      </c>
      <c r="X1254" s="72" t="s">
        <v>2078</v>
      </c>
      <c r="Y1254" s="72" t="s">
        <v>3218</v>
      </c>
      <c r="Z1254" s="72" t="s">
        <v>30</v>
      </c>
    </row>
    <row r="1255" spans="1:26" ht="18.600000000000001" customHeight="1">
      <c r="A1255" s="142" t="str">
        <f>IF(priority(Main[[#This Row],[Comments]])&lt;&gt;0, priority(Main[[#This Row],[Comments]]),"")</f>
        <v/>
      </c>
      <c r="B1255" s="90" t="s">
        <v>1695</v>
      </c>
      <c r="C1255" s="72" t="s">
        <v>37</v>
      </c>
      <c r="D1255" s="73" t="s">
        <v>2663</v>
      </c>
      <c r="E1255" s="74">
        <v>40681.624918981484</v>
      </c>
      <c r="F1255" s="74"/>
      <c r="G1255" s="75" t="str">
        <f>IF(stdProdLT(Main[[#This Row],[Comments]])=0.1,"N/A",IF(stdProdLT(Main[[#This Row],[Comments]])=0,"",stdProdLT(Main[[#This Row],[Comments]])))</f>
        <v/>
      </c>
      <c r="H1255" s="76" t="str">
        <f>IF(AND(Main[[#This Row],[In Stock Date]]&lt;&gt;"",Main[[#This Row],[Revised Due Date]]&lt;&gt;""),Main[[#This Row],[In Stock Date]]-Main[[#This Row],[Revised Due Date]],"")</f>
        <v/>
      </c>
      <c r="I1255" s="72" t="s">
        <v>4</v>
      </c>
      <c r="J1255" s="72" t="s">
        <v>4</v>
      </c>
      <c r="K1255" s="72" t="s">
        <v>4</v>
      </c>
      <c r="L1255" s="74"/>
      <c r="M1255" s="77" t="str">
        <f>IF(Main[[#This Row],[Tech Start Date]]&lt;1/1/1990,"",IF(Main[[#This Row],[Class]]="C",WORKDAY(Main[[#This Row],[Tech Start Date]],9),IF(Main[[#This Row],[Class]]="B", WORKDAY(Main[[#This Row],[Tech Start Date]],6),IF(Main[[#This Row],[Class]]="A",WORKDAY(Main[[#This Row],[Tech Start Date]],2),""))))</f>
        <v/>
      </c>
      <c r="N1255" s="77" t="str">
        <f>IF(Main[[#This Row],[Tech Start Date]]&lt;1/1/1990,"",IF(Main[[#This Row],[Class]]="C",WORKDAY(Main[[#This Row],[Tech Start Date]],19),IF(Main[[#This Row],[Class]]="B", WORKDAY(Main[[#This Row],[Tech Start Date]],12),IF(Main[[#This Row],[Class]]="A",WORKDAY(Main[[#This Row],[Tech Start Date]],4),""))))</f>
        <v/>
      </c>
      <c r="O1255" s="77" t="str">
        <f>IF(Main[[#This Row],[Tech Start Date]]&lt;1/1/1990,"",IF(Main[[#This Row],[Class]]="C",WORKDAY(Main[[#This Row],[Tech Start Date]],23),IF(Main[[#This Row],[Class]]="B", WORKDAY(Main[[#This Row],[Tech Start Date]],15),IF(Main[[#This Row],[Class]]="A",WORKDAY(Main[[#This Row],[Tech Start Date]],5),""))))</f>
        <v/>
      </c>
      <c r="P1255" s="77" t="str">
        <f>IF(Main[[#This Row],[Tech Start Date]]&lt;1/1/1990,"",IF(Main[[#This Row],[Class]]="C",WORKDAY(Main[[#This Row],[Tech Start Date]],28),IF(Main[[#This Row],[Class]]="B", WORKDAY(Main[[#This Row],[Tech Start Date]],19),IF(Main[[#This Row],[Class]]="A",WORKDAY(Main[[#This Row],[Tech Start Date]],9),""))))</f>
        <v/>
      </c>
      <c r="Q1255" s="74"/>
      <c r="R1255" s="74"/>
      <c r="S1255" s="72" t="s">
        <v>6</v>
      </c>
      <c r="T1255" s="80" t="s">
        <v>4</v>
      </c>
      <c r="U1255" s="72" t="s">
        <v>540</v>
      </c>
      <c r="V1255" s="72" t="s">
        <v>1937</v>
      </c>
      <c r="W1255" s="72" t="s">
        <v>1948</v>
      </c>
      <c r="X1255" s="72" t="s">
        <v>986</v>
      </c>
      <c r="Y1255" s="72" t="s">
        <v>3256</v>
      </c>
      <c r="Z1255" s="72" t="s">
        <v>4</v>
      </c>
    </row>
    <row r="1256" spans="1:26" ht="18.600000000000001" customHeight="1">
      <c r="A1256" s="142" t="str">
        <f>IF(priority(Main[[#This Row],[Comments]])&lt;&gt;0, priority(Main[[#This Row],[Comments]]),"")</f>
        <v/>
      </c>
      <c r="B1256" s="90" t="s">
        <v>1612</v>
      </c>
      <c r="C1256" s="72" t="s">
        <v>4</v>
      </c>
      <c r="D1256" s="73" t="s">
        <v>2964</v>
      </c>
      <c r="E1256" s="74">
        <v>40352.416608796295</v>
      </c>
      <c r="F1256" s="74"/>
      <c r="G1256" s="75" t="str">
        <f>IF(stdProdLT(Main[[#This Row],[Comments]])=0.1,"N/A",IF(stdProdLT(Main[[#This Row],[Comments]])=0,"",stdProdLT(Main[[#This Row],[Comments]])))</f>
        <v/>
      </c>
      <c r="H1256" s="76" t="str">
        <f>IF(AND(Main[[#This Row],[In Stock Date]]&lt;&gt;"",Main[[#This Row],[Revised Due Date]]&lt;&gt;""),Main[[#This Row],[In Stock Date]]-Main[[#This Row],[Revised Due Date]],"")</f>
        <v/>
      </c>
      <c r="I1256" s="72" t="s">
        <v>719</v>
      </c>
      <c r="J1256" s="72" t="s">
        <v>28</v>
      </c>
      <c r="K1256" s="72" t="s">
        <v>1949</v>
      </c>
      <c r="L1256" s="74"/>
      <c r="M1256" s="77" t="str">
        <f>IF(Main[[#This Row],[Tech Start Date]]&lt;1/1/1990,"",IF(Main[[#This Row],[Class]]="C",WORKDAY(Main[[#This Row],[Tech Start Date]],9),IF(Main[[#This Row],[Class]]="B", WORKDAY(Main[[#This Row],[Tech Start Date]],6),IF(Main[[#This Row],[Class]]="A",WORKDAY(Main[[#This Row],[Tech Start Date]],2),""))))</f>
        <v/>
      </c>
      <c r="N1256" s="77" t="str">
        <f>IF(Main[[#This Row],[Tech Start Date]]&lt;1/1/1990,"",IF(Main[[#This Row],[Class]]="C",WORKDAY(Main[[#This Row],[Tech Start Date]],19),IF(Main[[#This Row],[Class]]="B", WORKDAY(Main[[#This Row],[Tech Start Date]],12),IF(Main[[#This Row],[Class]]="A",WORKDAY(Main[[#This Row],[Tech Start Date]],4),""))))</f>
        <v/>
      </c>
      <c r="O1256" s="77" t="str">
        <f>IF(Main[[#This Row],[Tech Start Date]]&lt;1/1/1990,"",IF(Main[[#This Row],[Class]]="C",WORKDAY(Main[[#This Row],[Tech Start Date]],23),IF(Main[[#This Row],[Class]]="B", WORKDAY(Main[[#This Row],[Tech Start Date]],15),IF(Main[[#This Row],[Class]]="A",WORKDAY(Main[[#This Row],[Tech Start Date]],5),""))))</f>
        <v/>
      </c>
      <c r="P1256" s="77" t="str">
        <f>IF(Main[[#This Row],[Tech Start Date]]&lt;1/1/1990,"",IF(Main[[#This Row],[Class]]="C",WORKDAY(Main[[#This Row],[Tech Start Date]],28),IF(Main[[#This Row],[Class]]="B", WORKDAY(Main[[#This Row],[Tech Start Date]],19),IF(Main[[#This Row],[Class]]="A",WORKDAY(Main[[#This Row],[Tech Start Date]],9),""))))</f>
        <v/>
      </c>
      <c r="Q1256" s="74">
        <v>40387</v>
      </c>
      <c r="R1256" s="74">
        <v>41011</v>
      </c>
      <c r="S1256" s="72" t="s">
        <v>17</v>
      </c>
      <c r="T1256" s="80" t="s">
        <v>2513</v>
      </c>
      <c r="U1256" s="72" t="s">
        <v>29</v>
      </c>
      <c r="V1256" s="72" t="s">
        <v>1937</v>
      </c>
      <c r="W1256" s="72" t="s">
        <v>1942</v>
      </c>
      <c r="X1256" s="72" t="s">
        <v>719</v>
      </c>
      <c r="Y1256" s="72" t="s">
        <v>3089</v>
      </c>
      <c r="Z1256" s="72" t="s">
        <v>129</v>
      </c>
    </row>
    <row r="1257" spans="1:26" ht="18.600000000000001" customHeight="1">
      <c r="A1257" s="142" t="str">
        <f>IF(priority(Main[[#This Row],[Comments]])&lt;&gt;0, priority(Main[[#This Row],[Comments]]),"")</f>
        <v/>
      </c>
      <c r="B1257" s="90" t="s">
        <v>2776</v>
      </c>
      <c r="C1257" s="72" t="s">
        <v>4</v>
      </c>
      <c r="D1257" s="73" t="s">
        <v>2777</v>
      </c>
      <c r="E1257" s="74">
        <v>40900.141886574071</v>
      </c>
      <c r="F1257" s="74"/>
      <c r="G1257" s="75" t="str">
        <f>IF(stdProdLT(Main[[#This Row],[Comments]])=0.1,"N/A",IF(stdProdLT(Main[[#This Row],[Comments]])=0,"",stdProdLT(Main[[#This Row],[Comments]])))</f>
        <v/>
      </c>
      <c r="H1257" s="76" t="str">
        <f>IF(AND(Main[[#This Row],[In Stock Date]]&lt;&gt;"",Main[[#This Row],[Revised Due Date]]&lt;&gt;""),Main[[#This Row],[In Stock Date]]-Main[[#This Row],[Revised Due Date]],"")</f>
        <v/>
      </c>
      <c r="I1257" s="72" t="s">
        <v>69</v>
      </c>
      <c r="J1257" s="72" t="s">
        <v>28</v>
      </c>
      <c r="K1257" s="72" t="s">
        <v>1946</v>
      </c>
      <c r="L1257" s="74"/>
      <c r="M1257" s="77" t="str">
        <f>IF(Main[[#This Row],[Tech Start Date]]&lt;1/1/1990,"",IF(Main[[#This Row],[Class]]="C",WORKDAY(Main[[#This Row],[Tech Start Date]],9),IF(Main[[#This Row],[Class]]="B", WORKDAY(Main[[#This Row],[Tech Start Date]],6),IF(Main[[#This Row],[Class]]="A",WORKDAY(Main[[#This Row],[Tech Start Date]],2),""))))</f>
        <v/>
      </c>
      <c r="N1257" s="77" t="str">
        <f>IF(Main[[#This Row],[Tech Start Date]]&lt;1/1/1990,"",IF(Main[[#This Row],[Class]]="C",WORKDAY(Main[[#This Row],[Tech Start Date]],19),IF(Main[[#This Row],[Class]]="B", WORKDAY(Main[[#This Row],[Tech Start Date]],12),IF(Main[[#This Row],[Class]]="A",WORKDAY(Main[[#This Row],[Tech Start Date]],4),""))))</f>
        <v/>
      </c>
      <c r="O1257" s="77" t="str">
        <f>IF(Main[[#This Row],[Tech Start Date]]&lt;1/1/1990,"",IF(Main[[#This Row],[Class]]="C",WORKDAY(Main[[#This Row],[Tech Start Date]],23),IF(Main[[#This Row],[Class]]="B", WORKDAY(Main[[#This Row],[Tech Start Date]],15),IF(Main[[#This Row],[Class]]="A",WORKDAY(Main[[#This Row],[Tech Start Date]],5),""))))</f>
        <v/>
      </c>
      <c r="P1257" s="77" t="str">
        <f>IF(Main[[#This Row],[Tech Start Date]]&lt;1/1/1990,"",IF(Main[[#This Row],[Class]]="C",WORKDAY(Main[[#This Row],[Tech Start Date]],28),IF(Main[[#This Row],[Class]]="B", WORKDAY(Main[[#This Row],[Tech Start Date]],19),IF(Main[[#This Row],[Class]]="A",WORKDAY(Main[[#This Row],[Tech Start Date]],9),""))))</f>
        <v/>
      </c>
      <c r="Q1257" s="74">
        <v>40931</v>
      </c>
      <c r="R1257" s="74"/>
      <c r="S1257" s="72" t="s">
        <v>6</v>
      </c>
      <c r="T1257" s="80" t="s">
        <v>4</v>
      </c>
      <c r="U1257" s="72" t="s">
        <v>29</v>
      </c>
      <c r="V1257" s="72" t="s">
        <v>1940</v>
      </c>
      <c r="W1257" s="72" t="s">
        <v>1941</v>
      </c>
      <c r="X1257" s="72" t="s">
        <v>2974</v>
      </c>
      <c r="Y1257" s="72" t="s">
        <v>3096</v>
      </c>
      <c r="Z1257" s="72" t="s">
        <v>30</v>
      </c>
    </row>
    <row r="1258" spans="1:26" ht="18.600000000000001" customHeight="1">
      <c r="A1258" s="142" t="str">
        <f>IF(priority(Main[[#This Row],[Comments]])&lt;&gt;0, priority(Main[[#This Row],[Comments]]),"")</f>
        <v/>
      </c>
      <c r="B1258" s="90" t="s">
        <v>2547</v>
      </c>
      <c r="C1258" s="72" t="s">
        <v>4</v>
      </c>
      <c r="D1258" s="73" t="s">
        <v>2548</v>
      </c>
      <c r="E1258" s="74">
        <v>40855.421446759261</v>
      </c>
      <c r="F1258" s="74"/>
      <c r="G1258" s="75" t="str">
        <f>IF(stdProdLT(Main[[#This Row],[Comments]])=0.1,"N/A",IF(stdProdLT(Main[[#This Row],[Comments]])=0,"",stdProdLT(Main[[#This Row],[Comments]])))</f>
        <v/>
      </c>
      <c r="H1258" s="76" t="str">
        <f>IF(AND(Main[[#This Row],[In Stock Date]]&lt;&gt;"",Main[[#This Row],[Revised Due Date]]&lt;&gt;""),Main[[#This Row],[In Stock Date]]-Main[[#This Row],[Revised Due Date]],"")</f>
        <v/>
      </c>
      <c r="I1258" s="72" t="s">
        <v>69</v>
      </c>
      <c r="J1258" s="72" t="s">
        <v>70</v>
      </c>
      <c r="K1258" s="72" t="s">
        <v>1949</v>
      </c>
      <c r="L1258" s="74"/>
      <c r="M1258" s="77" t="str">
        <f>IF(Main[[#This Row],[Tech Start Date]]&lt;1/1/1990,"",IF(Main[[#This Row],[Class]]="C",WORKDAY(Main[[#This Row],[Tech Start Date]],9),IF(Main[[#This Row],[Class]]="B", WORKDAY(Main[[#This Row],[Tech Start Date]],6),IF(Main[[#This Row],[Class]]="A",WORKDAY(Main[[#This Row],[Tech Start Date]],2),""))))</f>
        <v/>
      </c>
      <c r="N1258" s="77" t="str">
        <f>IF(Main[[#This Row],[Tech Start Date]]&lt;1/1/1990,"",IF(Main[[#This Row],[Class]]="C",WORKDAY(Main[[#This Row],[Tech Start Date]],19),IF(Main[[#This Row],[Class]]="B", WORKDAY(Main[[#This Row],[Tech Start Date]],12),IF(Main[[#This Row],[Class]]="A",WORKDAY(Main[[#This Row],[Tech Start Date]],4),""))))</f>
        <v/>
      </c>
      <c r="O1258" s="77" t="str">
        <f>IF(Main[[#This Row],[Tech Start Date]]&lt;1/1/1990,"",IF(Main[[#This Row],[Class]]="C",WORKDAY(Main[[#This Row],[Tech Start Date]],23),IF(Main[[#This Row],[Class]]="B", WORKDAY(Main[[#This Row],[Tech Start Date]],15),IF(Main[[#This Row],[Class]]="A",WORKDAY(Main[[#This Row],[Tech Start Date]],5),""))))</f>
        <v/>
      </c>
      <c r="P1258" s="77" t="str">
        <f>IF(Main[[#This Row],[Tech Start Date]]&lt;1/1/1990,"",IF(Main[[#This Row],[Class]]="C",WORKDAY(Main[[#This Row],[Tech Start Date]],28),IF(Main[[#This Row],[Class]]="B", WORKDAY(Main[[#This Row],[Tech Start Date]],19),IF(Main[[#This Row],[Class]]="A",WORKDAY(Main[[#This Row],[Tech Start Date]],9),""))))</f>
        <v/>
      </c>
      <c r="Q1258" s="74">
        <v>40907</v>
      </c>
      <c r="R1258" s="74"/>
      <c r="S1258" s="72" t="s">
        <v>17</v>
      </c>
      <c r="T1258" s="80" t="s">
        <v>4</v>
      </c>
      <c r="U1258" s="72" t="s">
        <v>29</v>
      </c>
      <c r="V1258" s="72" t="s">
        <v>1947</v>
      </c>
      <c r="W1258" s="72" t="s">
        <v>1939</v>
      </c>
      <c r="X1258" s="72" t="s">
        <v>3018</v>
      </c>
      <c r="Y1258" s="72" t="s">
        <v>3158</v>
      </c>
      <c r="Z1258" s="72" t="s">
        <v>30</v>
      </c>
    </row>
    <row r="1259" spans="1:26" ht="18.600000000000001" customHeight="1">
      <c r="A1259" s="142" t="str">
        <f>IF(priority(Main[[#This Row],[Comments]])&lt;&gt;0, priority(Main[[#This Row],[Comments]]),"")</f>
        <v/>
      </c>
      <c r="B1259" s="90" t="s">
        <v>2666</v>
      </c>
      <c r="C1259" s="72" t="s">
        <v>31</v>
      </c>
      <c r="D1259" s="73" t="s">
        <v>2667</v>
      </c>
      <c r="E1259" s="74"/>
      <c r="F1259" s="74">
        <v>40969</v>
      </c>
      <c r="G1259" s="75" t="str">
        <f>IF(stdProdLT(Main[[#This Row],[Comments]])=0.1,"N/A",IF(stdProdLT(Main[[#This Row],[Comments]])=0,"",stdProdLT(Main[[#This Row],[Comments]])))</f>
        <v/>
      </c>
      <c r="H1259" s="76" t="str">
        <f>IF(AND(Main[[#This Row],[In Stock Date]]&lt;&gt;"",Main[[#This Row],[Revised Due Date]]&lt;&gt;""),Main[[#This Row],[In Stock Date]]-Main[[#This Row],[Revised Due Date]],"")</f>
        <v/>
      </c>
      <c r="I1259" s="72" t="s">
        <v>4</v>
      </c>
      <c r="J1259" s="72" t="s">
        <v>4</v>
      </c>
      <c r="K1259" s="72" t="s">
        <v>4</v>
      </c>
      <c r="L1259" s="74"/>
      <c r="M1259" s="77" t="str">
        <f>IF(Main[[#This Row],[Tech Start Date]]&lt;1/1/1990,"",IF(Main[[#This Row],[Class]]="C",WORKDAY(Main[[#This Row],[Tech Start Date]],9),IF(Main[[#This Row],[Class]]="B", WORKDAY(Main[[#This Row],[Tech Start Date]],6),IF(Main[[#This Row],[Class]]="A",WORKDAY(Main[[#This Row],[Tech Start Date]],2),""))))</f>
        <v/>
      </c>
      <c r="N1259" s="77" t="str">
        <f>IF(Main[[#This Row],[Tech Start Date]]&lt;1/1/1990,"",IF(Main[[#This Row],[Class]]="C",WORKDAY(Main[[#This Row],[Tech Start Date]],19),IF(Main[[#This Row],[Class]]="B", WORKDAY(Main[[#This Row],[Tech Start Date]],12),IF(Main[[#This Row],[Class]]="A",WORKDAY(Main[[#This Row],[Tech Start Date]],4),""))))</f>
        <v/>
      </c>
      <c r="O1259" s="77" t="str">
        <f>IF(Main[[#This Row],[Tech Start Date]]&lt;1/1/1990,"",IF(Main[[#This Row],[Class]]="C",WORKDAY(Main[[#This Row],[Tech Start Date]],23),IF(Main[[#This Row],[Class]]="B", WORKDAY(Main[[#This Row],[Tech Start Date]],15),IF(Main[[#This Row],[Class]]="A",WORKDAY(Main[[#This Row],[Tech Start Date]],5),""))))</f>
        <v/>
      </c>
      <c r="P1259" s="77" t="str">
        <f>IF(Main[[#This Row],[Tech Start Date]]&lt;1/1/1990,"",IF(Main[[#This Row],[Class]]="C",WORKDAY(Main[[#This Row],[Tech Start Date]],28),IF(Main[[#This Row],[Class]]="B", WORKDAY(Main[[#This Row],[Tech Start Date]],19),IF(Main[[#This Row],[Class]]="A",WORKDAY(Main[[#This Row],[Tech Start Date]],9),""))))</f>
        <v/>
      </c>
      <c r="Q1259" s="74"/>
      <c r="R1259" s="74"/>
      <c r="S1259" s="72" t="s">
        <v>11</v>
      </c>
      <c r="T1259" s="80" t="s">
        <v>4</v>
      </c>
      <c r="U1259" s="72" t="s">
        <v>14</v>
      </c>
      <c r="V1259" s="72" t="s">
        <v>1937</v>
      </c>
      <c r="W1259" s="72" t="s">
        <v>1943</v>
      </c>
      <c r="X1259" s="72" t="s">
        <v>50</v>
      </c>
      <c r="Y1259" s="72" t="s">
        <v>3248</v>
      </c>
      <c r="Z1259" s="72" t="s">
        <v>4</v>
      </c>
    </row>
    <row r="1260" spans="1:26" ht="18.600000000000001" customHeight="1">
      <c r="A1260" s="142" t="str">
        <f>IF(priority(Main[[#This Row],[Comments]])&lt;&gt;0, priority(Main[[#This Row],[Comments]]),"")</f>
        <v/>
      </c>
      <c r="B1260" s="90" t="s">
        <v>2671</v>
      </c>
      <c r="C1260" s="72" t="s">
        <v>2392</v>
      </c>
      <c r="D1260" s="73" t="s">
        <v>2393</v>
      </c>
      <c r="E1260" s="74"/>
      <c r="F1260" s="74">
        <v>41036</v>
      </c>
      <c r="G1260" s="75" t="str">
        <f>IF(stdProdLT(Main[[#This Row],[Comments]])=0.1,"N/A",IF(stdProdLT(Main[[#This Row],[Comments]])=0,"",stdProdLT(Main[[#This Row],[Comments]])))</f>
        <v/>
      </c>
      <c r="H1260" s="76" t="str">
        <f>IF(AND(Main[[#This Row],[In Stock Date]]&lt;&gt;"",Main[[#This Row],[Revised Due Date]]&lt;&gt;""),Main[[#This Row],[In Stock Date]]-Main[[#This Row],[Revised Due Date]],"")</f>
        <v/>
      </c>
      <c r="I1260" s="72" t="s">
        <v>4</v>
      </c>
      <c r="J1260" s="72" t="s">
        <v>4</v>
      </c>
      <c r="K1260" s="81" t="s">
        <v>4</v>
      </c>
      <c r="L1260" s="74"/>
      <c r="M1260" s="77" t="str">
        <f>IF(Main[[#This Row],[Tech Start Date]]&lt;1/1/1990,"",IF(Main[[#This Row],[Class]]="C",WORKDAY(Main[[#This Row],[Tech Start Date]],9),IF(Main[[#This Row],[Class]]="B", WORKDAY(Main[[#This Row],[Tech Start Date]],6),IF(Main[[#This Row],[Class]]="A",WORKDAY(Main[[#This Row],[Tech Start Date]],2),""))))</f>
        <v/>
      </c>
      <c r="N1260" s="77" t="str">
        <f>IF(Main[[#This Row],[Tech Start Date]]&lt;1/1/1990,"",IF(Main[[#This Row],[Class]]="C",WORKDAY(Main[[#This Row],[Tech Start Date]],19),IF(Main[[#This Row],[Class]]="B", WORKDAY(Main[[#This Row],[Tech Start Date]],12),IF(Main[[#This Row],[Class]]="A",WORKDAY(Main[[#This Row],[Tech Start Date]],4),""))))</f>
        <v/>
      </c>
      <c r="O1260" s="77" t="str">
        <f>IF(Main[[#This Row],[Tech Start Date]]&lt;1/1/1990,"",IF(Main[[#This Row],[Class]]="C",WORKDAY(Main[[#This Row],[Tech Start Date]],23),IF(Main[[#This Row],[Class]]="B", WORKDAY(Main[[#This Row],[Tech Start Date]],15),IF(Main[[#This Row],[Class]]="A",WORKDAY(Main[[#This Row],[Tech Start Date]],5),""))))</f>
        <v/>
      </c>
      <c r="P1260" s="77" t="str">
        <f>IF(Main[[#This Row],[Tech Start Date]]&lt;1/1/1990,"",IF(Main[[#This Row],[Class]]="C",WORKDAY(Main[[#This Row],[Tech Start Date]],28),IF(Main[[#This Row],[Class]]="B", WORKDAY(Main[[#This Row],[Tech Start Date]],19),IF(Main[[#This Row],[Class]]="A",WORKDAY(Main[[#This Row],[Tech Start Date]],9),""))))</f>
        <v/>
      </c>
      <c r="Q1260" s="74">
        <v>40854</v>
      </c>
      <c r="R1260" s="74"/>
      <c r="S1260" s="72" t="s">
        <v>11</v>
      </c>
      <c r="T1260" s="80" t="s">
        <v>4</v>
      </c>
      <c r="U1260" s="72" t="s">
        <v>12</v>
      </c>
      <c r="V1260" s="72" t="s">
        <v>1940</v>
      </c>
      <c r="W1260" s="72" t="s">
        <v>1943</v>
      </c>
      <c r="X1260" s="72" t="s">
        <v>2995</v>
      </c>
      <c r="Y1260" s="72" t="s">
        <v>4</v>
      </c>
      <c r="Z1260" s="72" t="s">
        <v>4</v>
      </c>
    </row>
    <row r="1261" spans="1:26" ht="18.600000000000001" customHeight="1">
      <c r="A1261" s="142" t="str">
        <f>IF(priority(Main[[#This Row],[Comments]])&lt;&gt;0, priority(Main[[#This Row],[Comments]]),"")</f>
        <v/>
      </c>
      <c r="B1261" s="90" t="s">
        <v>2277</v>
      </c>
      <c r="C1261" s="72" t="s">
        <v>2278</v>
      </c>
      <c r="D1261" s="73" t="s">
        <v>2279</v>
      </c>
      <c r="E1261" s="74"/>
      <c r="F1261" s="74"/>
      <c r="G1261" s="75" t="str">
        <f>IF(stdProdLT(Main[[#This Row],[Comments]])=0.1,"N/A",IF(stdProdLT(Main[[#This Row],[Comments]])=0,"",stdProdLT(Main[[#This Row],[Comments]])))</f>
        <v/>
      </c>
      <c r="H1261" s="76" t="str">
        <f>IF(AND(Main[[#This Row],[In Stock Date]]&lt;&gt;"",Main[[#This Row],[Revised Due Date]]&lt;&gt;""),Main[[#This Row],[In Stock Date]]-Main[[#This Row],[Revised Due Date]],"")</f>
        <v/>
      </c>
      <c r="I1261" s="72" t="s">
        <v>2237</v>
      </c>
      <c r="J1261" s="72" t="s">
        <v>4</v>
      </c>
      <c r="K1261" s="72" t="s">
        <v>1946</v>
      </c>
      <c r="L1261" s="74">
        <v>37622</v>
      </c>
      <c r="M1261" s="77">
        <f>IF(Main[[#This Row],[Tech Start Date]]&lt;1/1/1990,"",IF(Main[[#This Row],[Class]]="C",WORKDAY(Main[[#This Row],[Tech Start Date]],9),IF(Main[[#This Row],[Class]]="B", WORKDAY(Main[[#This Row],[Tech Start Date]],6),IF(Main[[#This Row],[Class]]="A",WORKDAY(Main[[#This Row],[Tech Start Date]],2),""))))</f>
        <v>37624</v>
      </c>
      <c r="N1261" s="77">
        <f>IF(Main[[#This Row],[Tech Start Date]]&lt;1/1/1990,"",IF(Main[[#This Row],[Class]]="C",WORKDAY(Main[[#This Row],[Tech Start Date]],19),IF(Main[[#This Row],[Class]]="B", WORKDAY(Main[[#This Row],[Tech Start Date]],12),IF(Main[[#This Row],[Class]]="A",WORKDAY(Main[[#This Row],[Tech Start Date]],4),""))))</f>
        <v>37628</v>
      </c>
      <c r="O1261" s="77">
        <f>IF(Main[[#This Row],[Tech Start Date]]&lt;1/1/1990,"",IF(Main[[#This Row],[Class]]="C",WORKDAY(Main[[#This Row],[Tech Start Date]],23),IF(Main[[#This Row],[Class]]="B", WORKDAY(Main[[#This Row],[Tech Start Date]],15),IF(Main[[#This Row],[Class]]="A",WORKDAY(Main[[#This Row],[Tech Start Date]],5),""))))</f>
        <v>37629</v>
      </c>
      <c r="P1261" s="77">
        <f>IF(Main[[#This Row],[Tech Start Date]]&lt;1/1/1990,"",IF(Main[[#This Row],[Class]]="C",WORKDAY(Main[[#This Row],[Tech Start Date]],28),IF(Main[[#This Row],[Class]]="B", WORKDAY(Main[[#This Row],[Tech Start Date]],19),IF(Main[[#This Row],[Class]]="A",WORKDAY(Main[[#This Row],[Tech Start Date]],9),""))))</f>
        <v>37635</v>
      </c>
      <c r="Q1261" s="74"/>
      <c r="R1261" s="74">
        <v>37623</v>
      </c>
      <c r="S1261" s="72" t="s">
        <v>11</v>
      </c>
      <c r="T1261" s="80" t="s">
        <v>4</v>
      </c>
      <c r="U1261" s="72" t="s">
        <v>14</v>
      </c>
      <c r="V1261" s="72" t="s">
        <v>1952</v>
      </c>
      <c r="W1261" s="72" t="s">
        <v>1945</v>
      </c>
      <c r="X1261" s="72" t="s">
        <v>3066</v>
      </c>
      <c r="Y1261" s="72" t="s">
        <v>3302</v>
      </c>
      <c r="Z1261" s="72" t="s">
        <v>4</v>
      </c>
    </row>
    <row r="1262" spans="1:26" ht="18.600000000000001" customHeight="1">
      <c r="A1262" s="142" t="str">
        <f>IF(priority(Main[[#This Row],[Comments]])&lt;&gt;0, priority(Main[[#This Row],[Comments]]),"")</f>
        <v/>
      </c>
      <c r="B1262" s="90" t="s">
        <v>2316</v>
      </c>
      <c r="C1262" s="72" t="s">
        <v>2235</v>
      </c>
      <c r="D1262" s="73" t="s">
        <v>2236</v>
      </c>
      <c r="E1262" s="74">
        <v>40813.570081018515</v>
      </c>
      <c r="F1262" s="74"/>
      <c r="G1262" s="75" t="str">
        <f>IF(stdProdLT(Main[[#This Row],[Comments]])=0.1,"N/A",IF(stdProdLT(Main[[#This Row],[Comments]])=0,"",stdProdLT(Main[[#This Row],[Comments]])))</f>
        <v/>
      </c>
      <c r="H1262" s="76" t="str">
        <f>IF(AND(Main[[#This Row],[In Stock Date]]&lt;&gt;"",Main[[#This Row],[Revised Due Date]]&lt;&gt;""),Main[[#This Row],[In Stock Date]]-Main[[#This Row],[Revised Due Date]],"")</f>
        <v/>
      </c>
      <c r="I1262" s="72" t="s">
        <v>2237</v>
      </c>
      <c r="J1262" s="72" t="s">
        <v>4</v>
      </c>
      <c r="K1262" s="72" t="s">
        <v>1946</v>
      </c>
      <c r="L1262" s="74">
        <v>37622</v>
      </c>
      <c r="M1262" s="77">
        <f>IF(Main[[#This Row],[Tech Start Date]]&lt;1/1/1990,"",IF(Main[[#This Row],[Class]]="C",WORKDAY(Main[[#This Row],[Tech Start Date]],9),IF(Main[[#This Row],[Class]]="B", WORKDAY(Main[[#This Row],[Tech Start Date]],6),IF(Main[[#This Row],[Class]]="A",WORKDAY(Main[[#This Row],[Tech Start Date]],2),""))))</f>
        <v>37624</v>
      </c>
      <c r="N1262" s="77">
        <f>IF(Main[[#This Row],[Tech Start Date]]&lt;1/1/1990,"",IF(Main[[#This Row],[Class]]="C",WORKDAY(Main[[#This Row],[Tech Start Date]],19),IF(Main[[#This Row],[Class]]="B", WORKDAY(Main[[#This Row],[Tech Start Date]],12),IF(Main[[#This Row],[Class]]="A",WORKDAY(Main[[#This Row],[Tech Start Date]],4),""))))</f>
        <v>37628</v>
      </c>
      <c r="O1262" s="77">
        <f>IF(Main[[#This Row],[Tech Start Date]]&lt;1/1/1990,"",IF(Main[[#This Row],[Class]]="C",WORKDAY(Main[[#This Row],[Tech Start Date]],23),IF(Main[[#This Row],[Class]]="B", WORKDAY(Main[[#This Row],[Tech Start Date]],15),IF(Main[[#This Row],[Class]]="A",WORKDAY(Main[[#This Row],[Tech Start Date]],5),""))))</f>
        <v>37629</v>
      </c>
      <c r="P1262" s="77">
        <f>IF(Main[[#This Row],[Tech Start Date]]&lt;1/1/1990,"",IF(Main[[#This Row],[Class]]="C",WORKDAY(Main[[#This Row],[Tech Start Date]],28),IF(Main[[#This Row],[Class]]="B", WORKDAY(Main[[#This Row],[Tech Start Date]],19),IF(Main[[#This Row],[Class]]="A",WORKDAY(Main[[#This Row],[Tech Start Date]],9),""))))</f>
        <v>37635</v>
      </c>
      <c r="Q1262" s="74"/>
      <c r="R1262" s="74">
        <v>37623</v>
      </c>
      <c r="S1262" s="72" t="s">
        <v>11</v>
      </c>
      <c r="T1262" s="80" t="s">
        <v>4</v>
      </c>
      <c r="U1262" s="72" t="s">
        <v>29</v>
      </c>
      <c r="V1262" s="72" t="s">
        <v>2317</v>
      </c>
      <c r="W1262" s="72" t="s">
        <v>1945</v>
      </c>
      <c r="X1262" s="72" t="s">
        <v>2237</v>
      </c>
      <c r="Y1262" s="72" t="s">
        <v>3302</v>
      </c>
      <c r="Z1262" s="72" t="s">
        <v>4</v>
      </c>
    </row>
    <row r="1263" spans="1:26" ht="18.600000000000001" customHeight="1">
      <c r="A1263" s="142" t="str">
        <f>IF(priority(Main[[#This Row],[Comments]])&lt;&gt;0, priority(Main[[#This Row],[Comments]]),"")</f>
        <v/>
      </c>
      <c r="B1263" s="90" t="s">
        <v>2276</v>
      </c>
      <c r="C1263" s="72" t="s">
        <v>2235</v>
      </c>
      <c r="D1263" s="73" t="s">
        <v>2236</v>
      </c>
      <c r="E1263" s="74"/>
      <c r="F1263" s="74"/>
      <c r="G1263" s="75" t="str">
        <f>IF(stdProdLT(Main[[#This Row],[Comments]])=0.1,"N/A",IF(stdProdLT(Main[[#This Row],[Comments]])=0,"",stdProdLT(Main[[#This Row],[Comments]])))</f>
        <v/>
      </c>
      <c r="H1263" s="76" t="str">
        <f>IF(AND(Main[[#This Row],[In Stock Date]]&lt;&gt;"",Main[[#This Row],[Revised Due Date]]&lt;&gt;""),Main[[#This Row],[In Stock Date]]-Main[[#This Row],[Revised Due Date]],"")</f>
        <v/>
      </c>
      <c r="I1263" s="72" t="s">
        <v>2237</v>
      </c>
      <c r="J1263" s="72" t="s">
        <v>4</v>
      </c>
      <c r="K1263" s="72" t="s">
        <v>1946</v>
      </c>
      <c r="L1263" s="74">
        <v>37622</v>
      </c>
      <c r="M1263" s="77">
        <f>IF(Main[[#This Row],[Tech Start Date]]&lt;1/1/1990,"",IF(Main[[#This Row],[Class]]="C",WORKDAY(Main[[#This Row],[Tech Start Date]],9),IF(Main[[#This Row],[Class]]="B", WORKDAY(Main[[#This Row],[Tech Start Date]],6),IF(Main[[#This Row],[Class]]="A",WORKDAY(Main[[#This Row],[Tech Start Date]],2),""))))</f>
        <v>37624</v>
      </c>
      <c r="N1263" s="77">
        <f>IF(Main[[#This Row],[Tech Start Date]]&lt;1/1/1990,"",IF(Main[[#This Row],[Class]]="C",WORKDAY(Main[[#This Row],[Tech Start Date]],19),IF(Main[[#This Row],[Class]]="B", WORKDAY(Main[[#This Row],[Tech Start Date]],12),IF(Main[[#This Row],[Class]]="A",WORKDAY(Main[[#This Row],[Tech Start Date]],4),""))))</f>
        <v>37628</v>
      </c>
      <c r="O1263" s="77">
        <f>IF(Main[[#This Row],[Tech Start Date]]&lt;1/1/1990,"",IF(Main[[#This Row],[Class]]="C",WORKDAY(Main[[#This Row],[Tech Start Date]],23),IF(Main[[#This Row],[Class]]="B", WORKDAY(Main[[#This Row],[Tech Start Date]],15),IF(Main[[#This Row],[Class]]="A",WORKDAY(Main[[#This Row],[Tech Start Date]],5),""))))</f>
        <v>37629</v>
      </c>
      <c r="P1263" s="77">
        <f>IF(Main[[#This Row],[Tech Start Date]]&lt;1/1/1990,"",IF(Main[[#This Row],[Class]]="C",WORKDAY(Main[[#This Row],[Tech Start Date]],28),IF(Main[[#This Row],[Class]]="B", WORKDAY(Main[[#This Row],[Tech Start Date]],19),IF(Main[[#This Row],[Class]]="A",WORKDAY(Main[[#This Row],[Tech Start Date]],9),""))))</f>
        <v>37635</v>
      </c>
      <c r="Q1263" s="74"/>
      <c r="R1263" s="74">
        <v>37623</v>
      </c>
      <c r="S1263" s="72" t="s">
        <v>11</v>
      </c>
      <c r="T1263" s="80" t="s">
        <v>4</v>
      </c>
      <c r="U1263" s="72" t="s">
        <v>14</v>
      </c>
      <c r="V1263" s="72" t="s">
        <v>1952</v>
      </c>
      <c r="W1263" s="72" t="s">
        <v>1945</v>
      </c>
      <c r="X1263" s="72" t="s">
        <v>2237</v>
      </c>
      <c r="Y1263" s="72" t="s">
        <v>3302</v>
      </c>
      <c r="Z1263" s="72" t="s">
        <v>4</v>
      </c>
    </row>
    <row r="1264" spans="1:26" ht="18.600000000000001" customHeight="1">
      <c r="A1264" s="142" t="str">
        <f>IF(priority(Main[[#This Row],[Comments]])&lt;&gt;0, priority(Main[[#This Row],[Comments]]),"")</f>
        <v/>
      </c>
      <c r="B1264" s="90" t="s">
        <v>2234</v>
      </c>
      <c r="C1264" s="72" t="s">
        <v>2235</v>
      </c>
      <c r="D1264" s="73" t="s">
        <v>2236</v>
      </c>
      <c r="E1264" s="74"/>
      <c r="F1264" s="74"/>
      <c r="G1264" s="75" t="str">
        <f>IF(stdProdLT(Main[[#This Row],[Comments]])=0.1,"N/A",IF(stdProdLT(Main[[#This Row],[Comments]])=0,"",stdProdLT(Main[[#This Row],[Comments]])))</f>
        <v/>
      </c>
      <c r="H1264" s="76" t="str">
        <f>IF(AND(Main[[#This Row],[In Stock Date]]&lt;&gt;"",Main[[#This Row],[Revised Due Date]]&lt;&gt;""),Main[[#This Row],[In Stock Date]]-Main[[#This Row],[Revised Due Date]],"")</f>
        <v/>
      </c>
      <c r="I1264" s="72" t="s">
        <v>2237</v>
      </c>
      <c r="J1264" s="72" t="s">
        <v>4</v>
      </c>
      <c r="K1264" s="72" t="s">
        <v>1946</v>
      </c>
      <c r="L1264" s="74">
        <v>37622</v>
      </c>
      <c r="M1264" s="77">
        <f>IF(Main[[#This Row],[Tech Start Date]]&lt;1/1/1990,"",IF(Main[[#This Row],[Class]]="C",WORKDAY(Main[[#This Row],[Tech Start Date]],9),IF(Main[[#This Row],[Class]]="B", WORKDAY(Main[[#This Row],[Tech Start Date]],6),IF(Main[[#This Row],[Class]]="A",WORKDAY(Main[[#This Row],[Tech Start Date]],2),""))))</f>
        <v>37624</v>
      </c>
      <c r="N1264" s="77">
        <f>IF(Main[[#This Row],[Tech Start Date]]&lt;1/1/1990,"",IF(Main[[#This Row],[Class]]="C",WORKDAY(Main[[#This Row],[Tech Start Date]],19),IF(Main[[#This Row],[Class]]="B", WORKDAY(Main[[#This Row],[Tech Start Date]],12),IF(Main[[#This Row],[Class]]="A",WORKDAY(Main[[#This Row],[Tech Start Date]],4),""))))</f>
        <v>37628</v>
      </c>
      <c r="O1264" s="77">
        <f>IF(Main[[#This Row],[Tech Start Date]]&lt;1/1/1990,"",IF(Main[[#This Row],[Class]]="C",WORKDAY(Main[[#This Row],[Tech Start Date]],23),IF(Main[[#This Row],[Class]]="B", WORKDAY(Main[[#This Row],[Tech Start Date]],15),IF(Main[[#This Row],[Class]]="A",WORKDAY(Main[[#This Row],[Tech Start Date]],5),""))))</f>
        <v>37629</v>
      </c>
      <c r="P1264" s="77">
        <f>IF(Main[[#This Row],[Tech Start Date]]&lt;1/1/1990,"",IF(Main[[#This Row],[Class]]="C",WORKDAY(Main[[#This Row],[Tech Start Date]],28),IF(Main[[#This Row],[Class]]="B", WORKDAY(Main[[#This Row],[Tech Start Date]],19),IF(Main[[#This Row],[Class]]="A",WORKDAY(Main[[#This Row],[Tech Start Date]],9),""))))</f>
        <v>37635</v>
      </c>
      <c r="Q1264" s="74"/>
      <c r="R1264" s="74">
        <v>37623</v>
      </c>
      <c r="S1264" s="72" t="s">
        <v>11</v>
      </c>
      <c r="T1264" s="80" t="s">
        <v>4</v>
      </c>
      <c r="U1264" s="72" t="s">
        <v>14</v>
      </c>
      <c r="V1264" s="72" t="s">
        <v>1952</v>
      </c>
      <c r="W1264" s="72" t="s">
        <v>1945</v>
      </c>
      <c r="X1264" s="72" t="s">
        <v>2237</v>
      </c>
      <c r="Y1264" s="72" t="s">
        <v>3302</v>
      </c>
      <c r="Z1264" s="72" t="s">
        <v>4</v>
      </c>
    </row>
    <row r="1265" spans="1:26" ht="18.600000000000001" customHeight="1">
      <c r="A1265" s="142" t="str">
        <f>IF(priority(Main[[#This Row],[Comments]])&lt;&gt;0, priority(Main[[#This Row],[Comments]]),"")</f>
        <v/>
      </c>
      <c r="B1265" s="90" t="s">
        <v>1832</v>
      </c>
      <c r="C1265" s="72" t="s">
        <v>869</v>
      </c>
      <c r="D1265" s="73" t="s">
        <v>873</v>
      </c>
      <c r="E1265" s="74">
        <v>40085.252314814818</v>
      </c>
      <c r="F1265" s="74">
        <v>40421</v>
      </c>
      <c r="G1265" s="75" t="str">
        <f>IF(stdProdLT(Main[[#This Row],[Comments]])=0.1,"N/A",IF(stdProdLT(Main[[#This Row],[Comments]])=0,"",stdProdLT(Main[[#This Row],[Comments]])))</f>
        <v/>
      </c>
      <c r="H1265" s="76">
        <f>IF(AND(Main[[#This Row],[In Stock Date]]&lt;&gt;"",Main[[#This Row],[Revised Due Date]]&lt;&gt;""),Main[[#This Row],[In Stock Date]]-Main[[#This Row],[Revised Due Date]],"")</f>
        <v>193</v>
      </c>
      <c r="I1265" s="72" t="s">
        <v>866</v>
      </c>
      <c r="J1265" s="72" t="s">
        <v>4</v>
      </c>
      <c r="K1265" s="81" t="s">
        <v>1949</v>
      </c>
      <c r="L1265" s="74">
        <v>40091</v>
      </c>
      <c r="M1265" s="77" t="str">
        <f>IF(Main[[#This Row],[Tech Start Date]]&lt;1/1/1990,"",IF(Main[[#This Row],[Class]]="C",WORKDAY(Main[[#This Row],[Tech Start Date]],9),IF(Main[[#This Row],[Class]]="B", WORKDAY(Main[[#This Row],[Tech Start Date]],6),IF(Main[[#This Row],[Class]]="A",WORKDAY(Main[[#This Row],[Tech Start Date]],2),""))))</f>
        <v/>
      </c>
      <c r="N1265" s="77" t="str">
        <f>IF(Main[[#This Row],[Tech Start Date]]&lt;1/1/1990,"",IF(Main[[#This Row],[Class]]="C",WORKDAY(Main[[#This Row],[Tech Start Date]],19),IF(Main[[#This Row],[Class]]="B", WORKDAY(Main[[#This Row],[Tech Start Date]],12),IF(Main[[#This Row],[Class]]="A",WORKDAY(Main[[#This Row],[Tech Start Date]],4),""))))</f>
        <v/>
      </c>
      <c r="O1265" s="77" t="str">
        <f>IF(Main[[#This Row],[Tech Start Date]]&lt;1/1/1990,"",IF(Main[[#This Row],[Class]]="C",WORKDAY(Main[[#This Row],[Tech Start Date]],23),IF(Main[[#This Row],[Class]]="B", WORKDAY(Main[[#This Row],[Tech Start Date]],15),IF(Main[[#This Row],[Class]]="A",WORKDAY(Main[[#This Row],[Tech Start Date]],5),""))))</f>
        <v/>
      </c>
      <c r="P1265" s="77" t="str">
        <f>IF(Main[[#This Row],[Tech Start Date]]&lt;1/1/1990,"",IF(Main[[#This Row],[Class]]="C",WORKDAY(Main[[#This Row],[Tech Start Date]],28),IF(Main[[#This Row],[Class]]="B", WORKDAY(Main[[#This Row],[Tech Start Date]],19),IF(Main[[#This Row],[Class]]="A",WORKDAY(Main[[#This Row],[Tech Start Date]],9),""))))</f>
        <v/>
      </c>
      <c r="Q1265" s="74">
        <v>40239</v>
      </c>
      <c r="R1265" s="74">
        <v>40228</v>
      </c>
      <c r="S1265" s="72" t="s">
        <v>17</v>
      </c>
      <c r="T1265" s="80" t="s">
        <v>4</v>
      </c>
      <c r="U1265" s="72" t="s">
        <v>29</v>
      </c>
      <c r="V1265" s="72" t="s">
        <v>1940</v>
      </c>
      <c r="W1265" s="72" t="s">
        <v>1942</v>
      </c>
      <c r="X1265" s="72" t="s">
        <v>3067</v>
      </c>
      <c r="Y1265" s="72" t="s">
        <v>4</v>
      </c>
      <c r="Z1265" s="72" t="s">
        <v>866</v>
      </c>
    </row>
    <row r="1266" spans="1:26" ht="18.600000000000001" customHeight="1">
      <c r="A1266" s="142" t="str">
        <f>IF(priority(Main[[#This Row],[Comments]])&lt;&gt;0, priority(Main[[#This Row],[Comments]]),"")</f>
        <v/>
      </c>
      <c r="B1266" s="90" t="s">
        <v>1825</v>
      </c>
      <c r="C1266" s="72" t="s">
        <v>93</v>
      </c>
      <c r="D1266" s="73" t="s">
        <v>864</v>
      </c>
      <c r="E1266" s="74"/>
      <c r="F1266" s="74">
        <v>40238</v>
      </c>
      <c r="G1266" s="75" t="str">
        <f>IF(stdProdLT(Main[[#This Row],[Comments]])=0.1,"N/A",IF(stdProdLT(Main[[#This Row],[Comments]])=0,"",stdProdLT(Main[[#This Row],[Comments]])))</f>
        <v/>
      </c>
      <c r="H1266" s="76">
        <f>IF(AND(Main[[#This Row],[In Stock Date]]&lt;&gt;"",Main[[#This Row],[Revised Due Date]]&lt;&gt;""),Main[[#This Row],[In Stock Date]]-Main[[#This Row],[Revised Due Date]],"")</f>
        <v>81</v>
      </c>
      <c r="I1266" s="72" t="s">
        <v>44</v>
      </c>
      <c r="J1266" s="72" t="s">
        <v>4</v>
      </c>
      <c r="K1266" s="72" t="s">
        <v>4</v>
      </c>
      <c r="L1266" s="74">
        <v>40127</v>
      </c>
      <c r="M1266" s="77" t="str">
        <f>IF(Main[[#This Row],[Tech Start Date]]&lt;1/1/1990,"",IF(Main[[#This Row],[Class]]="C",WORKDAY(Main[[#This Row],[Tech Start Date]],9),IF(Main[[#This Row],[Class]]="B", WORKDAY(Main[[#This Row],[Tech Start Date]],6),IF(Main[[#This Row],[Class]]="A",WORKDAY(Main[[#This Row],[Tech Start Date]],2),""))))</f>
        <v/>
      </c>
      <c r="N1266" s="77" t="str">
        <f>IF(Main[[#This Row],[Tech Start Date]]&lt;1/1/1990,"",IF(Main[[#This Row],[Class]]="C",WORKDAY(Main[[#This Row],[Tech Start Date]],19),IF(Main[[#This Row],[Class]]="B", WORKDAY(Main[[#This Row],[Tech Start Date]],12),IF(Main[[#This Row],[Class]]="A",WORKDAY(Main[[#This Row],[Tech Start Date]],4),""))))</f>
        <v/>
      </c>
      <c r="O1266" s="77" t="str">
        <f>IF(Main[[#This Row],[Tech Start Date]]&lt;1/1/1990,"",IF(Main[[#This Row],[Class]]="C",WORKDAY(Main[[#This Row],[Tech Start Date]],23),IF(Main[[#This Row],[Class]]="B", WORKDAY(Main[[#This Row],[Tech Start Date]],15),IF(Main[[#This Row],[Class]]="A",WORKDAY(Main[[#This Row],[Tech Start Date]],5),""))))</f>
        <v/>
      </c>
      <c r="P1266" s="77" t="str">
        <f>IF(Main[[#This Row],[Tech Start Date]]&lt;1/1/1990,"",IF(Main[[#This Row],[Class]]="C",WORKDAY(Main[[#This Row],[Tech Start Date]],28),IF(Main[[#This Row],[Class]]="B", WORKDAY(Main[[#This Row],[Tech Start Date]],19),IF(Main[[#This Row],[Class]]="A",WORKDAY(Main[[#This Row],[Tech Start Date]],9),""))))</f>
        <v/>
      </c>
      <c r="Q1266" s="74">
        <v>40223</v>
      </c>
      <c r="R1266" s="74">
        <v>40157</v>
      </c>
      <c r="S1266" s="72" t="s">
        <v>11</v>
      </c>
      <c r="T1266" s="80" t="s">
        <v>4</v>
      </c>
      <c r="U1266" s="72" t="s">
        <v>14</v>
      </c>
      <c r="V1266" s="72" t="s">
        <v>1947</v>
      </c>
      <c r="W1266" s="72" t="s">
        <v>1948</v>
      </c>
      <c r="X1266" s="72" t="s">
        <v>2997</v>
      </c>
      <c r="Y1266" s="72" t="s">
        <v>4</v>
      </c>
      <c r="Z1266" s="72" t="s">
        <v>4</v>
      </c>
    </row>
    <row r="1267" spans="1:26" ht="18.600000000000001" customHeight="1">
      <c r="A1267" s="142" t="str">
        <f>IF(priority(Main[[#This Row],[Comments]])&lt;&gt;0, priority(Main[[#This Row],[Comments]]),"")</f>
        <v/>
      </c>
      <c r="B1267" s="90" t="s">
        <v>1199</v>
      </c>
      <c r="C1267" s="72" t="s">
        <v>4</v>
      </c>
      <c r="D1267" s="73" t="s">
        <v>241</v>
      </c>
      <c r="E1267" s="74"/>
      <c r="F1267" s="74"/>
      <c r="G1267" s="75" t="str">
        <f>IF(stdProdLT(Main[[#This Row],[Comments]])=0.1,"N/A",IF(stdProdLT(Main[[#This Row],[Comments]])=0,"",stdProdLT(Main[[#This Row],[Comments]])))</f>
        <v/>
      </c>
      <c r="H1267" s="76" t="str">
        <f>IF(AND(Main[[#This Row],[In Stock Date]]&lt;&gt;"",Main[[#This Row],[Revised Due Date]]&lt;&gt;""),Main[[#This Row],[In Stock Date]]-Main[[#This Row],[Revised Due Date]],"")</f>
        <v/>
      </c>
      <c r="I1267" s="72" t="s">
        <v>242</v>
      </c>
      <c r="J1267" s="72" t="s">
        <v>4</v>
      </c>
      <c r="K1267" s="81" t="s">
        <v>4</v>
      </c>
      <c r="L1267" s="74">
        <v>40134</v>
      </c>
      <c r="M1267" s="77" t="str">
        <f>IF(Main[[#This Row],[Tech Start Date]]&lt;1/1/1990,"",IF(Main[[#This Row],[Class]]="C",WORKDAY(Main[[#This Row],[Tech Start Date]],9),IF(Main[[#This Row],[Class]]="B", WORKDAY(Main[[#This Row],[Tech Start Date]],6),IF(Main[[#This Row],[Class]]="A",WORKDAY(Main[[#This Row],[Tech Start Date]],2),""))))</f>
        <v/>
      </c>
      <c r="N1267" s="77" t="str">
        <f>IF(Main[[#This Row],[Tech Start Date]]&lt;1/1/1990,"",IF(Main[[#This Row],[Class]]="C",WORKDAY(Main[[#This Row],[Tech Start Date]],19),IF(Main[[#This Row],[Class]]="B", WORKDAY(Main[[#This Row],[Tech Start Date]],12),IF(Main[[#This Row],[Class]]="A",WORKDAY(Main[[#This Row],[Tech Start Date]],4),""))))</f>
        <v/>
      </c>
      <c r="O1267" s="77" t="str">
        <f>IF(Main[[#This Row],[Tech Start Date]]&lt;1/1/1990,"",IF(Main[[#This Row],[Class]]="C",WORKDAY(Main[[#This Row],[Tech Start Date]],23),IF(Main[[#This Row],[Class]]="B", WORKDAY(Main[[#This Row],[Tech Start Date]],15),IF(Main[[#This Row],[Class]]="A",WORKDAY(Main[[#This Row],[Tech Start Date]],5),""))))</f>
        <v/>
      </c>
      <c r="P1267" s="77" t="str">
        <f>IF(Main[[#This Row],[Tech Start Date]]&lt;1/1/1990,"",IF(Main[[#This Row],[Class]]="C",WORKDAY(Main[[#This Row],[Tech Start Date]],28),IF(Main[[#This Row],[Class]]="B", WORKDAY(Main[[#This Row],[Tech Start Date]],19),IF(Main[[#This Row],[Class]]="A",WORKDAY(Main[[#This Row],[Tech Start Date]],9),""))))</f>
        <v/>
      </c>
      <c r="Q1267" s="74"/>
      <c r="R1267" s="74"/>
      <c r="S1267" s="72" t="s">
        <v>6</v>
      </c>
      <c r="T1267" s="80" t="s">
        <v>4</v>
      </c>
      <c r="U1267" s="72" t="s">
        <v>14</v>
      </c>
      <c r="V1267" s="72" t="s">
        <v>1940</v>
      </c>
      <c r="W1267" s="72" t="s">
        <v>4</v>
      </c>
      <c r="X1267" s="72" t="s">
        <v>2974</v>
      </c>
      <c r="Y1267" s="72" t="s">
        <v>3303</v>
      </c>
      <c r="Z1267" s="72" t="s">
        <v>4</v>
      </c>
    </row>
    <row r="1268" spans="1:26" ht="18.600000000000001" customHeight="1">
      <c r="A1268" s="142" t="str">
        <f>IF(priority(Main[[#This Row],[Comments]])&lt;&gt;0, priority(Main[[#This Row],[Comments]]),"")</f>
        <v/>
      </c>
      <c r="B1268" s="90" t="s">
        <v>1872</v>
      </c>
      <c r="C1268" s="72" t="s">
        <v>871</v>
      </c>
      <c r="D1268" s="73" t="s">
        <v>920</v>
      </c>
      <c r="E1268" s="74"/>
      <c r="F1268" s="74">
        <v>40305</v>
      </c>
      <c r="G1268" s="75" t="str">
        <f>IF(stdProdLT(Main[[#This Row],[Comments]])=0.1,"N/A",IF(stdProdLT(Main[[#This Row],[Comments]])=0,"",stdProdLT(Main[[#This Row],[Comments]])))</f>
        <v/>
      </c>
      <c r="H1268" s="76">
        <f>IF(AND(Main[[#This Row],[In Stock Date]]&lt;&gt;"",Main[[#This Row],[Revised Due Date]]&lt;&gt;""),Main[[#This Row],[In Stock Date]]-Main[[#This Row],[Revised Due Date]],"")</f>
        <v>-226</v>
      </c>
      <c r="I1268" s="72" t="s">
        <v>437</v>
      </c>
      <c r="J1268" s="72" t="s">
        <v>4</v>
      </c>
      <c r="K1268" s="72" t="s">
        <v>1944</v>
      </c>
      <c r="L1268" s="74">
        <v>40162</v>
      </c>
      <c r="M1268" s="77">
        <f>IF(Main[[#This Row],[Tech Start Date]]&lt;1/1/1990,"",IF(Main[[#This Row],[Class]]="C",WORKDAY(Main[[#This Row],[Tech Start Date]],9),IF(Main[[#This Row],[Class]]="B", WORKDAY(Main[[#This Row],[Tech Start Date]],6),IF(Main[[#This Row],[Class]]="A",WORKDAY(Main[[#This Row],[Tech Start Date]],2),""))))</f>
        <v>40170</v>
      </c>
      <c r="N1268" s="77">
        <f>IF(Main[[#This Row],[Tech Start Date]]&lt;1/1/1990,"",IF(Main[[#This Row],[Class]]="C",WORKDAY(Main[[#This Row],[Tech Start Date]],19),IF(Main[[#This Row],[Class]]="B", WORKDAY(Main[[#This Row],[Tech Start Date]],12),IF(Main[[#This Row],[Class]]="A",WORKDAY(Main[[#This Row],[Tech Start Date]],4),""))))</f>
        <v>40178</v>
      </c>
      <c r="O1268" s="77">
        <f>IF(Main[[#This Row],[Tech Start Date]]&lt;1/1/1990,"",IF(Main[[#This Row],[Class]]="C",WORKDAY(Main[[#This Row],[Tech Start Date]],23),IF(Main[[#This Row],[Class]]="B", WORKDAY(Main[[#This Row],[Tech Start Date]],15),IF(Main[[#This Row],[Class]]="A",WORKDAY(Main[[#This Row],[Tech Start Date]],5),""))))</f>
        <v>40183</v>
      </c>
      <c r="P1268" s="77">
        <f>IF(Main[[#This Row],[Tech Start Date]]&lt;1/1/1990,"",IF(Main[[#This Row],[Class]]="C",WORKDAY(Main[[#This Row],[Tech Start Date]],28),IF(Main[[#This Row],[Class]]="B", WORKDAY(Main[[#This Row],[Tech Start Date]],19),IF(Main[[#This Row],[Class]]="A",WORKDAY(Main[[#This Row],[Tech Start Date]],9),""))))</f>
        <v>40189</v>
      </c>
      <c r="Q1268" s="74">
        <v>40531</v>
      </c>
      <c r="R1268" s="74">
        <v>40531</v>
      </c>
      <c r="S1268" s="72" t="s">
        <v>11</v>
      </c>
      <c r="T1268" s="80" t="s">
        <v>4</v>
      </c>
      <c r="U1268" s="72" t="s">
        <v>14</v>
      </c>
      <c r="V1268" s="72" t="s">
        <v>1940</v>
      </c>
      <c r="W1268" s="72" t="s">
        <v>1945</v>
      </c>
      <c r="X1268" s="72" t="s">
        <v>3068</v>
      </c>
      <c r="Y1268" s="72" t="s">
        <v>4</v>
      </c>
      <c r="Z1268" s="72" t="s">
        <v>4</v>
      </c>
    </row>
    <row r="1269" spans="1:26" ht="18.600000000000001" customHeight="1">
      <c r="A1269" s="142" t="str">
        <f>IF(priority(Main[[#This Row],[Comments]])&lt;&gt;0, priority(Main[[#This Row],[Comments]]),"")</f>
        <v/>
      </c>
      <c r="B1269" s="90" t="s">
        <v>1829</v>
      </c>
      <c r="C1269" s="72" t="s">
        <v>31</v>
      </c>
      <c r="D1269" s="73" t="s">
        <v>868</v>
      </c>
      <c r="E1269" s="74"/>
      <c r="F1269" s="74">
        <v>40192</v>
      </c>
      <c r="G1269" s="75" t="str">
        <f>IF(stdProdLT(Main[[#This Row],[Comments]])=0.1,"N/A",IF(stdProdLT(Main[[#This Row],[Comments]])=0,"",stdProdLT(Main[[#This Row],[Comments]])))</f>
        <v/>
      </c>
      <c r="H1269" s="76">
        <f>IF(AND(Main[[#This Row],[In Stock Date]]&lt;&gt;"",Main[[#This Row],[Revised Due Date]]&lt;&gt;""),Main[[#This Row],[In Stock Date]]-Main[[#This Row],[Revised Due Date]],"")</f>
        <v>0</v>
      </c>
      <c r="I1269" s="72" t="s">
        <v>777</v>
      </c>
      <c r="J1269" s="72" t="s">
        <v>4</v>
      </c>
      <c r="K1269" s="81" t="s">
        <v>4</v>
      </c>
      <c r="L1269" s="74">
        <v>40163</v>
      </c>
      <c r="M1269" s="77" t="str">
        <f>IF(Main[[#This Row],[Tech Start Date]]&lt;1/1/1990,"",IF(Main[[#This Row],[Class]]="C",WORKDAY(Main[[#This Row],[Tech Start Date]],9),IF(Main[[#This Row],[Class]]="B", WORKDAY(Main[[#This Row],[Tech Start Date]],6),IF(Main[[#This Row],[Class]]="A",WORKDAY(Main[[#This Row],[Tech Start Date]],2),""))))</f>
        <v/>
      </c>
      <c r="N1269" s="77" t="str">
        <f>IF(Main[[#This Row],[Tech Start Date]]&lt;1/1/1990,"",IF(Main[[#This Row],[Class]]="C",WORKDAY(Main[[#This Row],[Tech Start Date]],19),IF(Main[[#This Row],[Class]]="B", WORKDAY(Main[[#This Row],[Tech Start Date]],12),IF(Main[[#This Row],[Class]]="A",WORKDAY(Main[[#This Row],[Tech Start Date]],4),""))))</f>
        <v/>
      </c>
      <c r="O1269" s="77" t="str">
        <f>IF(Main[[#This Row],[Tech Start Date]]&lt;1/1/1990,"",IF(Main[[#This Row],[Class]]="C",WORKDAY(Main[[#This Row],[Tech Start Date]],23),IF(Main[[#This Row],[Class]]="B", WORKDAY(Main[[#This Row],[Tech Start Date]],15),IF(Main[[#This Row],[Class]]="A",WORKDAY(Main[[#This Row],[Tech Start Date]],5),""))))</f>
        <v/>
      </c>
      <c r="P1269" s="77" t="str">
        <f>IF(Main[[#This Row],[Tech Start Date]]&lt;1/1/1990,"",IF(Main[[#This Row],[Class]]="C",WORKDAY(Main[[#This Row],[Tech Start Date]],28),IF(Main[[#This Row],[Class]]="B", WORKDAY(Main[[#This Row],[Tech Start Date]],19),IF(Main[[#This Row],[Class]]="A",WORKDAY(Main[[#This Row],[Tech Start Date]],9),""))))</f>
        <v/>
      </c>
      <c r="Q1269" s="74">
        <v>40226</v>
      </c>
      <c r="R1269" s="74">
        <v>40192</v>
      </c>
      <c r="S1269" s="72" t="s">
        <v>11</v>
      </c>
      <c r="T1269" s="80" t="s">
        <v>4</v>
      </c>
      <c r="U1269" s="72" t="s">
        <v>14</v>
      </c>
      <c r="V1269" s="72" t="s">
        <v>1947</v>
      </c>
      <c r="W1269" s="72" t="s">
        <v>1943</v>
      </c>
      <c r="X1269" s="72" t="s">
        <v>3023</v>
      </c>
      <c r="Y1269" s="72" t="s">
        <v>4</v>
      </c>
      <c r="Z1269" s="72" t="s">
        <v>4</v>
      </c>
    </row>
    <row r="1270" spans="1:26" ht="18.600000000000001" customHeight="1">
      <c r="A1270" s="142" t="str">
        <f>IF(priority(Main[[#This Row],[Comments]])&lt;&gt;0, priority(Main[[#This Row],[Comments]]),"")</f>
        <v/>
      </c>
      <c r="B1270" s="90" t="s">
        <v>1828</v>
      </c>
      <c r="C1270" s="72" t="s">
        <v>31</v>
      </c>
      <c r="D1270" s="73" t="s">
        <v>867</v>
      </c>
      <c r="E1270" s="74"/>
      <c r="F1270" s="74">
        <v>40192</v>
      </c>
      <c r="G1270" s="75" t="str">
        <f>IF(stdProdLT(Main[[#This Row],[Comments]])=0.1,"N/A",IF(stdProdLT(Main[[#This Row],[Comments]])=0,"",stdProdLT(Main[[#This Row],[Comments]])))</f>
        <v/>
      </c>
      <c r="H1270" s="76">
        <f>IF(AND(Main[[#This Row],[In Stock Date]]&lt;&gt;"",Main[[#This Row],[Revised Due Date]]&lt;&gt;""),Main[[#This Row],[In Stock Date]]-Main[[#This Row],[Revised Due Date]],"")</f>
        <v>0</v>
      </c>
      <c r="I1270" s="72" t="s">
        <v>777</v>
      </c>
      <c r="J1270" s="72" t="s">
        <v>4</v>
      </c>
      <c r="K1270" s="72" t="s">
        <v>4</v>
      </c>
      <c r="L1270" s="74">
        <v>40163</v>
      </c>
      <c r="M1270" s="77" t="str">
        <f>IF(Main[[#This Row],[Tech Start Date]]&lt;1/1/1990,"",IF(Main[[#This Row],[Class]]="C",WORKDAY(Main[[#This Row],[Tech Start Date]],9),IF(Main[[#This Row],[Class]]="B", WORKDAY(Main[[#This Row],[Tech Start Date]],6),IF(Main[[#This Row],[Class]]="A",WORKDAY(Main[[#This Row],[Tech Start Date]],2),""))))</f>
        <v/>
      </c>
      <c r="N1270" s="77" t="str">
        <f>IF(Main[[#This Row],[Tech Start Date]]&lt;1/1/1990,"",IF(Main[[#This Row],[Class]]="C",WORKDAY(Main[[#This Row],[Tech Start Date]],19),IF(Main[[#This Row],[Class]]="B", WORKDAY(Main[[#This Row],[Tech Start Date]],12),IF(Main[[#This Row],[Class]]="A",WORKDAY(Main[[#This Row],[Tech Start Date]],4),""))))</f>
        <v/>
      </c>
      <c r="O1270" s="77" t="str">
        <f>IF(Main[[#This Row],[Tech Start Date]]&lt;1/1/1990,"",IF(Main[[#This Row],[Class]]="C",WORKDAY(Main[[#This Row],[Tech Start Date]],23),IF(Main[[#This Row],[Class]]="B", WORKDAY(Main[[#This Row],[Tech Start Date]],15),IF(Main[[#This Row],[Class]]="A",WORKDAY(Main[[#This Row],[Tech Start Date]],5),""))))</f>
        <v/>
      </c>
      <c r="P1270" s="77" t="str">
        <f>IF(Main[[#This Row],[Tech Start Date]]&lt;1/1/1990,"",IF(Main[[#This Row],[Class]]="C",WORKDAY(Main[[#This Row],[Tech Start Date]],28),IF(Main[[#This Row],[Class]]="B", WORKDAY(Main[[#This Row],[Tech Start Date]],19),IF(Main[[#This Row],[Class]]="A",WORKDAY(Main[[#This Row],[Tech Start Date]],9),""))))</f>
        <v/>
      </c>
      <c r="Q1270" s="74">
        <v>40226</v>
      </c>
      <c r="R1270" s="74">
        <v>40192</v>
      </c>
      <c r="S1270" s="72" t="s">
        <v>11</v>
      </c>
      <c r="T1270" s="80" t="s">
        <v>4</v>
      </c>
      <c r="U1270" s="72" t="s">
        <v>14</v>
      </c>
      <c r="V1270" s="72" t="s">
        <v>1947</v>
      </c>
      <c r="W1270" s="72" t="s">
        <v>1943</v>
      </c>
      <c r="X1270" s="72" t="s">
        <v>3023</v>
      </c>
      <c r="Y1270" s="72" t="s">
        <v>4</v>
      </c>
      <c r="Z1270" s="72" t="s">
        <v>4</v>
      </c>
    </row>
    <row r="1271" spans="1:26" ht="18.600000000000001" customHeight="1">
      <c r="A1271" s="142" t="str">
        <f>IF(priority(Main[[#This Row],[Comments]])&lt;&gt;0, priority(Main[[#This Row],[Comments]]),"")</f>
        <v/>
      </c>
      <c r="B1271" s="90" t="s">
        <v>1831</v>
      </c>
      <c r="C1271" s="72" t="s">
        <v>871</v>
      </c>
      <c r="D1271" s="73" t="s">
        <v>872</v>
      </c>
      <c r="E1271" s="74"/>
      <c r="F1271" s="74">
        <v>40305</v>
      </c>
      <c r="G1271" s="75" t="str">
        <f>IF(stdProdLT(Main[[#This Row],[Comments]])=0.1,"N/A",IF(stdProdLT(Main[[#This Row],[Comments]])=0,"",stdProdLT(Main[[#This Row],[Comments]])))</f>
        <v/>
      </c>
      <c r="H1271" s="76">
        <f>IF(AND(Main[[#This Row],[In Stock Date]]&lt;&gt;"",Main[[#This Row],[Revised Due Date]]&lt;&gt;""),Main[[#This Row],[In Stock Date]]-Main[[#This Row],[Revised Due Date]],"")</f>
        <v>80</v>
      </c>
      <c r="I1271" s="72" t="s">
        <v>777</v>
      </c>
      <c r="J1271" s="72" t="s">
        <v>4</v>
      </c>
      <c r="K1271" s="72" t="s">
        <v>4</v>
      </c>
      <c r="L1271" s="74">
        <v>40192</v>
      </c>
      <c r="M1271" s="77" t="str">
        <f>IF(Main[[#This Row],[Tech Start Date]]&lt;1/1/1990,"",IF(Main[[#This Row],[Class]]="C",WORKDAY(Main[[#This Row],[Tech Start Date]],9),IF(Main[[#This Row],[Class]]="B", WORKDAY(Main[[#This Row],[Tech Start Date]],6),IF(Main[[#This Row],[Class]]="A",WORKDAY(Main[[#This Row],[Tech Start Date]],2),""))))</f>
        <v/>
      </c>
      <c r="N1271" s="77" t="str">
        <f>IF(Main[[#This Row],[Tech Start Date]]&lt;1/1/1990,"",IF(Main[[#This Row],[Class]]="C",WORKDAY(Main[[#This Row],[Tech Start Date]],19),IF(Main[[#This Row],[Class]]="B", WORKDAY(Main[[#This Row],[Tech Start Date]],12),IF(Main[[#This Row],[Class]]="A",WORKDAY(Main[[#This Row],[Tech Start Date]],4),""))))</f>
        <v/>
      </c>
      <c r="O1271" s="77" t="str">
        <f>IF(Main[[#This Row],[Tech Start Date]]&lt;1/1/1990,"",IF(Main[[#This Row],[Class]]="C",WORKDAY(Main[[#This Row],[Tech Start Date]],23),IF(Main[[#This Row],[Class]]="B", WORKDAY(Main[[#This Row],[Tech Start Date]],15),IF(Main[[#This Row],[Class]]="A",WORKDAY(Main[[#This Row],[Tech Start Date]],5),""))))</f>
        <v/>
      </c>
      <c r="P1271" s="77" t="str">
        <f>IF(Main[[#This Row],[Tech Start Date]]&lt;1/1/1990,"",IF(Main[[#This Row],[Class]]="C",WORKDAY(Main[[#This Row],[Tech Start Date]],28),IF(Main[[#This Row],[Class]]="B", WORKDAY(Main[[#This Row],[Tech Start Date]],19),IF(Main[[#This Row],[Class]]="A",WORKDAY(Main[[#This Row],[Tech Start Date]],9),""))))</f>
        <v/>
      </c>
      <c r="Q1271" s="74">
        <v>40178</v>
      </c>
      <c r="R1271" s="74">
        <v>40225</v>
      </c>
      <c r="S1271" s="72" t="s">
        <v>11</v>
      </c>
      <c r="T1271" s="80" t="s">
        <v>4</v>
      </c>
      <c r="U1271" s="72" t="s">
        <v>14</v>
      </c>
      <c r="V1271" s="72" t="s">
        <v>1940</v>
      </c>
      <c r="W1271" s="72" t="s">
        <v>1945</v>
      </c>
      <c r="X1271" s="72" t="s">
        <v>3006</v>
      </c>
      <c r="Y1271" s="72" t="s">
        <v>4</v>
      </c>
      <c r="Z1271" s="72" t="s">
        <v>4</v>
      </c>
    </row>
    <row r="1272" spans="1:26" ht="18.600000000000001" customHeight="1">
      <c r="A1272" s="142" t="str">
        <f>IF(priority(Main[[#This Row],[Comments]])&lt;&gt;0, priority(Main[[#This Row],[Comments]]),"")</f>
        <v/>
      </c>
      <c r="B1272" s="90" t="s">
        <v>1830</v>
      </c>
      <c r="C1272" s="72" t="s">
        <v>869</v>
      </c>
      <c r="D1272" s="73" t="s">
        <v>870</v>
      </c>
      <c r="E1272" s="74"/>
      <c r="F1272" s="74">
        <v>40305</v>
      </c>
      <c r="G1272" s="75" t="str">
        <f>IF(stdProdLT(Main[[#This Row],[Comments]])=0.1,"N/A",IF(stdProdLT(Main[[#This Row],[Comments]])=0,"",stdProdLT(Main[[#This Row],[Comments]])))</f>
        <v/>
      </c>
      <c r="H1272" s="76">
        <f>IF(AND(Main[[#This Row],[In Stock Date]]&lt;&gt;"",Main[[#This Row],[Revised Due Date]]&lt;&gt;""),Main[[#This Row],[In Stock Date]]-Main[[#This Row],[Revised Due Date]],"")</f>
        <v>81</v>
      </c>
      <c r="I1272" s="72" t="s">
        <v>44</v>
      </c>
      <c r="J1272" s="72" t="s">
        <v>4</v>
      </c>
      <c r="K1272" s="81" t="s">
        <v>4</v>
      </c>
      <c r="L1272" s="74">
        <v>40192</v>
      </c>
      <c r="M1272" s="77" t="str">
        <f>IF(Main[[#This Row],[Tech Start Date]]&lt;1/1/1990,"",IF(Main[[#This Row],[Class]]="C",WORKDAY(Main[[#This Row],[Tech Start Date]],9),IF(Main[[#This Row],[Class]]="B", WORKDAY(Main[[#This Row],[Tech Start Date]],6),IF(Main[[#This Row],[Class]]="A",WORKDAY(Main[[#This Row],[Tech Start Date]],2),""))))</f>
        <v/>
      </c>
      <c r="N1272" s="77" t="str">
        <f>IF(Main[[#This Row],[Tech Start Date]]&lt;1/1/1990,"",IF(Main[[#This Row],[Class]]="C",WORKDAY(Main[[#This Row],[Tech Start Date]],19),IF(Main[[#This Row],[Class]]="B", WORKDAY(Main[[#This Row],[Tech Start Date]],12),IF(Main[[#This Row],[Class]]="A",WORKDAY(Main[[#This Row],[Tech Start Date]],4),""))))</f>
        <v/>
      </c>
      <c r="O1272" s="77" t="str">
        <f>IF(Main[[#This Row],[Tech Start Date]]&lt;1/1/1990,"",IF(Main[[#This Row],[Class]]="C",WORKDAY(Main[[#This Row],[Tech Start Date]],23),IF(Main[[#This Row],[Class]]="B", WORKDAY(Main[[#This Row],[Tech Start Date]],15),IF(Main[[#This Row],[Class]]="A",WORKDAY(Main[[#This Row],[Tech Start Date]],5),""))))</f>
        <v/>
      </c>
      <c r="P1272" s="77" t="str">
        <f>IF(Main[[#This Row],[Tech Start Date]]&lt;1/1/1990,"",IF(Main[[#This Row],[Class]]="C",WORKDAY(Main[[#This Row],[Tech Start Date]],28),IF(Main[[#This Row],[Class]]="B", WORKDAY(Main[[#This Row],[Tech Start Date]],19),IF(Main[[#This Row],[Class]]="A",WORKDAY(Main[[#This Row],[Tech Start Date]],9),""))))</f>
        <v/>
      </c>
      <c r="Q1272" s="74">
        <v>40178</v>
      </c>
      <c r="R1272" s="74">
        <v>40224</v>
      </c>
      <c r="S1272" s="72" t="s">
        <v>11</v>
      </c>
      <c r="T1272" s="80" t="s">
        <v>4</v>
      </c>
      <c r="U1272" s="72" t="s">
        <v>14</v>
      </c>
      <c r="V1272" s="72" t="s">
        <v>1940</v>
      </c>
      <c r="W1272" s="72" t="s">
        <v>1945</v>
      </c>
      <c r="X1272" s="72" t="s">
        <v>3006</v>
      </c>
      <c r="Y1272" s="72" t="s">
        <v>4</v>
      </c>
      <c r="Z1272" s="72" t="s">
        <v>4</v>
      </c>
    </row>
    <row r="1273" spans="1:26" ht="18.600000000000001" customHeight="1">
      <c r="A1273" s="142" t="str">
        <f>IF(priority(Main[[#This Row],[Comments]])&lt;&gt;0, priority(Main[[#This Row],[Comments]]),"")</f>
        <v/>
      </c>
      <c r="B1273" s="90" t="s">
        <v>1970</v>
      </c>
      <c r="C1273" s="72" t="s">
        <v>876</v>
      </c>
      <c r="D1273" s="73" t="s">
        <v>877</v>
      </c>
      <c r="E1273" s="74"/>
      <c r="F1273" s="74"/>
      <c r="G1273" s="75" t="str">
        <f>IF(stdProdLT(Main[[#This Row],[Comments]])=0.1,"N/A",IF(stdProdLT(Main[[#This Row],[Comments]])=0,"",stdProdLT(Main[[#This Row],[Comments]])))</f>
        <v/>
      </c>
      <c r="H1273" s="76" t="str">
        <f>IF(AND(Main[[#This Row],[In Stock Date]]&lt;&gt;"",Main[[#This Row],[Revised Due Date]]&lt;&gt;""),Main[[#This Row],[In Stock Date]]-Main[[#This Row],[Revised Due Date]],"")</f>
        <v/>
      </c>
      <c r="I1273" s="72" t="s">
        <v>777</v>
      </c>
      <c r="J1273" s="72" t="s">
        <v>4</v>
      </c>
      <c r="K1273" s="72" t="s">
        <v>1949</v>
      </c>
      <c r="L1273" s="74">
        <v>40231</v>
      </c>
      <c r="M1273" s="77" t="str">
        <f>IF(Main[[#This Row],[Tech Start Date]]&lt;1/1/1990,"",IF(Main[[#This Row],[Class]]="C",WORKDAY(Main[[#This Row],[Tech Start Date]],9),IF(Main[[#This Row],[Class]]="B", WORKDAY(Main[[#This Row],[Tech Start Date]],6),IF(Main[[#This Row],[Class]]="A",WORKDAY(Main[[#This Row],[Tech Start Date]],2),""))))</f>
        <v/>
      </c>
      <c r="N1273" s="77" t="str">
        <f>IF(Main[[#This Row],[Tech Start Date]]&lt;1/1/1990,"",IF(Main[[#This Row],[Class]]="C",WORKDAY(Main[[#This Row],[Tech Start Date]],19),IF(Main[[#This Row],[Class]]="B", WORKDAY(Main[[#This Row],[Tech Start Date]],12),IF(Main[[#This Row],[Class]]="A",WORKDAY(Main[[#This Row],[Tech Start Date]],4),""))))</f>
        <v/>
      </c>
      <c r="O1273" s="77" t="str">
        <f>IF(Main[[#This Row],[Tech Start Date]]&lt;1/1/1990,"",IF(Main[[#This Row],[Class]]="C",WORKDAY(Main[[#This Row],[Tech Start Date]],23),IF(Main[[#This Row],[Class]]="B", WORKDAY(Main[[#This Row],[Tech Start Date]],15),IF(Main[[#This Row],[Class]]="A",WORKDAY(Main[[#This Row],[Tech Start Date]],5),""))))</f>
        <v/>
      </c>
      <c r="P1273" s="77" t="str">
        <f>IF(Main[[#This Row],[Tech Start Date]]&lt;1/1/1990,"",IF(Main[[#This Row],[Class]]="C",WORKDAY(Main[[#This Row],[Tech Start Date]],28),IF(Main[[#This Row],[Class]]="B", WORKDAY(Main[[#This Row],[Tech Start Date]],19),IF(Main[[#This Row],[Class]]="A",WORKDAY(Main[[#This Row],[Tech Start Date]],9),""))))</f>
        <v/>
      </c>
      <c r="Q1273" s="74">
        <v>40268</v>
      </c>
      <c r="R1273" s="74">
        <v>40268</v>
      </c>
      <c r="S1273" s="72" t="s">
        <v>17</v>
      </c>
      <c r="T1273" s="80" t="s">
        <v>4</v>
      </c>
      <c r="U1273" s="72" t="s">
        <v>14</v>
      </c>
      <c r="V1273" s="72" t="s">
        <v>1940</v>
      </c>
      <c r="W1273" s="72" t="s">
        <v>1942</v>
      </c>
      <c r="X1273" s="72" t="s">
        <v>3069</v>
      </c>
      <c r="Y1273" s="72" t="s">
        <v>3304</v>
      </c>
      <c r="Z1273" s="72" t="s">
        <v>4</v>
      </c>
    </row>
    <row r="1274" spans="1:26" ht="18.600000000000001" customHeight="1">
      <c r="A1274" s="142" t="str">
        <f>IF(priority(Main[[#This Row],[Comments]])&lt;&gt;0, priority(Main[[#This Row],[Comments]]),"")</f>
        <v/>
      </c>
      <c r="B1274" s="90" t="s">
        <v>1833</v>
      </c>
      <c r="C1274" s="72" t="s">
        <v>4</v>
      </c>
      <c r="D1274" s="73" t="s">
        <v>874</v>
      </c>
      <c r="E1274" s="74"/>
      <c r="F1274" s="74"/>
      <c r="G1274" s="75" t="str">
        <f>IF(stdProdLT(Main[[#This Row],[Comments]])=0.1,"N/A",IF(stdProdLT(Main[[#This Row],[Comments]])=0,"",stdProdLT(Main[[#This Row],[Comments]])))</f>
        <v/>
      </c>
      <c r="H1274" s="76" t="str">
        <f>IF(AND(Main[[#This Row],[In Stock Date]]&lt;&gt;"",Main[[#This Row],[Revised Due Date]]&lt;&gt;""),Main[[#This Row],[In Stock Date]]-Main[[#This Row],[Revised Due Date]],"")</f>
        <v/>
      </c>
      <c r="I1274" s="72" t="s">
        <v>30</v>
      </c>
      <c r="J1274" s="72" t="s">
        <v>28</v>
      </c>
      <c r="K1274" s="72" t="s">
        <v>1944</v>
      </c>
      <c r="L1274" s="74">
        <v>40231</v>
      </c>
      <c r="M1274" s="77">
        <f>IF(Main[[#This Row],[Tech Start Date]]&lt;1/1/1990,"",IF(Main[[#This Row],[Class]]="C",WORKDAY(Main[[#This Row],[Tech Start Date]],9),IF(Main[[#This Row],[Class]]="B", WORKDAY(Main[[#This Row],[Tech Start Date]],6),IF(Main[[#This Row],[Class]]="A",WORKDAY(Main[[#This Row],[Tech Start Date]],2),""))))</f>
        <v>40239</v>
      </c>
      <c r="N1274" s="77">
        <f>IF(Main[[#This Row],[Tech Start Date]]&lt;1/1/1990,"",IF(Main[[#This Row],[Class]]="C",WORKDAY(Main[[#This Row],[Tech Start Date]],19),IF(Main[[#This Row],[Class]]="B", WORKDAY(Main[[#This Row],[Tech Start Date]],12),IF(Main[[#This Row],[Class]]="A",WORKDAY(Main[[#This Row],[Tech Start Date]],4),""))))</f>
        <v>40247</v>
      </c>
      <c r="O1274" s="77">
        <f>IF(Main[[#This Row],[Tech Start Date]]&lt;1/1/1990,"",IF(Main[[#This Row],[Class]]="C",WORKDAY(Main[[#This Row],[Tech Start Date]],23),IF(Main[[#This Row],[Class]]="B", WORKDAY(Main[[#This Row],[Tech Start Date]],15),IF(Main[[#This Row],[Class]]="A",WORKDAY(Main[[#This Row],[Tech Start Date]],5),""))))</f>
        <v>40252</v>
      </c>
      <c r="P1274" s="77">
        <f>IF(Main[[#This Row],[Tech Start Date]]&lt;1/1/1990,"",IF(Main[[#This Row],[Class]]="C",WORKDAY(Main[[#This Row],[Tech Start Date]],28),IF(Main[[#This Row],[Class]]="B", WORKDAY(Main[[#This Row],[Tech Start Date]],19),IF(Main[[#This Row],[Class]]="A",WORKDAY(Main[[#This Row],[Tech Start Date]],9),""))))</f>
        <v>40256</v>
      </c>
      <c r="Q1274" s="74">
        <v>40269</v>
      </c>
      <c r="R1274" s="74">
        <v>40246</v>
      </c>
      <c r="S1274" s="72" t="s">
        <v>6</v>
      </c>
      <c r="T1274" s="80" t="s">
        <v>4</v>
      </c>
      <c r="U1274" s="72" t="s">
        <v>14</v>
      </c>
      <c r="V1274" s="72" t="s">
        <v>1940</v>
      </c>
      <c r="W1274" s="72" t="s">
        <v>1939</v>
      </c>
      <c r="X1274" s="72" t="s">
        <v>3039</v>
      </c>
      <c r="Y1274" s="72" t="s">
        <v>3201</v>
      </c>
      <c r="Z1274" s="72" t="s">
        <v>4</v>
      </c>
    </row>
    <row r="1275" spans="1:26" ht="18.600000000000001" customHeight="1">
      <c r="A1275" s="142" t="str">
        <f>IF(priority(Main[[#This Row],[Comments]])&lt;&gt;0, priority(Main[[#This Row],[Comments]]),"")</f>
        <v/>
      </c>
      <c r="B1275" s="90" t="s">
        <v>1841</v>
      </c>
      <c r="C1275" s="72" t="s">
        <v>47</v>
      </c>
      <c r="D1275" s="73" t="s">
        <v>885</v>
      </c>
      <c r="E1275" s="74">
        <v>40220.456550925926</v>
      </c>
      <c r="F1275" s="74"/>
      <c r="G1275" s="75" t="str">
        <f>IF(stdProdLT(Main[[#This Row],[Comments]])=0.1,"N/A",IF(stdProdLT(Main[[#This Row],[Comments]])=0,"",stdProdLT(Main[[#This Row],[Comments]])))</f>
        <v/>
      </c>
      <c r="H1275" s="76" t="str">
        <f>IF(AND(Main[[#This Row],[In Stock Date]]&lt;&gt;"",Main[[#This Row],[Revised Due Date]]&lt;&gt;""),Main[[#This Row],[In Stock Date]]-Main[[#This Row],[Revised Due Date]],"")</f>
        <v/>
      </c>
      <c r="I1275" s="72" t="s">
        <v>81</v>
      </c>
      <c r="J1275" s="72" t="s">
        <v>52</v>
      </c>
      <c r="K1275" s="72" t="s">
        <v>1949</v>
      </c>
      <c r="L1275" s="74">
        <v>40231</v>
      </c>
      <c r="M1275" s="77" t="str">
        <f>IF(Main[[#This Row],[Tech Start Date]]&lt;1/1/1990,"",IF(Main[[#This Row],[Class]]="C",WORKDAY(Main[[#This Row],[Tech Start Date]],9),IF(Main[[#This Row],[Class]]="B", WORKDAY(Main[[#This Row],[Tech Start Date]],6),IF(Main[[#This Row],[Class]]="A",WORKDAY(Main[[#This Row],[Tech Start Date]],2),""))))</f>
        <v/>
      </c>
      <c r="N1275" s="77" t="str">
        <f>IF(Main[[#This Row],[Tech Start Date]]&lt;1/1/1990,"",IF(Main[[#This Row],[Class]]="C",WORKDAY(Main[[#This Row],[Tech Start Date]],19),IF(Main[[#This Row],[Class]]="B", WORKDAY(Main[[#This Row],[Tech Start Date]],12),IF(Main[[#This Row],[Class]]="A",WORKDAY(Main[[#This Row],[Tech Start Date]],4),""))))</f>
        <v/>
      </c>
      <c r="O1275" s="77" t="str">
        <f>IF(Main[[#This Row],[Tech Start Date]]&lt;1/1/1990,"",IF(Main[[#This Row],[Class]]="C",WORKDAY(Main[[#This Row],[Tech Start Date]],23),IF(Main[[#This Row],[Class]]="B", WORKDAY(Main[[#This Row],[Tech Start Date]],15),IF(Main[[#This Row],[Class]]="A",WORKDAY(Main[[#This Row],[Tech Start Date]],5),""))))</f>
        <v/>
      </c>
      <c r="P1275" s="77" t="str">
        <f>IF(Main[[#This Row],[Tech Start Date]]&lt;1/1/1990,"",IF(Main[[#This Row],[Class]]="C",WORKDAY(Main[[#This Row],[Tech Start Date]],28),IF(Main[[#This Row],[Class]]="B", WORKDAY(Main[[#This Row],[Tech Start Date]],19),IF(Main[[#This Row],[Class]]="A",WORKDAY(Main[[#This Row],[Tech Start Date]],9),""))))</f>
        <v/>
      </c>
      <c r="Q1275" s="74">
        <v>40255</v>
      </c>
      <c r="R1275" s="74">
        <v>40310</v>
      </c>
      <c r="S1275" s="72" t="s">
        <v>17</v>
      </c>
      <c r="T1275" s="80" t="s">
        <v>4</v>
      </c>
      <c r="U1275" s="72" t="s">
        <v>29</v>
      </c>
      <c r="V1275" s="72" t="s">
        <v>1947</v>
      </c>
      <c r="W1275" s="72" t="s">
        <v>1939</v>
      </c>
      <c r="X1275" s="72" t="s">
        <v>2969</v>
      </c>
      <c r="Y1275" s="72" t="s">
        <v>4</v>
      </c>
      <c r="Z1275" s="72" t="s">
        <v>44</v>
      </c>
    </row>
    <row r="1276" spans="1:26" ht="18.600000000000001" customHeight="1">
      <c r="A1276" s="142" t="str">
        <f>IF(priority(Main[[#This Row],[Comments]])&lt;&gt;0, priority(Main[[#This Row],[Comments]]),"")</f>
        <v/>
      </c>
      <c r="B1276" s="90" t="s">
        <v>1836</v>
      </c>
      <c r="C1276" s="72" t="s">
        <v>47</v>
      </c>
      <c r="D1276" s="73" t="s">
        <v>879</v>
      </c>
      <c r="E1276" s="74"/>
      <c r="F1276" s="74"/>
      <c r="G1276" s="75" t="str">
        <f>IF(stdProdLT(Main[[#This Row],[Comments]])=0.1,"N/A",IF(stdProdLT(Main[[#This Row],[Comments]])=0,"",stdProdLT(Main[[#This Row],[Comments]])))</f>
        <v/>
      </c>
      <c r="H1276" s="76" t="str">
        <f>IF(AND(Main[[#This Row],[In Stock Date]]&lt;&gt;"",Main[[#This Row],[Revised Due Date]]&lt;&gt;""),Main[[#This Row],[In Stock Date]]-Main[[#This Row],[Revised Due Date]],"")</f>
        <v/>
      </c>
      <c r="I1276" s="72" t="s">
        <v>437</v>
      </c>
      <c r="J1276" s="72" t="s">
        <v>4</v>
      </c>
      <c r="K1276" s="72" t="s">
        <v>1949</v>
      </c>
      <c r="L1276" s="74">
        <v>40248</v>
      </c>
      <c r="M1276" s="77" t="str">
        <f>IF(Main[[#This Row],[Tech Start Date]]&lt;1/1/1990,"",IF(Main[[#This Row],[Class]]="C",WORKDAY(Main[[#This Row],[Tech Start Date]],9),IF(Main[[#This Row],[Class]]="B", WORKDAY(Main[[#This Row],[Tech Start Date]],6),IF(Main[[#This Row],[Class]]="A",WORKDAY(Main[[#This Row],[Tech Start Date]],2),""))))</f>
        <v/>
      </c>
      <c r="N1276" s="77" t="str">
        <f>IF(Main[[#This Row],[Tech Start Date]]&lt;1/1/1990,"",IF(Main[[#This Row],[Class]]="C",WORKDAY(Main[[#This Row],[Tech Start Date]],19),IF(Main[[#This Row],[Class]]="B", WORKDAY(Main[[#This Row],[Tech Start Date]],12),IF(Main[[#This Row],[Class]]="A",WORKDAY(Main[[#This Row],[Tech Start Date]],4),""))))</f>
        <v/>
      </c>
      <c r="O1276" s="77" t="str">
        <f>IF(Main[[#This Row],[Tech Start Date]]&lt;1/1/1990,"",IF(Main[[#This Row],[Class]]="C",WORKDAY(Main[[#This Row],[Tech Start Date]],23),IF(Main[[#This Row],[Class]]="B", WORKDAY(Main[[#This Row],[Tech Start Date]],15),IF(Main[[#This Row],[Class]]="A",WORKDAY(Main[[#This Row],[Tech Start Date]],5),""))))</f>
        <v/>
      </c>
      <c r="P1276" s="77" t="str">
        <f>IF(Main[[#This Row],[Tech Start Date]]&lt;1/1/1990,"",IF(Main[[#This Row],[Class]]="C",WORKDAY(Main[[#This Row],[Tech Start Date]],28),IF(Main[[#This Row],[Class]]="B", WORKDAY(Main[[#This Row],[Tech Start Date]],19),IF(Main[[#This Row],[Class]]="A",WORKDAY(Main[[#This Row],[Tech Start Date]],9),""))))</f>
        <v/>
      </c>
      <c r="Q1276" s="74">
        <v>40289</v>
      </c>
      <c r="R1276" s="74">
        <v>40289</v>
      </c>
      <c r="S1276" s="72" t="s">
        <v>17</v>
      </c>
      <c r="T1276" s="80" t="s">
        <v>4</v>
      </c>
      <c r="U1276" s="72" t="s">
        <v>14</v>
      </c>
      <c r="V1276" s="72" t="s">
        <v>1940</v>
      </c>
      <c r="W1276" s="72" t="s">
        <v>1943</v>
      </c>
      <c r="X1276" s="72" t="s">
        <v>536</v>
      </c>
      <c r="Y1276" s="72" t="s">
        <v>3305</v>
      </c>
      <c r="Z1276" s="72" t="s">
        <v>4</v>
      </c>
    </row>
    <row r="1277" spans="1:26" ht="18.600000000000001" customHeight="1">
      <c r="A1277" s="142" t="str">
        <f>IF(priority(Main[[#This Row],[Comments]])&lt;&gt;0, priority(Main[[#This Row],[Comments]]),"")</f>
        <v/>
      </c>
      <c r="B1277" s="90" t="s">
        <v>1837</v>
      </c>
      <c r="C1277" s="72" t="s">
        <v>881</v>
      </c>
      <c r="D1277" s="73" t="s">
        <v>882</v>
      </c>
      <c r="E1277" s="74"/>
      <c r="F1277" s="74">
        <v>40299</v>
      </c>
      <c r="G1277" s="75" t="str">
        <f>IF(stdProdLT(Main[[#This Row],[Comments]])=0.1,"N/A",IF(stdProdLT(Main[[#This Row],[Comments]])=0,"",stdProdLT(Main[[#This Row],[Comments]])))</f>
        <v/>
      </c>
      <c r="H1277" s="76">
        <f>IF(AND(Main[[#This Row],[In Stock Date]]&lt;&gt;"",Main[[#This Row],[Revised Due Date]]&lt;&gt;""),Main[[#This Row],[In Stock Date]]-Main[[#This Row],[Revised Due Date]],"")</f>
        <v>8</v>
      </c>
      <c r="I1277" s="72" t="s">
        <v>660</v>
      </c>
      <c r="J1277" s="72" t="s">
        <v>28</v>
      </c>
      <c r="K1277" s="81" t="s">
        <v>1949</v>
      </c>
      <c r="L1277" s="74">
        <v>40266</v>
      </c>
      <c r="M1277" s="77" t="str">
        <f>IF(Main[[#This Row],[Tech Start Date]]&lt;1/1/1990,"",IF(Main[[#This Row],[Class]]="C",WORKDAY(Main[[#This Row],[Tech Start Date]],9),IF(Main[[#This Row],[Class]]="B", WORKDAY(Main[[#This Row],[Tech Start Date]],6),IF(Main[[#This Row],[Class]]="A",WORKDAY(Main[[#This Row],[Tech Start Date]],2),""))))</f>
        <v/>
      </c>
      <c r="N1277" s="77" t="str">
        <f>IF(Main[[#This Row],[Tech Start Date]]&lt;1/1/1990,"",IF(Main[[#This Row],[Class]]="C",WORKDAY(Main[[#This Row],[Tech Start Date]],19),IF(Main[[#This Row],[Class]]="B", WORKDAY(Main[[#This Row],[Tech Start Date]],12),IF(Main[[#This Row],[Class]]="A",WORKDAY(Main[[#This Row],[Tech Start Date]],4),""))))</f>
        <v/>
      </c>
      <c r="O1277" s="77" t="str">
        <f>IF(Main[[#This Row],[Tech Start Date]]&lt;1/1/1990,"",IF(Main[[#This Row],[Class]]="C",WORKDAY(Main[[#This Row],[Tech Start Date]],23),IF(Main[[#This Row],[Class]]="B", WORKDAY(Main[[#This Row],[Tech Start Date]],15),IF(Main[[#This Row],[Class]]="A",WORKDAY(Main[[#This Row],[Tech Start Date]],5),""))))</f>
        <v/>
      </c>
      <c r="P1277" s="77" t="str">
        <f>IF(Main[[#This Row],[Tech Start Date]]&lt;1/1/1990,"",IF(Main[[#This Row],[Class]]="C",WORKDAY(Main[[#This Row],[Tech Start Date]],28),IF(Main[[#This Row],[Class]]="B", WORKDAY(Main[[#This Row],[Tech Start Date]],19),IF(Main[[#This Row],[Class]]="A",WORKDAY(Main[[#This Row],[Tech Start Date]],9),""))))</f>
        <v/>
      </c>
      <c r="Q1277" s="74">
        <v>40299</v>
      </c>
      <c r="R1277" s="74">
        <v>40291</v>
      </c>
      <c r="S1277" s="72" t="s">
        <v>17</v>
      </c>
      <c r="T1277" s="80" t="s">
        <v>4</v>
      </c>
      <c r="U1277" s="72" t="s">
        <v>14</v>
      </c>
      <c r="V1277" s="72" t="s">
        <v>1947</v>
      </c>
      <c r="W1277" s="72" t="s">
        <v>1942</v>
      </c>
      <c r="X1277" s="72" t="s">
        <v>536</v>
      </c>
      <c r="Y1277" s="72" t="s">
        <v>3305</v>
      </c>
      <c r="Z1277" s="72" t="s">
        <v>660</v>
      </c>
    </row>
    <row r="1278" spans="1:26" ht="18.600000000000001" customHeight="1">
      <c r="A1278" s="142" t="str">
        <f>IF(priority(Main[[#This Row],[Comments]])&lt;&gt;0, priority(Main[[#This Row],[Comments]]),"")</f>
        <v/>
      </c>
      <c r="B1278" s="90" t="s">
        <v>1840</v>
      </c>
      <c r="C1278" s="72" t="s">
        <v>4</v>
      </c>
      <c r="D1278" s="73" t="s">
        <v>884</v>
      </c>
      <c r="E1278" s="74"/>
      <c r="F1278" s="74"/>
      <c r="G1278" s="75" t="str">
        <f>IF(stdProdLT(Main[[#This Row],[Comments]])=0.1,"N/A",IF(stdProdLT(Main[[#This Row],[Comments]])=0,"",stdProdLT(Main[[#This Row],[Comments]])))</f>
        <v/>
      </c>
      <c r="H1278" s="76" t="str">
        <f>IF(AND(Main[[#This Row],[In Stock Date]]&lt;&gt;"",Main[[#This Row],[Revised Due Date]]&lt;&gt;""),Main[[#This Row],[In Stock Date]]-Main[[#This Row],[Revised Due Date]],"")</f>
        <v/>
      </c>
      <c r="I1278" s="72" t="s">
        <v>404</v>
      </c>
      <c r="J1278" s="72" t="s">
        <v>75</v>
      </c>
      <c r="K1278" s="72" t="s">
        <v>1946</v>
      </c>
      <c r="L1278" s="74">
        <v>40288</v>
      </c>
      <c r="M1278" s="77">
        <f>IF(Main[[#This Row],[Tech Start Date]]&lt;1/1/1990,"",IF(Main[[#This Row],[Class]]="C",WORKDAY(Main[[#This Row],[Tech Start Date]],9),IF(Main[[#This Row],[Class]]="B", WORKDAY(Main[[#This Row],[Tech Start Date]],6),IF(Main[[#This Row],[Class]]="A",WORKDAY(Main[[#This Row],[Tech Start Date]],2),""))))</f>
        <v>40290</v>
      </c>
      <c r="N1278" s="77">
        <f>IF(Main[[#This Row],[Tech Start Date]]&lt;1/1/1990,"",IF(Main[[#This Row],[Class]]="C",WORKDAY(Main[[#This Row],[Tech Start Date]],19),IF(Main[[#This Row],[Class]]="B", WORKDAY(Main[[#This Row],[Tech Start Date]],12),IF(Main[[#This Row],[Class]]="A",WORKDAY(Main[[#This Row],[Tech Start Date]],4),""))))</f>
        <v>40294</v>
      </c>
      <c r="O1278" s="77">
        <f>IF(Main[[#This Row],[Tech Start Date]]&lt;1/1/1990,"",IF(Main[[#This Row],[Class]]="C",WORKDAY(Main[[#This Row],[Tech Start Date]],23),IF(Main[[#This Row],[Class]]="B", WORKDAY(Main[[#This Row],[Tech Start Date]],15),IF(Main[[#This Row],[Class]]="A",WORKDAY(Main[[#This Row],[Tech Start Date]],5),""))))</f>
        <v>40295</v>
      </c>
      <c r="P1278" s="77">
        <f>IF(Main[[#This Row],[Tech Start Date]]&lt;1/1/1990,"",IF(Main[[#This Row],[Class]]="C",WORKDAY(Main[[#This Row],[Tech Start Date]],28),IF(Main[[#This Row],[Class]]="B", WORKDAY(Main[[#This Row],[Tech Start Date]],19),IF(Main[[#This Row],[Class]]="A",WORKDAY(Main[[#This Row],[Tech Start Date]],9),""))))</f>
        <v>40301</v>
      </c>
      <c r="Q1278" s="74"/>
      <c r="R1278" s="74">
        <v>40309</v>
      </c>
      <c r="S1278" s="72" t="s">
        <v>6</v>
      </c>
      <c r="T1278" s="80" t="s">
        <v>4</v>
      </c>
      <c r="U1278" s="72" t="s">
        <v>14</v>
      </c>
      <c r="V1278" s="72" t="s">
        <v>1940</v>
      </c>
      <c r="W1278" s="72" t="s">
        <v>4</v>
      </c>
      <c r="X1278" s="72" t="s">
        <v>2988</v>
      </c>
      <c r="Y1278" s="72" t="s">
        <v>3123</v>
      </c>
      <c r="Z1278" s="72" t="s">
        <v>311</v>
      </c>
    </row>
    <row r="1279" spans="1:26" ht="18.600000000000001" customHeight="1">
      <c r="A1279" s="142" t="str">
        <f>IF(priority(Main[[#This Row],[Comments]])&lt;&gt;0, priority(Main[[#This Row],[Comments]]),"")</f>
        <v/>
      </c>
      <c r="B1279" s="90" t="s">
        <v>1842</v>
      </c>
      <c r="C1279" s="72" t="s">
        <v>4</v>
      </c>
      <c r="D1279" s="73" t="s">
        <v>886</v>
      </c>
      <c r="E1279" s="74"/>
      <c r="F1279" s="74"/>
      <c r="G1279" s="75" t="str">
        <f>IF(stdProdLT(Main[[#This Row],[Comments]])=0.1,"N/A",IF(stdProdLT(Main[[#This Row],[Comments]])=0,"",stdProdLT(Main[[#This Row],[Comments]])))</f>
        <v/>
      </c>
      <c r="H1279" s="76" t="str">
        <f>IF(AND(Main[[#This Row],[In Stock Date]]&lt;&gt;"",Main[[#This Row],[Revised Due Date]]&lt;&gt;""),Main[[#This Row],[In Stock Date]]-Main[[#This Row],[Revised Due Date]],"")</f>
        <v/>
      </c>
      <c r="I1279" s="72" t="s">
        <v>777</v>
      </c>
      <c r="J1279" s="72" t="s">
        <v>4</v>
      </c>
      <c r="K1279" s="81" t="s">
        <v>1944</v>
      </c>
      <c r="L1279" s="74">
        <v>40291</v>
      </c>
      <c r="M1279" s="77">
        <f>IF(Main[[#This Row],[Tech Start Date]]&lt;1/1/1990,"",IF(Main[[#This Row],[Class]]="C",WORKDAY(Main[[#This Row],[Tech Start Date]],9),IF(Main[[#This Row],[Class]]="B", WORKDAY(Main[[#This Row],[Tech Start Date]],6),IF(Main[[#This Row],[Class]]="A",WORKDAY(Main[[#This Row],[Tech Start Date]],2),""))))</f>
        <v>40301</v>
      </c>
      <c r="N1279" s="77">
        <f>IF(Main[[#This Row],[Tech Start Date]]&lt;1/1/1990,"",IF(Main[[#This Row],[Class]]="C",WORKDAY(Main[[#This Row],[Tech Start Date]],19),IF(Main[[#This Row],[Class]]="B", WORKDAY(Main[[#This Row],[Tech Start Date]],12),IF(Main[[#This Row],[Class]]="A",WORKDAY(Main[[#This Row],[Tech Start Date]],4),""))))</f>
        <v>40309</v>
      </c>
      <c r="O1279" s="77">
        <f>IF(Main[[#This Row],[Tech Start Date]]&lt;1/1/1990,"",IF(Main[[#This Row],[Class]]="C",WORKDAY(Main[[#This Row],[Tech Start Date]],23),IF(Main[[#This Row],[Class]]="B", WORKDAY(Main[[#This Row],[Tech Start Date]],15),IF(Main[[#This Row],[Class]]="A",WORKDAY(Main[[#This Row],[Tech Start Date]],5),""))))</f>
        <v>40312</v>
      </c>
      <c r="P1279" s="77">
        <f>IF(Main[[#This Row],[Tech Start Date]]&lt;1/1/1990,"",IF(Main[[#This Row],[Class]]="C",WORKDAY(Main[[#This Row],[Tech Start Date]],28),IF(Main[[#This Row],[Class]]="B", WORKDAY(Main[[#This Row],[Tech Start Date]],19),IF(Main[[#This Row],[Class]]="A",WORKDAY(Main[[#This Row],[Tech Start Date]],9),""))))</f>
        <v>40318</v>
      </c>
      <c r="Q1279" s="74">
        <v>40312</v>
      </c>
      <c r="R1279" s="74">
        <v>40312</v>
      </c>
      <c r="S1279" s="72" t="s">
        <v>6</v>
      </c>
      <c r="T1279" s="80" t="s">
        <v>4</v>
      </c>
      <c r="U1279" s="72" t="s">
        <v>14</v>
      </c>
      <c r="V1279" s="72" t="s">
        <v>1940</v>
      </c>
      <c r="W1279" s="72" t="s">
        <v>4</v>
      </c>
      <c r="X1279" s="72" t="s">
        <v>3070</v>
      </c>
      <c r="Y1279" s="72" t="s">
        <v>3306</v>
      </c>
      <c r="Z1279" s="72" t="s">
        <v>4</v>
      </c>
    </row>
    <row r="1280" spans="1:26" ht="18.600000000000001" customHeight="1">
      <c r="A1280" s="142" t="str">
        <f>IF(priority(Main[[#This Row],[Comments]])&lt;&gt;0, priority(Main[[#This Row],[Comments]]),"")</f>
        <v/>
      </c>
      <c r="B1280" s="90" t="s">
        <v>1844</v>
      </c>
      <c r="C1280" s="72" t="s">
        <v>4</v>
      </c>
      <c r="D1280" s="73" t="s">
        <v>2163</v>
      </c>
      <c r="E1280" s="74"/>
      <c r="F1280" s="74"/>
      <c r="G1280" s="75" t="str">
        <f>IF(stdProdLT(Main[[#This Row],[Comments]])=0.1,"N/A",IF(stdProdLT(Main[[#This Row],[Comments]])=0,"",stdProdLT(Main[[#This Row],[Comments]])))</f>
        <v/>
      </c>
      <c r="H1280" s="76" t="str">
        <f>IF(AND(Main[[#This Row],[In Stock Date]]&lt;&gt;"",Main[[#This Row],[Revised Due Date]]&lt;&gt;""),Main[[#This Row],[In Stock Date]]-Main[[#This Row],[Revised Due Date]],"")</f>
        <v/>
      </c>
      <c r="I1280" s="72" t="s">
        <v>536</v>
      </c>
      <c r="J1280" s="72" t="s">
        <v>28</v>
      </c>
      <c r="K1280" s="72" t="s">
        <v>1944</v>
      </c>
      <c r="L1280" s="74">
        <v>40294</v>
      </c>
      <c r="M1280" s="77">
        <f>IF(Main[[#This Row],[Tech Start Date]]&lt;1/1/1990,"",IF(Main[[#This Row],[Class]]="C",WORKDAY(Main[[#This Row],[Tech Start Date]],9),IF(Main[[#This Row],[Class]]="B", WORKDAY(Main[[#This Row],[Tech Start Date]],6),IF(Main[[#This Row],[Class]]="A",WORKDAY(Main[[#This Row],[Tech Start Date]],2),""))))</f>
        <v>40302</v>
      </c>
      <c r="N1280" s="77">
        <f>IF(Main[[#This Row],[Tech Start Date]]&lt;1/1/1990,"",IF(Main[[#This Row],[Class]]="C",WORKDAY(Main[[#This Row],[Tech Start Date]],19),IF(Main[[#This Row],[Class]]="B", WORKDAY(Main[[#This Row],[Tech Start Date]],12),IF(Main[[#This Row],[Class]]="A",WORKDAY(Main[[#This Row],[Tech Start Date]],4),""))))</f>
        <v>40310</v>
      </c>
      <c r="O1280" s="77">
        <f>IF(Main[[#This Row],[Tech Start Date]]&lt;1/1/1990,"",IF(Main[[#This Row],[Class]]="C",WORKDAY(Main[[#This Row],[Tech Start Date]],23),IF(Main[[#This Row],[Class]]="B", WORKDAY(Main[[#This Row],[Tech Start Date]],15),IF(Main[[#This Row],[Class]]="A",WORKDAY(Main[[#This Row],[Tech Start Date]],5),""))))</f>
        <v>40315</v>
      </c>
      <c r="P1280" s="77">
        <f>IF(Main[[#This Row],[Tech Start Date]]&lt;1/1/1990,"",IF(Main[[#This Row],[Class]]="C",WORKDAY(Main[[#This Row],[Tech Start Date]],28),IF(Main[[#This Row],[Class]]="B", WORKDAY(Main[[#This Row],[Tech Start Date]],19),IF(Main[[#This Row],[Class]]="A",WORKDAY(Main[[#This Row],[Tech Start Date]],9),""))))</f>
        <v>40319</v>
      </c>
      <c r="Q1280" s="74">
        <v>40329</v>
      </c>
      <c r="R1280" s="74">
        <v>40326</v>
      </c>
      <c r="S1280" s="72" t="s">
        <v>6</v>
      </c>
      <c r="T1280" s="80" t="s">
        <v>4</v>
      </c>
      <c r="U1280" s="72" t="s">
        <v>14</v>
      </c>
      <c r="V1280" s="72" t="s">
        <v>1940</v>
      </c>
      <c r="W1280" s="72" t="s">
        <v>1941</v>
      </c>
      <c r="X1280" s="72" t="s">
        <v>3070</v>
      </c>
      <c r="Y1280" s="72" t="s">
        <v>3306</v>
      </c>
      <c r="Z1280" s="72" t="s">
        <v>30</v>
      </c>
    </row>
    <row r="1281" spans="1:26" ht="18.600000000000001" customHeight="1">
      <c r="A1281" s="142" t="str">
        <f>IF(priority(Main[[#This Row],[Comments]])&lt;&gt;0, priority(Main[[#This Row],[Comments]]),"")</f>
        <v/>
      </c>
      <c r="B1281" s="90" t="s">
        <v>1843</v>
      </c>
      <c r="C1281" s="72" t="s">
        <v>4</v>
      </c>
      <c r="D1281" s="73" t="s">
        <v>887</v>
      </c>
      <c r="E1281" s="74"/>
      <c r="F1281" s="74"/>
      <c r="G1281" s="75" t="str">
        <f>IF(stdProdLT(Main[[#This Row],[Comments]])=0.1,"N/A",IF(stdProdLT(Main[[#This Row],[Comments]])=0,"",stdProdLT(Main[[#This Row],[Comments]])))</f>
        <v/>
      </c>
      <c r="H1281" s="76" t="str">
        <f>IF(AND(Main[[#This Row],[In Stock Date]]&lt;&gt;"",Main[[#This Row],[Revised Due Date]]&lt;&gt;""),Main[[#This Row],[In Stock Date]]-Main[[#This Row],[Revised Due Date]],"")</f>
        <v/>
      </c>
      <c r="I1281" s="72" t="s">
        <v>495</v>
      </c>
      <c r="J1281" s="72" t="s">
        <v>4</v>
      </c>
      <c r="K1281" s="81" t="s">
        <v>1944</v>
      </c>
      <c r="L1281" s="74">
        <v>40295</v>
      </c>
      <c r="M1281" s="77">
        <f>IF(Main[[#This Row],[Tech Start Date]]&lt;1/1/1990,"",IF(Main[[#This Row],[Class]]="C",WORKDAY(Main[[#This Row],[Tech Start Date]],9),IF(Main[[#This Row],[Class]]="B", WORKDAY(Main[[#This Row],[Tech Start Date]],6),IF(Main[[#This Row],[Class]]="A",WORKDAY(Main[[#This Row],[Tech Start Date]],2),""))))</f>
        <v>40303</v>
      </c>
      <c r="N1281" s="77">
        <f>IF(Main[[#This Row],[Tech Start Date]]&lt;1/1/1990,"",IF(Main[[#This Row],[Class]]="C",WORKDAY(Main[[#This Row],[Tech Start Date]],19),IF(Main[[#This Row],[Class]]="B", WORKDAY(Main[[#This Row],[Tech Start Date]],12),IF(Main[[#This Row],[Class]]="A",WORKDAY(Main[[#This Row],[Tech Start Date]],4),""))))</f>
        <v>40311</v>
      </c>
      <c r="O1281" s="77">
        <f>IF(Main[[#This Row],[Tech Start Date]]&lt;1/1/1990,"",IF(Main[[#This Row],[Class]]="C",WORKDAY(Main[[#This Row],[Tech Start Date]],23),IF(Main[[#This Row],[Class]]="B", WORKDAY(Main[[#This Row],[Tech Start Date]],15),IF(Main[[#This Row],[Class]]="A",WORKDAY(Main[[#This Row],[Tech Start Date]],5),""))))</f>
        <v>40316</v>
      </c>
      <c r="P1281" s="77">
        <f>IF(Main[[#This Row],[Tech Start Date]]&lt;1/1/1990,"",IF(Main[[#This Row],[Class]]="C",WORKDAY(Main[[#This Row],[Tech Start Date]],28),IF(Main[[#This Row],[Class]]="B", WORKDAY(Main[[#This Row],[Tech Start Date]],19),IF(Main[[#This Row],[Class]]="A",WORKDAY(Main[[#This Row],[Tech Start Date]],9),""))))</f>
        <v>40322</v>
      </c>
      <c r="Q1281" s="74">
        <v>40329</v>
      </c>
      <c r="R1281" s="74">
        <v>40325</v>
      </c>
      <c r="S1281" s="72" t="s">
        <v>6</v>
      </c>
      <c r="T1281" s="80" t="s">
        <v>4</v>
      </c>
      <c r="U1281" s="72" t="s">
        <v>14</v>
      </c>
      <c r="V1281" s="72" t="s">
        <v>1940</v>
      </c>
      <c r="W1281" s="72" t="s">
        <v>4</v>
      </c>
      <c r="X1281" s="72" t="s">
        <v>3070</v>
      </c>
      <c r="Y1281" s="72" t="s">
        <v>3306</v>
      </c>
      <c r="Z1281" s="72" t="s">
        <v>989</v>
      </c>
    </row>
    <row r="1282" spans="1:26" ht="18.600000000000001" customHeight="1">
      <c r="A1282" s="142" t="str">
        <f>IF(priority(Main[[#This Row],[Comments]])&lt;&gt;0, priority(Main[[#This Row],[Comments]]),"")</f>
        <v/>
      </c>
      <c r="B1282" s="90" t="s">
        <v>1894</v>
      </c>
      <c r="C1282" s="72" t="s">
        <v>33</v>
      </c>
      <c r="D1282" s="73" t="s">
        <v>941</v>
      </c>
      <c r="E1282" s="74">
        <v>40314.31863425926</v>
      </c>
      <c r="F1282" s="74">
        <v>40489</v>
      </c>
      <c r="G1282" s="75" t="str">
        <f>IF(stdProdLT(Main[[#This Row],[Comments]])=0.1,"N/A",IF(stdProdLT(Main[[#This Row],[Comments]])=0,"",stdProdLT(Main[[#This Row],[Comments]])))</f>
        <v/>
      </c>
      <c r="H1282" s="76">
        <f>IF(AND(Main[[#This Row],[In Stock Date]]&lt;&gt;"",Main[[#This Row],[Revised Due Date]]&lt;&gt;""),Main[[#This Row],[In Stock Date]]-Main[[#This Row],[Revised Due Date]],"")</f>
        <v>-373</v>
      </c>
      <c r="I1282" s="72" t="s">
        <v>165</v>
      </c>
      <c r="J1282" s="72" t="s">
        <v>4</v>
      </c>
      <c r="K1282" s="81" t="s">
        <v>1949</v>
      </c>
      <c r="L1282" s="74">
        <v>40331</v>
      </c>
      <c r="M1282" s="77" t="str">
        <f>IF(Main[[#This Row],[Tech Start Date]]&lt;1/1/1990,"",IF(Main[[#This Row],[Class]]="C",WORKDAY(Main[[#This Row],[Tech Start Date]],9),IF(Main[[#This Row],[Class]]="B", WORKDAY(Main[[#This Row],[Tech Start Date]],6),IF(Main[[#This Row],[Class]]="A",WORKDAY(Main[[#This Row],[Tech Start Date]],2),""))))</f>
        <v/>
      </c>
      <c r="N1282" s="77" t="str">
        <f>IF(Main[[#This Row],[Tech Start Date]]&lt;1/1/1990,"",IF(Main[[#This Row],[Class]]="C",WORKDAY(Main[[#This Row],[Tech Start Date]],19),IF(Main[[#This Row],[Class]]="B", WORKDAY(Main[[#This Row],[Tech Start Date]],12),IF(Main[[#This Row],[Class]]="A",WORKDAY(Main[[#This Row],[Tech Start Date]],4),""))))</f>
        <v/>
      </c>
      <c r="O1282" s="77" t="str">
        <f>IF(Main[[#This Row],[Tech Start Date]]&lt;1/1/1990,"",IF(Main[[#This Row],[Class]]="C",WORKDAY(Main[[#This Row],[Tech Start Date]],23),IF(Main[[#This Row],[Class]]="B", WORKDAY(Main[[#This Row],[Tech Start Date]],15),IF(Main[[#This Row],[Class]]="A",WORKDAY(Main[[#This Row],[Tech Start Date]],5),""))))</f>
        <v/>
      </c>
      <c r="P1282" s="77" t="str">
        <f>IF(Main[[#This Row],[Tech Start Date]]&lt;1/1/1990,"",IF(Main[[#This Row],[Class]]="C",WORKDAY(Main[[#This Row],[Tech Start Date]],28),IF(Main[[#This Row],[Class]]="B", WORKDAY(Main[[#This Row],[Tech Start Date]],19),IF(Main[[#This Row],[Class]]="A",WORKDAY(Main[[#This Row],[Tech Start Date]],9),""))))</f>
        <v/>
      </c>
      <c r="Q1282" s="74">
        <v>40349</v>
      </c>
      <c r="R1282" s="74">
        <v>40862</v>
      </c>
      <c r="S1282" s="72" t="s">
        <v>17</v>
      </c>
      <c r="T1282" s="80" t="s">
        <v>4</v>
      </c>
      <c r="U1282" s="72" t="s">
        <v>29</v>
      </c>
      <c r="V1282" s="72" t="s">
        <v>1940</v>
      </c>
      <c r="W1282" s="72" t="s">
        <v>1942</v>
      </c>
      <c r="X1282" s="72" t="s">
        <v>3071</v>
      </c>
      <c r="Y1282" s="72" t="s">
        <v>4</v>
      </c>
      <c r="Z1282" s="72" t="s">
        <v>421</v>
      </c>
    </row>
    <row r="1283" spans="1:26" ht="18.600000000000001" customHeight="1">
      <c r="A1283" s="142" t="str">
        <f>IF(priority(Main[[#This Row],[Comments]])&lt;&gt;0, priority(Main[[#This Row],[Comments]]),"")</f>
        <v/>
      </c>
      <c r="B1283" s="90" t="s">
        <v>1853</v>
      </c>
      <c r="C1283" s="72" t="s">
        <v>183</v>
      </c>
      <c r="D1283" s="73" t="s">
        <v>896</v>
      </c>
      <c r="E1283" s="74"/>
      <c r="F1283" s="74">
        <v>40421</v>
      </c>
      <c r="G1283" s="75" t="str">
        <f>IF(stdProdLT(Main[[#This Row],[Comments]])=0.1,"N/A",IF(stdProdLT(Main[[#This Row],[Comments]])=0,"",stdProdLT(Main[[#This Row],[Comments]])))</f>
        <v/>
      </c>
      <c r="H1283" s="76">
        <f>IF(AND(Main[[#This Row],[In Stock Date]]&lt;&gt;"",Main[[#This Row],[Revised Due Date]]&lt;&gt;""),Main[[#This Row],[In Stock Date]]-Main[[#This Row],[Revised Due Date]],"")</f>
        <v>4</v>
      </c>
      <c r="I1283" s="72" t="s">
        <v>897</v>
      </c>
      <c r="J1283" s="72" t="s">
        <v>51</v>
      </c>
      <c r="K1283" s="81" t="s">
        <v>1946</v>
      </c>
      <c r="L1283" s="74">
        <v>40354</v>
      </c>
      <c r="M1283" s="77">
        <f>IF(Main[[#This Row],[Tech Start Date]]&lt;1/1/1990,"",IF(Main[[#This Row],[Class]]="C",WORKDAY(Main[[#This Row],[Tech Start Date]],9),IF(Main[[#This Row],[Class]]="B", WORKDAY(Main[[#This Row],[Tech Start Date]],6),IF(Main[[#This Row],[Class]]="A",WORKDAY(Main[[#This Row],[Tech Start Date]],2),""))))</f>
        <v>40358</v>
      </c>
      <c r="N1283" s="77">
        <f>IF(Main[[#This Row],[Tech Start Date]]&lt;1/1/1990,"",IF(Main[[#This Row],[Class]]="C",WORKDAY(Main[[#This Row],[Tech Start Date]],19),IF(Main[[#This Row],[Class]]="B", WORKDAY(Main[[#This Row],[Tech Start Date]],12),IF(Main[[#This Row],[Class]]="A",WORKDAY(Main[[#This Row],[Tech Start Date]],4),""))))</f>
        <v>40360</v>
      </c>
      <c r="O1283" s="77">
        <f>IF(Main[[#This Row],[Tech Start Date]]&lt;1/1/1990,"",IF(Main[[#This Row],[Class]]="C",WORKDAY(Main[[#This Row],[Tech Start Date]],23),IF(Main[[#This Row],[Class]]="B", WORKDAY(Main[[#This Row],[Tech Start Date]],15),IF(Main[[#This Row],[Class]]="A",WORKDAY(Main[[#This Row],[Tech Start Date]],5),""))))</f>
        <v>40361</v>
      </c>
      <c r="P1283" s="77">
        <f>IF(Main[[#This Row],[Tech Start Date]]&lt;1/1/1990,"",IF(Main[[#This Row],[Class]]="C",WORKDAY(Main[[#This Row],[Tech Start Date]],28),IF(Main[[#This Row],[Class]]="B", WORKDAY(Main[[#This Row],[Tech Start Date]],19),IF(Main[[#This Row],[Class]]="A",WORKDAY(Main[[#This Row],[Tech Start Date]],9),""))))</f>
        <v>40367</v>
      </c>
      <c r="Q1283" s="74">
        <v>40417</v>
      </c>
      <c r="R1283" s="74">
        <v>40417</v>
      </c>
      <c r="S1283" s="72" t="s">
        <v>11</v>
      </c>
      <c r="T1283" s="80" t="s">
        <v>4</v>
      </c>
      <c r="U1283" s="72" t="s">
        <v>14</v>
      </c>
      <c r="V1283" s="72" t="s">
        <v>1947</v>
      </c>
      <c r="W1283" s="72" t="s">
        <v>1943</v>
      </c>
      <c r="X1283" s="72" t="s">
        <v>3024</v>
      </c>
      <c r="Y1283" s="72" t="s">
        <v>3154</v>
      </c>
      <c r="Z1283" s="72" t="s">
        <v>897</v>
      </c>
    </row>
    <row r="1284" spans="1:26" ht="18.600000000000001" customHeight="1">
      <c r="A1284" s="142" t="str">
        <f>IF(priority(Main[[#This Row],[Comments]])&lt;&gt;0, priority(Main[[#This Row],[Comments]]),"")</f>
        <v/>
      </c>
      <c r="B1284" s="90" t="s">
        <v>1852</v>
      </c>
      <c r="C1284" s="72" t="s">
        <v>183</v>
      </c>
      <c r="D1284" s="73" t="s">
        <v>898</v>
      </c>
      <c r="E1284" s="74"/>
      <c r="F1284" s="74">
        <v>40421</v>
      </c>
      <c r="G1284" s="75" t="str">
        <f>IF(stdProdLT(Main[[#This Row],[Comments]])=0.1,"N/A",IF(stdProdLT(Main[[#This Row],[Comments]])=0,"",stdProdLT(Main[[#This Row],[Comments]])))</f>
        <v/>
      </c>
      <c r="H1284" s="76">
        <f>IF(AND(Main[[#This Row],[In Stock Date]]&lt;&gt;"",Main[[#This Row],[Revised Due Date]]&lt;&gt;""),Main[[#This Row],[In Stock Date]]-Main[[#This Row],[Revised Due Date]],"")</f>
        <v>4</v>
      </c>
      <c r="I1284" s="72" t="s">
        <v>897</v>
      </c>
      <c r="J1284" s="72" t="s">
        <v>51</v>
      </c>
      <c r="K1284" s="72" t="s">
        <v>1946</v>
      </c>
      <c r="L1284" s="74">
        <v>40354</v>
      </c>
      <c r="M1284" s="77">
        <f>IF(Main[[#This Row],[Tech Start Date]]&lt;1/1/1990,"",IF(Main[[#This Row],[Class]]="C",WORKDAY(Main[[#This Row],[Tech Start Date]],9),IF(Main[[#This Row],[Class]]="B", WORKDAY(Main[[#This Row],[Tech Start Date]],6),IF(Main[[#This Row],[Class]]="A",WORKDAY(Main[[#This Row],[Tech Start Date]],2),""))))</f>
        <v>40358</v>
      </c>
      <c r="N1284" s="77">
        <f>IF(Main[[#This Row],[Tech Start Date]]&lt;1/1/1990,"",IF(Main[[#This Row],[Class]]="C",WORKDAY(Main[[#This Row],[Tech Start Date]],19),IF(Main[[#This Row],[Class]]="B", WORKDAY(Main[[#This Row],[Tech Start Date]],12),IF(Main[[#This Row],[Class]]="A",WORKDAY(Main[[#This Row],[Tech Start Date]],4),""))))</f>
        <v>40360</v>
      </c>
      <c r="O1284" s="77">
        <f>IF(Main[[#This Row],[Tech Start Date]]&lt;1/1/1990,"",IF(Main[[#This Row],[Class]]="C",WORKDAY(Main[[#This Row],[Tech Start Date]],23),IF(Main[[#This Row],[Class]]="B", WORKDAY(Main[[#This Row],[Tech Start Date]],15),IF(Main[[#This Row],[Class]]="A",WORKDAY(Main[[#This Row],[Tech Start Date]],5),""))))</f>
        <v>40361</v>
      </c>
      <c r="P1284" s="77">
        <f>IF(Main[[#This Row],[Tech Start Date]]&lt;1/1/1990,"",IF(Main[[#This Row],[Class]]="C",WORKDAY(Main[[#This Row],[Tech Start Date]],28),IF(Main[[#This Row],[Class]]="B", WORKDAY(Main[[#This Row],[Tech Start Date]],19),IF(Main[[#This Row],[Class]]="A",WORKDAY(Main[[#This Row],[Tech Start Date]],9),""))))</f>
        <v>40367</v>
      </c>
      <c r="Q1284" s="74">
        <v>40417</v>
      </c>
      <c r="R1284" s="74">
        <v>40417</v>
      </c>
      <c r="S1284" s="72" t="s">
        <v>11</v>
      </c>
      <c r="T1284" s="80" t="s">
        <v>4</v>
      </c>
      <c r="U1284" s="72" t="s">
        <v>14</v>
      </c>
      <c r="V1284" s="72" t="s">
        <v>1947</v>
      </c>
      <c r="W1284" s="72" t="s">
        <v>1943</v>
      </c>
      <c r="X1284" s="72" t="s">
        <v>3024</v>
      </c>
      <c r="Y1284" s="72" t="s">
        <v>3154</v>
      </c>
      <c r="Z1284" s="72" t="s">
        <v>897</v>
      </c>
    </row>
    <row r="1285" spans="1:26" ht="18.600000000000001" customHeight="1">
      <c r="A1285" s="142" t="str">
        <f>IF(priority(Main[[#This Row],[Comments]])&lt;&gt;0, priority(Main[[#This Row],[Comments]]),"")</f>
        <v/>
      </c>
      <c r="B1285" s="90" t="s">
        <v>1850</v>
      </c>
      <c r="C1285" s="72" t="s">
        <v>893</v>
      </c>
      <c r="D1285" s="73" t="s">
        <v>894</v>
      </c>
      <c r="E1285" s="74"/>
      <c r="F1285" s="74">
        <v>40442</v>
      </c>
      <c r="G1285" s="75" t="str">
        <f>IF(stdProdLT(Main[[#This Row],[Comments]])=0.1,"N/A",IF(stdProdLT(Main[[#This Row],[Comments]])=0,"",stdProdLT(Main[[#This Row],[Comments]])))</f>
        <v/>
      </c>
      <c r="H1285" s="76">
        <f>IF(AND(Main[[#This Row],[In Stock Date]]&lt;&gt;"",Main[[#This Row],[Revised Due Date]]&lt;&gt;""),Main[[#This Row],[In Stock Date]]-Main[[#This Row],[Revised Due Date]],"")</f>
        <v>40</v>
      </c>
      <c r="I1285" s="72" t="s">
        <v>560</v>
      </c>
      <c r="J1285" s="72" t="s">
        <v>28</v>
      </c>
      <c r="K1285" s="72" t="s">
        <v>1949</v>
      </c>
      <c r="L1285" s="74">
        <v>40366</v>
      </c>
      <c r="M1285" s="77" t="str">
        <f>IF(Main[[#This Row],[Tech Start Date]]&lt;1/1/1990,"",IF(Main[[#This Row],[Class]]="C",WORKDAY(Main[[#This Row],[Tech Start Date]],9),IF(Main[[#This Row],[Class]]="B", WORKDAY(Main[[#This Row],[Tech Start Date]],6),IF(Main[[#This Row],[Class]]="A",WORKDAY(Main[[#This Row],[Tech Start Date]],2),""))))</f>
        <v/>
      </c>
      <c r="N1285" s="77" t="str">
        <f>IF(Main[[#This Row],[Tech Start Date]]&lt;1/1/1990,"",IF(Main[[#This Row],[Class]]="C",WORKDAY(Main[[#This Row],[Tech Start Date]],19),IF(Main[[#This Row],[Class]]="B", WORKDAY(Main[[#This Row],[Tech Start Date]],12),IF(Main[[#This Row],[Class]]="A",WORKDAY(Main[[#This Row],[Tech Start Date]],4),""))))</f>
        <v/>
      </c>
      <c r="O1285" s="77" t="str">
        <f>IF(Main[[#This Row],[Tech Start Date]]&lt;1/1/1990,"",IF(Main[[#This Row],[Class]]="C",WORKDAY(Main[[#This Row],[Tech Start Date]],23),IF(Main[[#This Row],[Class]]="B", WORKDAY(Main[[#This Row],[Tech Start Date]],15),IF(Main[[#This Row],[Class]]="A",WORKDAY(Main[[#This Row],[Tech Start Date]],5),""))))</f>
        <v/>
      </c>
      <c r="P1285" s="77" t="str">
        <f>IF(Main[[#This Row],[Tech Start Date]]&lt;1/1/1990,"",IF(Main[[#This Row],[Class]]="C",WORKDAY(Main[[#This Row],[Tech Start Date]],28),IF(Main[[#This Row],[Class]]="B", WORKDAY(Main[[#This Row],[Tech Start Date]],19),IF(Main[[#This Row],[Class]]="A",WORKDAY(Main[[#This Row],[Tech Start Date]],9),""))))</f>
        <v/>
      </c>
      <c r="Q1285" s="74">
        <v>40374</v>
      </c>
      <c r="R1285" s="74">
        <v>40402</v>
      </c>
      <c r="S1285" s="72" t="s">
        <v>11</v>
      </c>
      <c r="T1285" s="80" t="s">
        <v>4</v>
      </c>
      <c r="U1285" s="72" t="s">
        <v>14</v>
      </c>
      <c r="V1285" s="72" t="s">
        <v>1940</v>
      </c>
      <c r="W1285" s="72" t="s">
        <v>1942</v>
      </c>
      <c r="X1285" s="72" t="s">
        <v>3026</v>
      </c>
      <c r="Y1285" s="72" t="s">
        <v>3177</v>
      </c>
      <c r="Z1285" s="72" t="s">
        <v>4</v>
      </c>
    </row>
    <row r="1286" spans="1:26" ht="18.600000000000001" customHeight="1">
      <c r="A1286" s="142" t="str">
        <f>IF(priority(Main[[#This Row],[Comments]])&lt;&gt;0, priority(Main[[#This Row],[Comments]]),"")</f>
        <v/>
      </c>
      <c r="B1286" s="90" t="s">
        <v>1263</v>
      </c>
      <c r="C1286" s="72" t="s">
        <v>4</v>
      </c>
      <c r="D1286" s="73" t="s">
        <v>314</v>
      </c>
      <c r="E1286" s="74">
        <v>40395.401192129626</v>
      </c>
      <c r="F1286" s="74">
        <v>40574</v>
      </c>
      <c r="G1286" s="75" t="str">
        <f>IF(stdProdLT(Main[[#This Row],[Comments]])=0.1,"N/A",IF(stdProdLT(Main[[#This Row],[Comments]])=0,"",stdProdLT(Main[[#This Row],[Comments]])))</f>
        <v/>
      </c>
      <c r="H1286" s="76">
        <f>IF(AND(Main[[#This Row],[In Stock Date]]&lt;&gt;"",Main[[#This Row],[Revised Due Date]]&lt;&gt;""),Main[[#This Row],[In Stock Date]]-Main[[#This Row],[Revised Due Date]],"")</f>
        <v>-465</v>
      </c>
      <c r="I1286" s="72" t="s">
        <v>4</v>
      </c>
      <c r="J1286" s="72" t="s">
        <v>28</v>
      </c>
      <c r="K1286" s="72" t="s">
        <v>1949</v>
      </c>
      <c r="L1286" s="74">
        <v>40405</v>
      </c>
      <c r="M1286" s="77" t="str">
        <f>IF(Main[[#This Row],[Tech Start Date]]&lt;1/1/1990,"",IF(Main[[#This Row],[Class]]="C",WORKDAY(Main[[#This Row],[Tech Start Date]],9),IF(Main[[#This Row],[Class]]="B", WORKDAY(Main[[#This Row],[Tech Start Date]],6),IF(Main[[#This Row],[Class]]="A",WORKDAY(Main[[#This Row],[Tech Start Date]],2),""))))</f>
        <v/>
      </c>
      <c r="N1286" s="77" t="str">
        <f>IF(Main[[#This Row],[Tech Start Date]]&lt;1/1/1990,"",IF(Main[[#This Row],[Class]]="C",WORKDAY(Main[[#This Row],[Tech Start Date]],19),IF(Main[[#This Row],[Class]]="B", WORKDAY(Main[[#This Row],[Tech Start Date]],12),IF(Main[[#This Row],[Class]]="A",WORKDAY(Main[[#This Row],[Tech Start Date]],4),""))))</f>
        <v/>
      </c>
      <c r="O1286" s="77" t="str">
        <f>IF(Main[[#This Row],[Tech Start Date]]&lt;1/1/1990,"",IF(Main[[#This Row],[Class]]="C",WORKDAY(Main[[#This Row],[Tech Start Date]],23),IF(Main[[#This Row],[Class]]="B", WORKDAY(Main[[#This Row],[Tech Start Date]],15),IF(Main[[#This Row],[Class]]="A",WORKDAY(Main[[#This Row],[Tech Start Date]],5),""))))</f>
        <v/>
      </c>
      <c r="P1286" s="77" t="str">
        <f>IF(Main[[#This Row],[Tech Start Date]]&lt;1/1/1990,"",IF(Main[[#This Row],[Class]]="C",WORKDAY(Main[[#This Row],[Tech Start Date]],28),IF(Main[[#This Row],[Class]]="B", WORKDAY(Main[[#This Row],[Tech Start Date]],19),IF(Main[[#This Row],[Class]]="A",WORKDAY(Main[[#This Row],[Tech Start Date]],9),""))))</f>
        <v/>
      </c>
      <c r="Q1286" s="74"/>
      <c r="R1286" s="74">
        <v>41039</v>
      </c>
      <c r="S1286" s="72" t="s">
        <v>17</v>
      </c>
      <c r="T1286" s="80" t="s">
        <v>4</v>
      </c>
      <c r="U1286" s="72" t="s">
        <v>29</v>
      </c>
      <c r="V1286" s="72" t="s">
        <v>1940</v>
      </c>
      <c r="W1286" s="72" t="s">
        <v>1942</v>
      </c>
      <c r="X1286" s="72" t="s">
        <v>50</v>
      </c>
      <c r="Y1286" s="72" t="s">
        <v>3143</v>
      </c>
      <c r="Z1286" s="72" t="s">
        <v>984</v>
      </c>
    </row>
    <row r="1287" spans="1:26" ht="18.600000000000001" customHeight="1">
      <c r="A1287" s="142" t="str">
        <f>IF(priority(Main[[#This Row],[Comments]])&lt;&gt;0, priority(Main[[#This Row],[Comments]]),"")</f>
        <v/>
      </c>
      <c r="B1287" s="90" t="s">
        <v>1732</v>
      </c>
      <c r="C1287" s="72" t="s">
        <v>4</v>
      </c>
      <c r="D1287" s="73" t="s">
        <v>774</v>
      </c>
      <c r="E1287" s="74">
        <v>40395.395856481482</v>
      </c>
      <c r="F1287" s="74">
        <v>40574</v>
      </c>
      <c r="G1287" s="75" t="str">
        <f>IF(stdProdLT(Main[[#This Row],[Comments]])=0.1,"N/A",IF(stdProdLT(Main[[#This Row],[Comments]])=0,"",stdProdLT(Main[[#This Row],[Comments]])))</f>
        <v/>
      </c>
      <c r="H1287" s="76">
        <f>IF(AND(Main[[#This Row],[In Stock Date]]&lt;&gt;"",Main[[#This Row],[Revised Due Date]]&lt;&gt;""),Main[[#This Row],[In Stock Date]]-Main[[#This Row],[Revised Due Date]],"")</f>
        <v>-431</v>
      </c>
      <c r="I1287" s="72" t="s">
        <v>4</v>
      </c>
      <c r="J1287" s="72" t="s">
        <v>28</v>
      </c>
      <c r="K1287" s="72" t="s">
        <v>1949</v>
      </c>
      <c r="L1287" s="74">
        <v>40405</v>
      </c>
      <c r="M1287" s="77" t="str">
        <f>IF(Main[[#This Row],[Tech Start Date]]&lt;1/1/1990,"",IF(Main[[#This Row],[Class]]="C",WORKDAY(Main[[#This Row],[Tech Start Date]],9),IF(Main[[#This Row],[Class]]="B", WORKDAY(Main[[#This Row],[Tech Start Date]],6),IF(Main[[#This Row],[Class]]="A",WORKDAY(Main[[#This Row],[Tech Start Date]],2),""))))</f>
        <v/>
      </c>
      <c r="N1287" s="77" t="str">
        <f>IF(Main[[#This Row],[Tech Start Date]]&lt;1/1/1990,"",IF(Main[[#This Row],[Class]]="C",WORKDAY(Main[[#This Row],[Tech Start Date]],19),IF(Main[[#This Row],[Class]]="B", WORKDAY(Main[[#This Row],[Tech Start Date]],12),IF(Main[[#This Row],[Class]]="A",WORKDAY(Main[[#This Row],[Tech Start Date]],4),""))))</f>
        <v/>
      </c>
      <c r="O1287" s="77" t="str">
        <f>IF(Main[[#This Row],[Tech Start Date]]&lt;1/1/1990,"",IF(Main[[#This Row],[Class]]="C",WORKDAY(Main[[#This Row],[Tech Start Date]],23),IF(Main[[#This Row],[Class]]="B", WORKDAY(Main[[#This Row],[Tech Start Date]],15),IF(Main[[#This Row],[Class]]="A",WORKDAY(Main[[#This Row],[Tech Start Date]],5),""))))</f>
        <v/>
      </c>
      <c r="P1287" s="77" t="str">
        <f>IF(Main[[#This Row],[Tech Start Date]]&lt;1/1/1990,"",IF(Main[[#This Row],[Class]]="C",WORKDAY(Main[[#This Row],[Tech Start Date]],28),IF(Main[[#This Row],[Class]]="B", WORKDAY(Main[[#This Row],[Tech Start Date]],19),IF(Main[[#This Row],[Class]]="A",WORKDAY(Main[[#This Row],[Tech Start Date]],9),""))))</f>
        <v/>
      </c>
      <c r="Q1287" s="74"/>
      <c r="R1287" s="74">
        <v>41005</v>
      </c>
      <c r="S1287" s="72" t="s">
        <v>17</v>
      </c>
      <c r="T1287" s="80" t="s">
        <v>4</v>
      </c>
      <c r="U1287" s="72" t="s">
        <v>29</v>
      </c>
      <c r="V1287" s="72" t="s">
        <v>1940</v>
      </c>
      <c r="W1287" s="72" t="s">
        <v>1942</v>
      </c>
      <c r="X1287" s="72" t="s">
        <v>50</v>
      </c>
      <c r="Y1287" s="72" t="s">
        <v>3143</v>
      </c>
      <c r="Z1287" s="72" t="s">
        <v>984</v>
      </c>
    </row>
    <row r="1288" spans="1:26" ht="18.600000000000001" customHeight="1">
      <c r="A1288" s="142" t="str">
        <f>IF(priority(Main[[#This Row],[Comments]])&lt;&gt;0, priority(Main[[#This Row],[Comments]]),"")</f>
        <v/>
      </c>
      <c r="B1288" s="90" t="s">
        <v>1541</v>
      </c>
      <c r="C1288" s="72" t="s">
        <v>4</v>
      </c>
      <c r="D1288" s="73" t="s">
        <v>2958</v>
      </c>
      <c r="E1288" s="74">
        <v>40436.377106481479</v>
      </c>
      <c r="F1288" s="74"/>
      <c r="G1288" s="75" t="str">
        <f>IF(stdProdLT(Main[[#This Row],[Comments]])=0.1,"N/A",IF(stdProdLT(Main[[#This Row],[Comments]])=0,"",stdProdLT(Main[[#This Row],[Comments]])))</f>
        <v/>
      </c>
      <c r="H1288" s="76" t="str">
        <f>IF(AND(Main[[#This Row],[In Stock Date]]&lt;&gt;"",Main[[#This Row],[Revised Due Date]]&lt;&gt;""),Main[[#This Row],[In Stock Date]]-Main[[#This Row],[Revised Due Date]],"")</f>
        <v/>
      </c>
      <c r="I1288" s="72" t="s">
        <v>900</v>
      </c>
      <c r="J1288" s="72" t="s">
        <v>4</v>
      </c>
      <c r="K1288" s="72" t="s">
        <v>1949</v>
      </c>
      <c r="L1288" s="74">
        <v>40441</v>
      </c>
      <c r="M1288" s="77" t="str">
        <f>IF(Main[[#This Row],[Tech Start Date]]&lt;1/1/1990,"",IF(Main[[#This Row],[Class]]="C",WORKDAY(Main[[#This Row],[Tech Start Date]],9),IF(Main[[#This Row],[Class]]="B", WORKDAY(Main[[#This Row],[Tech Start Date]],6),IF(Main[[#This Row],[Class]]="A",WORKDAY(Main[[#This Row],[Tech Start Date]],2),""))))</f>
        <v/>
      </c>
      <c r="N1288" s="77" t="str">
        <f>IF(Main[[#This Row],[Tech Start Date]]&lt;1/1/1990,"",IF(Main[[#This Row],[Class]]="C",WORKDAY(Main[[#This Row],[Tech Start Date]],19),IF(Main[[#This Row],[Class]]="B", WORKDAY(Main[[#This Row],[Tech Start Date]],12),IF(Main[[#This Row],[Class]]="A",WORKDAY(Main[[#This Row],[Tech Start Date]],4),""))))</f>
        <v/>
      </c>
      <c r="O1288" s="77" t="str">
        <f>IF(Main[[#This Row],[Tech Start Date]]&lt;1/1/1990,"",IF(Main[[#This Row],[Class]]="C",WORKDAY(Main[[#This Row],[Tech Start Date]],23),IF(Main[[#This Row],[Class]]="B", WORKDAY(Main[[#This Row],[Tech Start Date]],15),IF(Main[[#This Row],[Class]]="A",WORKDAY(Main[[#This Row],[Tech Start Date]],5),""))))</f>
        <v/>
      </c>
      <c r="P1288" s="77" t="str">
        <f>IF(Main[[#This Row],[Tech Start Date]]&lt;1/1/1990,"",IF(Main[[#This Row],[Class]]="C",WORKDAY(Main[[#This Row],[Tech Start Date]],28),IF(Main[[#This Row],[Class]]="B", WORKDAY(Main[[#This Row],[Tech Start Date]],19),IF(Main[[#This Row],[Class]]="A",WORKDAY(Main[[#This Row],[Tech Start Date]],9),""))))</f>
        <v/>
      </c>
      <c r="Q1288" s="74">
        <v>41274</v>
      </c>
      <c r="R1288" s="74">
        <v>41180</v>
      </c>
      <c r="S1288" s="72" t="s">
        <v>17</v>
      </c>
      <c r="T1288" s="80" t="s">
        <v>2668</v>
      </c>
      <c r="U1288" s="72" t="s">
        <v>29</v>
      </c>
      <c r="V1288" s="72" t="s">
        <v>1937</v>
      </c>
      <c r="W1288" s="72" t="s">
        <v>1942</v>
      </c>
      <c r="X1288" s="72" t="s">
        <v>937</v>
      </c>
      <c r="Y1288" s="72" t="s">
        <v>3307</v>
      </c>
      <c r="Z1288" s="72" t="s">
        <v>891</v>
      </c>
    </row>
    <row r="1289" spans="1:26" ht="18.600000000000001" customHeight="1">
      <c r="A1289" s="142" t="str">
        <f>IF(priority(Main[[#This Row],[Comments]])&lt;&gt;0, priority(Main[[#This Row],[Comments]]),"")</f>
        <v/>
      </c>
      <c r="B1289" s="90" t="s">
        <v>1862</v>
      </c>
      <c r="C1289" s="72" t="s">
        <v>4</v>
      </c>
      <c r="D1289" s="73" t="s">
        <v>910</v>
      </c>
      <c r="E1289" s="74"/>
      <c r="F1289" s="74"/>
      <c r="G1289" s="75" t="str">
        <f>IF(stdProdLT(Main[[#This Row],[Comments]])=0.1,"N/A",IF(stdProdLT(Main[[#This Row],[Comments]])=0,"",stdProdLT(Main[[#This Row],[Comments]])))</f>
        <v/>
      </c>
      <c r="H1289" s="76" t="str">
        <f>IF(AND(Main[[#This Row],[In Stock Date]]&lt;&gt;"",Main[[#This Row],[Revised Due Date]]&lt;&gt;""),Main[[#This Row],[In Stock Date]]-Main[[#This Row],[Revised Due Date]],"")</f>
        <v/>
      </c>
      <c r="I1289" s="72" t="s">
        <v>719</v>
      </c>
      <c r="J1289" s="72" t="s">
        <v>4</v>
      </c>
      <c r="K1289" s="72" t="s">
        <v>4</v>
      </c>
      <c r="L1289" s="74">
        <v>40469</v>
      </c>
      <c r="M1289" s="77" t="str">
        <f>IF(Main[[#This Row],[Tech Start Date]]&lt;1/1/1990,"",IF(Main[[#This Row],[Class]]="C",WORKDAY(Main[[#This Row],[Tech Start Date]],9),IF(Main[[#This Row],[Class]]="B", WORKDAY(Main[[#This Row],[Tech Start Date]],6),IF(Main[[#This Row],[Class]]="A",WORKDAY(Main[[#This Row],[Tech Start Date]],2),""))))</f>
        <v/>
      </c>
      <c r="N1289" s="77" t="str">
        <f>IF(Main[[#This Row],[Tech Start Date]]&lt;1/1/1990,"",IF(Main[[#This Row],[Class]]="C",WORKDAY(Main[[#This Row],[Tech Start Date]],19),IF(Main[[#This Row],[Class]]="B", WORKDAY(Main[[#This Row],[Tech Start Date]],12),IF(Main[[#This Row],[Class]]="A",WORKDAY(Main[[#This Row],[Tech Start Date]],4),""))))</f>
        <v/>
      </c>
      <c r="O1289" s="77" t="str">
        <f>IF(Main[[#This Row],[Tech Start Date]]&lt;1/1/1990,"",IF(Main[[#This Row],[Class]]="C",WORKDAY(Main[[#This Row],[Tech Start Date]],23),IF(Main[[#This Row],[Class]]="B", WORKDAY(Main[[#This Row],[Tech Start Date]],15),IF(Main[[#This Row],[Class]]="A",WORKDAY(Main[[#This Row],[Tech Start Date]],5),""))))</f>
        <v/>
      </c>
      <c r="P1289" s="77" t="str">
        <f>IF(Main[[#This Row],[Tech Start Date]]&lt;1/1/1990,"",IF(Main[[#This Row],[Class]]="C",WORKDAY(Main[[#This Row],[Tech Start Date]],28),IF(Main[[#This Row],[Class]]="B", WORKDAY(Main[[#This Row],[Tech Start Date]],19),IF(Main[[#This Row],[Class]]="A",WORKDAY(Main[[#This Row],[Tech Start Date]],9),""))))</f>
        <v/>
      </c>
      <c r="Q1289" s="74"/>
      <c r="R1289" s="74">
        <v>40473</v>
      </c>
      <c r="S1289" s="72" t="s">
        <v>23</v>
      </c>
      <c r="T1289" s="80" t="s">
        <v>4</v>
      </c>
      <c r="U1289" s="72" t="s">
        <v>14</v>
      </c>
      <c r="V1289" s="72" t="s">
        <v>1937</v>
      </c>
      <c r="W1289" s="72" t="s">
        <v>1941</v>
      </c>
      <c r="X1289" s="72" t="s">
        <v>311</v>
      </c>
      <c r="Y1289" s="72" t="s">
        <v>4</v>
      </c>
      <c r="Z1289" s="72" t="s">
        <v>129</v>
      </c>
    </row>
    <row r="1290" spans="1:26" ht="18.600000000000001" customHeight="1">
      <c r="A1290" s="142" t="str">
        <f>IF(priority(Main[[#This Row],[Comments]])&lt;&gt;0, priority(Main[[#This Row],[Comments]]),"")</f>
        <v/>
      </c>
      <c r="B1290" s="90" t="s">
        <v>1122</v>
      </c>
      <c r="C1290" s="72" t="s">
        <v>4</v>
      </c>
      <c r="D1290" s="73" t="s">
        <v>130</v>
      </c>
      <c r="E1290" s="74">
        <v>40462.452245370368</v>
      </c>
      <c r="F1290" s="74"/>
      <c r="G1290" s="75" t="str">
        <f>IF(stdProdLT(Main[[#This Row],[Comments]])=0.1,"N/A",IF(stdProdLT(Main[[#This Row],[Comments]])=0,"",stdProdLT(Main[[#This Row],[Comments]])))</f>
        <v/>
      </c>
      <c r="H1290" s="76" t="str">
        <f>IF(AND(Main[[#This Row],[In Stock Date]]&lt;&gt;"",Main[[#This Row],[Revised Due Date]]&lt;&gt;""),Main[[#This Row],[In Stock Date]]-Main[[#This Row],[Revised Due Date]],"")</f>
        <v/>
      </c>
      <c r="I1290" s="72" t="s">
        <v>242</v>
      </c>
      <c r="J1290" s="72" t="s">
        <v>52</v>
      </c>
      <c r="K1290" s="72" t="s">
        <v>1944</v>
      </c>
      <c r="L1290" s="74">
        <v>40486</v>
      </c>
      <c r="M1290" s="77">
        <f>IF(Main[[#This Row],[Tech Start Date]]&lt;1/1/1990,"",IF(Main[[#This Row],[Class]]="C",WORKDAY(Main[[#This Row],[Tech Start Date]],9),IF(Main[[#This Row],[Class]]="B", WORKDAY(Main[[#This Row],[Tech Start Date]],6),IF(Main[[#This Row],[Class]]="A",WORKDAY(Main[[#This Row],[Tech Start Date]],2),""))))</f>
        <v>40494</v>
      </c>
      <c r="N1290" s="77">
        <f>IF(Main[[#This Row],[Tech Start Date]]&lt;1/1/1990,"",IF(Main[[#This Row],[Class]]="C",WORKDAY(Main[[#This Row],[Tech Start Date]],19),IF(Main[[#This Row],[Class]]="B", WORKDAY(Main[[#This Row],[Tech Start Date]],12),IF(Main[[#This Row],[Class]]="A",WORKDAY(Main[[#This Row],[Tech Start Date]],4),""))))</f>
        <v>40504</v>
      </c>
      <c r="O1290" s="77">
        <f>IF(Main[[#This Row],[Tech Start Date]]&lt;1/1/1990,"",IF(Main[[#This Row],[Class]]="C",WORKDAY(Main[[#This Row],[Tech Start Date]],23),IF(Main[[#This Row],[Class]]="B", WORKDAY(Main[[#This Row],[Tech Start Date]],15),IF(Main[[#This Row],[Class]]="A",WORKDAY(Main[[#This Row],[Tech Start Date]],5),""))))</f>
        <v>40507</v>
      </c>
      <c r="P1290" s="77">
        <f>IF(Main[[#This Row],[Tech Start Date]]&lt;1/1/1990,"",IF(Main[[#This Row],[Class]]="C",WORKDAY(Main[[#This Row],[Tech Start Date]],28),IF(Main[[#This Row],[Class]]="B", WORKDAY(Main[[#This Row],[Tech Start Date]],19),IF(Main[[#This Row],[Class]]="A",WORKDAY(Main[[#This Row],[Tech Start Date]],9),""))))</f>
        <v>40513</v>
      </c>
      <c r="Q1290" s="74">
        <v>40543</v>
      </c>
      <c r="R1290" s="74"/>
      <c r="S1290" s="72" t="s">
        <v>6</v>
      </c>
      <c r="T1290" s="80" t="s">
        <v>4</v>
      </c>
      <c r="U1290" s="72" t="s">
        <v>29</v>
      </c>
      <c r="V1290" s="72" t="s">
        <v>1940</v>
      </c>
      <c r="W1290" s="72" t="s">
        <v>1941</v>
      </c>
      <c r="X1290" s="72" t="s">
        <v>3039</v>
      </c>
      <c r="Y1290" s="72" t="s">
        <v>3201</v>
      </c>
      <c r="Z1290" s="72" t="s">
        <v>30</v>
      </c>
    </row>
    <row r="1291" spans="1:26" ht="18.600000000000001" customHeight="1">
      <c r="A1291" s="142" t="str">
        <f>IF(priority(Main[[#This Row],[Comments]])&lt;&gt;0, priority(Main[[#This Row],[Comments]]),"")</f>
        <v/>
      </c>
      <c r="B1291" s="90" t="s">
        <v>1105</v>
      </c>
      <c r="C1291" s="72" t="s">
        <v>4</v>
      </c>
      <c r="D1291" s="73" t="s">
        <v>2026</v>
      </c>
      <c r="E1291" s="74"/>
      <c r="F1291" s="74"/>
      <c r="G1291" s="75" t="str">
        <f>IF(stdProdLT(Main[[#This Row],[Comments]])=0.1,"N/A",IF(stdProdLT(Main[[#This Row],[Comments]])=0,"",stdProdLT(Main[[#This Row],[Comments]])))</f>
        <v/>
      </c>
      <c r="H1291" s="76" t="str">
        <f>IF(AND(Main[[#This Row],[In Stock Date]]&lt;&gt;"",Main[[#This Row],[Revised Due Date]]&lt;&gt;""),Main[[#This Row],[In Stock Date]]-Main[[#This Row],[Revised Due Date]],"")</f>
        <v/>
      </c>
      <c r="I1291" s="72" t="s">
        <v>30</v>
      </c>
      <c r="J1291" s="72" t="s">
        <v>28</v>
      </c>
      <c r="K1291" s="72" t="s">
        <v>1944</v>
      </c>
      <c r="L1291" s="74">
        <v>40486</v>
      </c>
      <c r="M1291" s="77">
        <f>IF(Main[[#This Row],[Tech Start Date]]&lt;1/1/1990,"",IF(Main[[#This Row],[Class]]="C",WORKDAY(Main[[#This Row],[Tech Start Date]],9),IF(Main[[#This Row],[Class]]="B", WORKDAY(Main[[#This Row],[Tech Start Date]],6),IF(Main[[#This Row],[Class]]="A",WORKDAY(Main[[#This Row],[Tech Start Date]],2),""))))</f>
        <v>40494</v>
      </c>
      <c r="N1291" s="77">
        <f>IF(Main[[#This Row],[Tech Start Date]]&lt;1/1/1990,"",IF(Main[[#This Row],[Class]]="C",WORKDAY(Main[[#This Row],[Tech Start Date]],19),IF(Main[[#This Row],[Class]]="B", WORKDAY(Main[[#This Row],[Tech Start Date]],12),IF(Main[[#This Row],[Class]]="A",WORKDAY(Main[[#This Row],[Tech Start Date]],4),""))))</f>
        <v>40504</v>
      </c>
      <c r="O1291" s="77">
        <f>IF(Main[[#This Row],[Tech Start Date]]&lt;1/1/1990,"",IF(Main[[#This Row],[Class]]="C",WORKDAY(Main[[#This Row],[Tech Start Date]],23),IF(Main[[#This Row],[Class]]="B", WORKDAY(Main[[#This Row],[Tech Start Date]],15),IF(Main[[#This Row],[Class]]="A",WORKDAY(Main[[#This Row],[Tech Start Date]],5),""))))</f>
        <v>40507</v>
      </c>
      <c r="P1291" s="77">
        <f>IF(Main[[#This Row],[Tech Start Date]]&lt;1/1/1990,"",IF(Main[[#This Row],[Class]]="C",WORKDAY(Main[[#This Row],[Tech Start Date]],28),IF(Main[[#This Row],[Class]]="B", WORKDAY(Main[[#This Row],[Tech Start Date]],19),IF(Main[[#This Row],[Class]]="A",WORKDAY(Main[[#This Row],[Tech Start Date]],9),""))))</f>
        <v>40513</v>
      </c>
      <c r="Q1291" s="74"/>
      <c r="R1291" s="74"/>
      <c r="S1291" s="72" t="s">
        <v>6</v>
      </c>
      <c r="T1291" s="80" t="s">
        <v>4</v>
      </c>
      <c r="U1291" s="72" t="s">
        <v>14</v>
      </c>
      <c r="V1291" s="72" t="s">
        <v>1940</v>
      </c>
      <c r="W1291" s="72" t="s">
        <v>1941</v>
      </c>
      <c r="X1291" s="72" t="s">
        <v>3018</v>
      </c>
      <c r="Y1291" s="72" t="s">
        <v>3158</v>
      </c>
      <c r="Z1291" s="72" t="s">
        <v>536</v>
      </c>
    </row>
    <row r="1292" spans="1:26" ht="18.600000000000001" customHeight="1">
      <c r="A1292" s="142" t="str">
        <f>IF(priority(Main[[#This Row],[Comments]])&lt;&gt;0, priority(Main[[#This Row],[Comments]]),"")</f>
        <v/>
      </c>
      <c r="B1292" s="90" t="s">
        <v>1733</v>
      </c>
      <c r="C1292" s="72" t="s">
        <v>4</v>
      </c>
      <c r="D1292" s="73" t="s">
        <v>775</v>
      </c>
      <c r="E1292" s="74"/>
      <c r="F1292" s="74"/>
      <c r="G1292" s="75" t="str">
        <f>IF(stdProdLT(Main[[#This Row],[Comments]])=0.1,"N/A",IF(stdProdLT(Main[[#This Row],[Comments]])=0,"",stdProdLT(Main[[#This Row],[Comments]])))</f>
        <v/>
      </c>
      <c r="H1292" s="76" t="str">
        <f>IF(AND(Main[[#This Row],[In Stock Date]]&lt;&gt;"",Main[[#This Row],[Revised Due Date]]&lt;&gt;""),Main[[#This Row],[In Stock Date]]-Main[[#This Row],[Revised Due Date]],"")</f>
        <v/>
      </c>
      <c r="I1292" s="72" t="s">
        <v>173</v>
      </c>
      <c r="J1292" s="72" t="s">
        <v>70</v>
      </c>
      <c r="K1292" s="72" t="s">
        <v>1944</v>
      </c>
      <c r="L1292" s="74">
        <v>40486</v>
      </c>
      <c r="M1292" s="77">
        <f>IF(Main[[#This Row],[Tech Start Date]]&lt;1/1/1990,"",IF(Main[[#This Row],[Class]]="C",WORKDAY(Main[[#This Row],[Tech Start Date]],9),IF(Main[[#This Row],[Class]]="B", WORKDAY(Main[[#This Row],[Tech Start Date]],6),IF(Main[[#This Row],[Class]]="A",WORKDAY(Main[[#This Row],[Tech Start Date]],2),""))))</f>
        <v>40494</v>
      </c>
      <c r="N1292" s="77">
        <f>IF(Main[[#This Row],[Tech Start Date]]&lt;1/1/1990,"",IF(Main[[#This Row],[Class]]="C",WORKDAY(Main[[#This Row],[Tech Start Date]],19),IF(Main[[#This Row],[Class]]="B", WORKDAY(Main[[#This Row],[Tech Start Date]],12),IF(Main[[#This Row],[Class]]="A",WORKDAY(Main[[#This Row],[Tech Start Date]],4),""))))</f>
        <v>40504</v>
      </c>
      <c r="O1292" s="77">
        <f>IF(Main[[#This Row],[Tech Start Date]]&lt;1/1/1990,"",IF(Main[[#This Row],[Class]]="C",WORKDAY(Main[[#This Row],[Tech Start Date]],23),IF(Main[[#This Row],[Class]]="B", WORKDAY(Main[[#This Row],[Tech Start Date]],15),IF(Main[[#This Row],[Class]]="A",WORKDAY(Main[[#This Row],[Tech Start Date]],5),""))))</f>
        <v>40507</v>
      </c>
      <c r="P1292" s="77">
        <f>IF(Main[[#This Row],[Tech Start Date]]&lt;1/1/1990,"",IF(Main[[#This Row],[Class]]="C",WORKDAY(Main[[#This Row],[Tech Start Date]],28),IF(Main[[#This Row],[Class]]="B", WORKDAY(Main[[#This Row],[Tech Start Date]],19),IF(Main[[#This Row],[Class]]="A",WORKDAY(Main[[#This Row],[Tech Start Date]],9),""))))</f>
        <v>40513</v>
      </c>
      <c r="Q1292" s="74">
        <v>40504</v>
      </c>
      <c r="R1292" s="74"/>
      <c r="S1292" s="72" t="s">
        <v>6</v>
      </c>
      <c r="T1292" s="80" t="s">
        <v>4</v>
      </c>
      <c r="U1292" s="72" t="s">
        <v>14</v>
      </c>
      <c r="V1292" s="72" t="s">
        <v>1940</v>
      </c>
      <c r="W1292" s="72" t="s">
        <v>1941</v>
      </c>
      <c r="X1292" s="72" t="s">
        <v>2974</v>
      </c>
      <c r="Y1292" s="72" t="s">
        <v>3096</v>
      </c>
      <c r="Z1292" s="72" t="s">
        <v>30</v>
      </c>
    </row>
    <row r="1293" spans="1:26" ht="18.600000000000001" customHeight="1">
      <c r="A1293" s="142" t="str">
        <f>IF(priority(Main[[#This Row],[Comments]])&lt;&gt;0, priority(Main[[#This Row],[Comments]]),"")</f>
        <v/>
      </c>
      <c r="B1293" s="90" t="s">
        <v>1746</v>
      </c>
      <c r="C1293" s="72" t="s">
        <v>4</v>
      </c>
      <c r="D1293" s="73" t="s">
        <v>2326</v>
      </c>
      <c r="E1293" s="74">
        <v>40462.421793981484</v>
      </c>
      <c r="F1293" s="74"/>
      <c r="G1293" s="75" t="str">
        <f>IF(stdProdLT(Main[[#This Row],[Comments]])=0.1,"N/A",IF(stdProdLT(Main[[#This Row],[Comments]])=0,"",stdProdLT(Main[[#This Row],[Comments]])))</f>
        <v/>
      </c>
      <c r="H1293" s="76" t="str">
        <f>IF(AND(Main[[#This Row],[In Stock Date]]&lt;&gt;"",Main[[#This Row],[Revised Due Date]]&lt;&gt;""),Main[[#This Row],[In Stock Date]]-Main[[#This Row],[Revised Due Date]],"")</f>
        <v/>
      </c>
      <c r="I1293" s="72" t="s">
        <v>909</v>
      </c>
      <c r="J1293" s="72" t="s">
        <v>52</v>
      </c>
      <c r="K1293" s="72" t="s">
        <v>1944</v>
      </c>
      <c r="L1293" s="74">
        <v>40486</v>
      </c>
      <c r="M1293" s="77">
        <f>IF(Main[[#This Row],[Tech Start Date]]&lt;1/1/1990,"",IF(Main[[#This Row],[Class]]="C",WORKDAY(Main[[#This Row],[Tech Start Date]],9),IF(Main[[#This Row],[Class]]="B", WORKDAY(Main[[#This Row],[Tech Start Date]],6),IF(Main[[#This Row],[Class]]="A",WORKDAY(Main[[#This Row],[Tech Start Date]],2),""))))</f>
        <v>40494</v>
      </c>
      <c r="N1293" s="77">
        <f>IF(Main[[#This Row],[Tech Start Date]]&lt;1/1/1990,"",IF(Main[[#This Row],[Class]]="C",WORKDAY(Main[[#This Row],[Tech Start Date]],19),IF(Main[[#This Row],[Class]]="B", WORKDAY(Main[[#This Row],[Tech Start Date]],12),IF(Main[[#This Row],[Class]]="A",WORKDAY(Main[[#This Row],[Tech Start Date]],4),""))))</f>
        <v>40504</v>
      </c>
      <c r="O1293" s="77">
        <f>IF(Main[[#This Row],[Tech Start Date]]&lt;1/1/1990,"",IF(Main[[#This Row],[Class]]="C",WORKDAY(Main[[#This Row],[Tech Start Date]],23),IF(Main[[#This Row],[Class]]="B", WORKDAY(Main[[#This Row],[Tech Start Date]],15),IF(Main[[#This Row],[Class]]="A",WORKDAY(Main[[#This Row],[Tech Start Date]],5),""))))</f>
        <v>40507</v>
      </c>
      <c r="P1293" s="77">
        <f>IF(Main[[#This Row],[Tech Start Date]]&lt;1/1/1990,"",IF(Main[[#This Row],[Class]]="C",WORKDAY(Main[[#This Row],[Tech Start Date]],28),IF(Main[[#This Row],[Class]]="B", WORKDAY(Main[[#This Row],[Tech Start Date]],19),IF(Main[[#This Row],[Class]]="A",WORKDAY(Main[[#This Row],[Tech Start Date]],9),""))))</f>
        <v>40513</v>
      </c>
      <c r="Q1293" s="74">
        <v>40543</v>
      </c>
      <c r="R1293" s="74"/>
      <c r="S1293" s="72" t="s">
        <v>6</v>
      </c>
      <c r="T1293" s="80" t="s">
        <v>4</v>
      </c>
      <c r="U1293" s="72" t="s">
        <v>29</v>
      </c>
      <c r="V1293" s="72" t="s">
        <v>1940</v>
      </c>
      <c r="W1293" s="72" t="s">
        <v>1941</v>
      </c>
      <c r="X1293" s="72" t="s">
        <v>3039</v>
      </c>
      <c r="Y1293" s="72" t="s">
        <v>3201</v>
      </c>
      <c r="Z1293" s="72" t="s">
        <v>30</v>
      </c>
    </row>
    <row r="1294" spans="1:26" ht="18.600000000000001" customHeight="1">
      <c r="A1294" s="142" t="str">
        <f>IF(priority(Main[[#This Row],[Comments]])&lt;&gt;0, priority(Main[[#This Row],[Comments]]),"")</f>
        <v/>
      </c>
      <c r="B1294" s="90" t="s">
        <v>1750</v>
      </c>
      <c r="C1294" s="72" t="s">
        <v>4</v>
      </c>
      <c r="D1294" s="73" t="s">
        <v>2046</v>
      </c>
      <c r="E1294" s="74">
        <v>40478.606620370374</v>
      </c>
      <c r="F1294" s="74"/>
      <c r="G1294" s="75" t="str">
        <f>IF(stdProdLT(Main[[#This Row],[Comments]])=0.1,"N/A",IF(stdProdLT(Main[[#This Row],[Comments]])=0,"",stdProdLT(Main[[#This Row],[Comments]])))</f>
        <v/>
      </c>
      <c r="H1294" s="76" t="str">
        <f>IF(AND(Main[[#This Row],[In Stock Date]]&lt;&gt;"",Main[[#This Row],[Revised Due Date]]&lt;&gt;""),Main[[#This Row],[In Stock Date]]-Main[[#This Row],[Revised Due Date]],"")</f>
        <v/>
      </c>
      <c r="I1294" s="72" t="s">
        <v>435</v>
      </c>
      <c r="J1294" s="72" t="s">
        <v>70</v>
      </c>
      <c r="K1294" s="72" t="s">
        <v>1949</v>
      </c>
      <c r="L1294" s="74">
        <v>40513</v>
      </c>
      <c r="M1294" s="77" t="str">
        <f>IF(Main[[#This Row],[Tech Start Date]]&lt;1/1/1990,"",IF(Main[[#This Row],[Class]]="C",WORKDAY(Main[[#This Row],[Tech Start Date]],9),IF(Main[[#This Row],[Class]]="B", WORKDAY(Main[[#This Row],[Tech Start Date]],6),IF(Main[[#This Row],[Class]]="A",WORKDAY(Main[[#This Row],[Tech Start Date]],2),""))))</f>
        <v/>
      </c>
      <c r="N1294" s="77" t="str">
        <f>IF(Main[[#This Row],[Tech Start Date]]&lt;1/1/1990,"",IF(Main[[#This Row],[Class]]="C",WORKDAY(Main[[#This Row],[Tech Start Date]],19),IF(Main[[#This Row],[Class]]="B", WORKDAY(Main[[#This Row],[Tech Start Date]],12),IF(Main[[#This Row],[Class]]="A",WORKDAY(Main[[#This Row],[Tech Start Date]],4),""))))</f>
        <v/>
      </c>
      <c r="O1294" s="77" t="str">
        <f>IF(Main[[#This Row],[Tech Start Date]]&lt;1/1/1990,"",IF(Main[[#This Row],[Class]]="C",WORKDAY(Main[[#This Row],[Tech Start Date]],23),IF(Main[[#This Row],[Class]]="B", WORKDAY(Main[[#This Row],[Tech Start Date]],15),IF(Main[[#This Row],[Class]]="A",WORKDAY(Main[[#This Row],[Tech Start Date]],5),""))))</f>
        <v/>
      </c>
      <c r="P1294" s="77" t="str">
        <f>IF(Main[[#This Row],[Tech Start Date]]&lt;1/1/1990,"",IF(Main[[#This Row],[Class]]="C",WORKDAY(Main[[#This Row],[Tech Start Date]],28),IF(Main[[#This Row],[Class]]="B", WORKDAY(Main[[#This Row],[Tech Start Date]],19),IF(Main[[#This Row],[Class]]="A",WORKDAY(Main[[#This Row],[Tech Start Date]],9),""))))</f>
        <v/>
      </c>
      <c r="Q1294" s="74">
        <v>40724</v>
      </c>
      <c r="R1294" s="74"/>
      <c r="S1294" s="72" t="s">
        <v>17</v>
      </c>
      <c r="T1294" s="80" t="s">
        <v>4</v>
      </c>
      <c r="U1294" s="72" t="s">
        <v>29</v>
      </c>
      <c r="V1294" s="72" t="s">
        <v>1940</v>
      </c>
      <c r="W1294" s="72" t="s">
        <v>1941</v>
      </c>
      <c r="X1294" s="72" t="s">
        <v>3043</v>
      </c>
      <c r="Y1294" s="72" t="s">
        <v>3262</v>
      </c>
      <c r="Z1294" s="72" t="s">
        <v>30</v>
      </c>
    </row>
    <row r="1295" spans="1:26" ht="18.600000000000001" customHeight="1">
      <c r="A1295" s="142" t="str">
        <f>IF(priority(Main[[#This Row],[Comments]])&lt;&gt;0, priority(Main[[#This Row],[Comments]]),"")</f>
        <v/>
      </c>
      <c r="B1295" s="90" t="s">
        <v>1744</v>
      </c>
      <c r="C1295" s="72" t="s">
        <v>72</v>
      </c>
      <c r="D1295" s="73" t="s">
        <v>790</v>
      </c>
      <c r="E1295" s="74"/>
      <c r="F1295" s="74">
        <v>40513</v>
      </c>
      <c r="G1295" s="75" t="str">
        <f>IF(stdProdLT(Main[[#This Row],[Comments]])=0.1,"N/A",IF(stdProdLT(Main[[#This Row],[Comments]])=0,"",stdProdLT(Main[[#This Row],[Comments]])))</f>
        <v/>
      </c>
      <c r="H1295" s="76" t="str">
        <f>IF(AND(Main[[#This Row],[In Stock Date]]&lt;&gt;"",Main[[#This Row],[Revised Due Date]]&lt;&gt;""),Main[[#This Row],[In Stock Date]]-Main[[#This Row],[Revised Due Date]],"")</f>
        <v/>
      </c>
      <c r="I1295" s="72" t="s">
        <v>30</v>
      </c>
      <c r="J1295" s="72" t="s">
        <v>28</v>
      </c>
      <c r="K1295" s="72" t="s">
        <v>1949</v>
      </c>
      <c r="L1295" s="74">
        <v>40547</v>
      </c>
      <c r="M1295" s="77" t="str">
        <f>IF(Main[[#This Row],[Tech Start Date]]&lt;1/1/1990,"",IF(Main[[#This Row],[Class]]="C",WORKDAY(Main[[#This Row],[Tech Start Date]],9),IF(Main[[#This Row],[Class]]="B", WORKDAY(Main[[#This Row],[Tech Start Date]],6),IF(Main[[#This Row],[Class]]="A",WORKDAY(Main[[#This Row],[Tech Start Date]],2),""))))</f>
        <v/>
      </c>
      <c r="N1295" s="77" t="str">
        <f>IF(Main[[#This Row],[Tech Start Date]]&lt;1/1/1990,"",IF(Main[[#This Row],[Class]]="C",WORKDAY(Main[[#This Row],[Tech Start Date]],19),IF(Main[[#This Row],[Class]]="B", WORKDAY(Main[[#This Row],[Tech Start Date]],12),IF(Main[[#This Row],[Class]]="A",WORKDAY(Main[[#This Row],[Tech Start Date]],4),""))))</f>
        <v/>
      </c>
      <c r="O1295" s="77" t="str">
        <f>IF(Main[[#This Row],[Tech Start Date]]&lt;1/1/1990,"",IF(Main[[#This Row],[Class]]="C",WORKDAY(Main[[#This Row],[Tech Start Date]],23),IF(Main[[#This Row],[Class]]="B", WORKDAY(Main[[#This Row],[Tech Start Date]],15),IF(Main[[#This Row],[Class]]="A",WORKDAY(Main[[#This Row],[Tech Start Date]],5),""))))</f>
        <v/>
      </c>
      <c r="P1295" s="77" t="str">
        <f>IF(Main[[#This Row],[Tech Start Date]]&lt;1/1/1990,"",IF(Main[[#This Row],[Class]]="C",WORKDAY(Main[[#This Row],[Tech Start Date]],28),IF(Main[[#This Row],[Class]]="B", WORKDAY(Main[[#This Row],[Tech Start Date]],19),IF(Main[[#This Row],[Class]]="A",WORKDAY(Main[[#This Row],[Tech Start Date]],9),""))))</f>
        <v/>
      </c>
      <c r="Q1295" s="74"/>
      <c r="R1295" s="74"/>
      <c r="S1295" s="72" t="s">
        <v>17</v>
      </c>
      <c r="T1295" s="80" t="s">
        <v>4</v>
      </c>
      <c r="U1295" s="72" t="s">
        <v>14</v>
      </c>
      <c r="V1295" s="72" t="s">
        <v>1940</v>
      </c>
      <c r="W1295" s="72" t="s">
        <v>1942</v>
      </c>
      <c r="X1295" s="72" t="s">
        <v>2999</v>
      </c>
      <c r="Y1295" s="72" t="s">
        <v>3136</v>
      </c>
      <c r="Z1295" s="72" t="s">
        <v>30</v>
      </c>
    </row>
    <row r="1296" spans="1:26" ht="18.600000000000001" customHeight="1">
      <c r="A1296" s="142" t="str">
        <f>IF(priority(Main[[#This Row],[Comments]])&lt;&gt;0, priority(Main[[#This Row],[Comments]]),"")</f>
        <v/>
      </c>
      <c r="B1296" s="90" t="s">
        <v>1932</v>
      </c>
      <c r="C1296" s="72" t="s">
        <v>4</v>
      </c>
      <c r="D1296" s="73" t="s">
        <v>975</v>
      </c>
      <c r="E1296" s="74">
        <v>40436.63890046296</v>
      </c>
      <c r="F1296" s="74"/>
      <c r="G1296" s="75" t="str">
        <f>IF(stdProdLT(Main[[#This Row],[Comments]])=0.1,"N/A",IF(stdProdLT(Main[[#This Row],[Comments]])=0,"",stdProdLT(Main[[#This Row],[Comments]])))</f>
        <v/>
      </c>
      <c r="H1296" s="76" t="str">
        <f>IF(AND(Main[[#This Row],[In Stock Date]]&lt;&gt;"",Main[[#This Row],[Revised Due Date]]&lt;&gt;""),Main[[#This Row],[In Stock Date]]-Main[[#This Row],[Revised Due Date]],"")</f>
        <v/>
      </c>
      <c r="I1296" s="72" t="s">
        <v>891</v>
      </c>
      <c r="J1296" s="72" t="s">
        <v>28</v>
      </c>
      <c r="K1296" s="72" t="s">
        <v>1949</v>
      </c>
      <c r="L1296" s="74">
        <v>40549</v>
      </c>
      <c r="M1296" s="77" t="str">
        <f>IF(Main[[#This Row],[Tech Start Date]]&lt;1/1/1990,"",IF(Main[[#This Row],[Class]]="C",WORKDAY(Main[[#This Row],[Tech Start Date]],9),IF(Main[[#This Row],[Class]]="B", WORKDAY(Main[[#This Row],[Tech Start Date]],6),IF(Main[[#This Row],[Class]]="A",WORKDAY(Main[[#This Row],[Tech Start Date]],2),""))))</f>
        <v/>
      </c>
      <c r="N1296" s="77" t="str">
        <f>IF(Main[[#This Row],[Tech Start Date]]&lt;1/1/1990,"",IF(Main[[#This Row],[Class]]="C",WORKDAY(Main[[#This Row],[Tech Start Date]],19),IF(Main[[#This Row],[Class]]="B", WORKDAY(Main[[#This Row],[Tech Start Date]],12),IF(Main[[#This Row],[Class]]="A",WORKDAY(Main[[#This Row],[Tech Start Date]],4),""))))</f>
        <v/>
      </c>
      <c r="O1296" s="77" t="str">
        <f>IF(Main[[#This Row],[Tech Start Date]]&lt;1/1/1990,"",IF(Main[[#This Row],[Class]]="C",WORKDAY(Main[[#This Row],[Tech Start Date]],23),IF(Main[[#This Row],[Class]]="B", WORKDAY(Main[[#This Row],[Tech Start Date]],15),IF(Main[[#This Row],[Class]]="A",WORKDAY(Main[[#This Row],[Tech Start Date]],5),""))))</f>
        <v/>
      </c>
      <c r="P1296" s="77" t="str">
        <f>IF(Main[[#This Row],[Tech Start Date]]&lt;1/1/1990,"",IF(Main[[#This Row],[Class]]="C",WORKDAY(Main[[#This Row],[Tech Start Date]],28),IF(Main[[#This Row],[Class]]="B", WORKDAY(Main[[#This Row],[Tech Start Date]],19),IF(Main[[#This Row],[Class]]="A",WORKDAY(Main[[#This Row],[Tech Start Date]],9),""))))</f>
        <v/>
      </c>
      <c r="Q1296" s="74">
        <v>40939</v>
      </c>
      <c r="R1296" s="74">
        <v>40939</v>
      </c>
      <c r="S1296" s="72" t="s">
        <v>17</v>
      </c>
      <c r="T1296" s="80" t="s">
        <v>976</v>
      </c>
      <c r="U1296" s="72" t="s">
        <v>29</v>
      </c>
      <c r="V1296" s="72" t="s">
        <v>1937</v>
      </c>
      <c r="W1296" s="72" t="s">
        <v>1941</v>
      </c>
      <c r="X1296" s="72" t="s">
        <v>937</v>
      </c>
      <c r="Y1296" s="72" t="s">
        <v>3140</v>
      </c>
      <c r="Z1296" s="72" t="s">
        <v>129</v>
      </c>
    </row>
    <row r="1297" spans="1:26" ht="18.600000000000001" customHeight="1">
      <c r="A1297" s="142" t="str">
        <f>IF(priority(Main[[#This Row],[Comments]])&lt;&gt;0, priority(Main[[#This Row],[Comments]]),"")</f>
        <v/>
      </c>
      <c r="B1297" s="90" t="s">
        <v>1933</v>
      </c>
      <c r="C1297" s="72" t="s">
        <v>4</v>
      </c>
      <c r="D1297" s="73" t="s">
        <v>977</v>
      </c>
      <c r="E1297" s="74"/>
      <c r="F1297" s="74"/>
      <c r="G1297" s="75" t="str">
        <f>IF(stdProdLT(Main[[#This Row],[Comments]])=0.1,"N/A",IF(stdProdLT(Main[[#This Row],[Comments]])=0,"",stdProdLT(Main[[#This Row],[Comments]])))</f>
        <v/>
      </c>
      <c r="H1297" s="76" t="str">
        <f>IF(AND(Main[[#This Row],[In Stock Date]]&lt;&gt;"",Main[[#This Row],[Revised Due Date]]&lt;&gt;""),Main[[#This Row],[In Stock Date]]-Main[[#This Row],[Revised Due Date]],"")</f>
        <v/>
      </c>
      <c r="I1297" s="72" t="s">
        <v>2080</v>
      </c>
      <c r="J1297" s="72" t="s">
        <v>4</v>
      </c>
      <c r="K1297" s="72" t="s">
        <v>1949</v>
      </c>
      <c r="L1297" s="74">
        <v>40549</v>
      </c>
      <c r="M1297" s="77" t="str">
        <f>IF(Main[[#This Row],[Tech Start Date]]&lt;1/1/1990,"",IF(Main[[#This Row],[Class]]="C",WORKDAY(Main[[#This Row],[Tech Start Date]],9),IF(Main[[#This Row],[Class]]="B", WORKDAY(Main[[#This Row],[Tech Start Date]],6),IF(Main[[#This Row],[Class]]="A",WORKDAY(Main[[#This Row],[Tech Start Date]],2),""))))</f>
        <v/>
      </c>
      <c r="N1297" s="77" t="str">
        <f>IF(Main[[#This Row],[Tech Start Date]]&lt;1/1/1990,"",IF(Main[[#This Row],[Class]]="C",WORKDAY(Main[[#This Row],[Tech Start Date]],19),IF(Main[[#This Row],[Class]]="B", WORKDAY(Main[[#This Row],[Tech Start Date]],12),IF(Main[[#This Row],[Class]]="A",WORKDAY(Main[[#This Row],[Tech Start Date]],4),""))))</f>
        <v/>
      </c>
      <c r="O1297" s="77" t="str">
        <f>IF(Main[[#This Row],[Tech Start Date]]&lt;1/1/1990,"",IF(Main[[#This Row],[Class]]="C",WORKDAY(Main[[#This Row],[Tech Start Date]],23),IF(Main[[#This Row],[Class]]="B", WORKDAY(Main[[#This Row],[Tech Start Date]],15),IF(Main[[#This Row],[Class]]="A",WORKDAY(Main[[#This Row],[Tech Start Date]],5),""))))</f>
        <v/>
      </c>
      <c r="P1297" s="77" t="str">
        <f>IF(Main[[#This Row],[Tech Start Date]]&lt;1/1/1990,"",IF(Main[[#This Row],[Class]]="C",WORKDAY(Main[[#This Row],[Tech Start Date]],28),IF(Main[[#This Row],[Class]]="B", WORKDAY(Main[[#This Row],[Tech Start Date]],19),IF(Main[[#This Row],[Class]]="A",WORKDAY(Main[[#This Row],[Tech Start Date]],9),""))))</f>
        <v/>
      </c>
      <c r="Q1297" s="74">
        <v>40939</v>
      </c>
      <c r="R1297" s="74">
        <v>40939</v>
      </c>
      <c r="S1297" s="72" t="s">
        <v>11</v>
      </c>
      <c r="T1297" s="80" t="s">
        <v>4</v>
      </c>
      <c r="U1297" s="72" t="s">
        <v>14</v>
      </c>
      <c r="V1297" s="72" t="s">
        <v>1938</v>
      </c>
      <c r="W1297" s="72" t="s">
        <v>1941</v>
      </c>
      <c r="X1297" s="72" t="s">
        <v>937</v>
      </c>
      <c r="Y1297" s="72" t="s">
        <v>3150</v>
      </c>
      <c r="Z1297" s="72" t="s">
        <v>129</v>
      </c>
    </row>
    <row r="1298" spans="1:26" ht="18.600000000000001" customHeight="1">
      <c r="A1298" s="142" t="str">
        <f>IF(priority(Main[[#This Row],[Comments]])&lt;&gt;0, priority(Main[[#This Row],[Comments]]),"")</f>
        <v/>
      </c>
      <c r="B1298" s="90" t="s">
        <v>1931</v>
      </c>
      <c r="C1298" s="72" t="s">
        <v>4</v>
      </c>
      <c r="D1298" s="73" t="s">
        <v>974</v>
      </c>
      <c r="E1298" s="74"/>
      <c r="F1298" s="74"/>
      <c r="G1298" s="75" t="str">
        <f>IF(stdProdLT(Main[[#This Row],[Comments]])=0.1,"N/A",IF(stdProdLT(Main[[#This Row],[Comments]])=0,"",stdProdLT(Main[[#This Row],[Comments]])))</f>
        <v/>
      </c>
      <c r="H1298" s="76" t="str">
        <f>IF(AND(Main[[#This Row],[In Stock Date]]&lt;&gt;"",Main[[#This Row],[Revised Due Date]]&lt;&gt;""),Main[[#This Row],[In Stock Date]]-Main[[#This Row],[Revised Due Date]],"")</f>
        <v/>
      </c>
      <c r="I1298" s="72" t="s">
        <v>891</v>
      </c>
      <c r="J1298" s="72" t="s">
        <v>28</v>
      </c>
      <c r="K1298" s="72" t="s">
        <v>1949</v>
      </c>
      <c r="L1298" s="74">
        <v>40549</v>
      </c>
      <c r="M1298" s="77" t="str">
        <f>IF(Main[[#This Row],[Tech Start Date]]&lt;1/1/1990,"",IF(Main[[#This Row],[Class]]="C",WORKDAY(Main[[#This Row],[Tech Start Date]],9),IF(Main[[#This Row],[Class]]="B", WORKDAY(Main[[#This Row],[Tech Start Date]],6),IF(Main[[#This Row],[Class]]="A",WORKDAY(Main[[#This Row],[Tech Start Date]],2),""))))</f>
        <v/>
      </c>
      <c r="N1298" s="77" t="str">
        <f>IF(Main[[#This Row],[Tech Start Date]]&lt;1/1/1990,"",IF(Main[[#This Row],[Class]]="C",WORKDAY(Main[[#This Row],[Tech Start Date]],19),IF(Main[[#This Row],[Class]]="B", WORKDAY(Main[[#This Row],[Tech Start Date]],12),IF(Main[[#This Row],[Class]]="A",WORKDAY(Main[[#This Row],[Tech Start Date]],4),""))))</f>
        <v/>
      </c>
      <c r="O1298" s="77" t="str">
        <f>IF(Main[[#This Row],[Tech Start Date]]&lt;1/1/1990,"",IF(Main[[#This Row],[Class]]="C",WORKDAY(Main[[#This Row],[Tech Start Date]],23),IF(Main[[#This Row],[Class]]="B", WORKDAY(Main[[#This Row],[Tech Start Date]],15),IF(Main[[#This Row],[Class]]="A",WORKDAY(Main[[#This Row],[Tech Start Date]],5),""))))</f>
        <v/>
      </c>
      <c r="P1298" s="77" t="str">
        <f>IF(Main[[#This Row],[Tech Start Date]]&lt;1/1/1990,"",IF(Main[[#This Row],[Class]]="C",WORKDAY(Main[[#This Row],[Tech Start Date]],28),IF(Main[[#This Row],[Class]]="B", WORKDAY(Main[[#This Row],[Tech Start Date]],19),IF(Main[[#This Row],[Class]]="A",WORKDAY(Main[[#This Row],[Tech Start Date]],9),""))))</f>
        <v/>
      </c>
      <c r="Q1298" s="74">
        <v>40939</v>
      </c>
      <c r="R1298" s="74">
        <v>40939</v>
      </c>
      <c r="S1298" s="72" t="s">
        <v>11</v>
      </c>
      <c r="T1298" s="80" t="s">
        <v>4</v>
      </c>
      <c r="U1298" s="72" t="s">
        <v>14</v>
      </c>
      <c r="V1298" s="72" t="s">
        <v>1937</v>
      </c>
      <c r="W1298" s="72" t="s">
        <v>1941</v>
      </c>
      <c r="X1298" s="72" t="s">
        <v>937</v>
      </c>
      <c r="Y1298" s="72" t="s">
        <v>3150</v>
      </c>
      <c r="Z1298" s="72" t="s">
        <v>129</v>
      </c>
    </row>
    <row r="1299" spans="1:26" ht="18.600000000000001" customHeight="1">
      <c r="A1299" s="142" t="str">
        <f>IF(priority(Main[[#This Row],[Comments]])&lt;&gt;0, priority(Main[[#This Row],[Comments]]),"")</f>
        <v/>
      </c>
      <c r="B1299" s="90" t="s">
        <v>1934</v>
      </c>
      <c r="C1299" s="72" t="s">
        <v>4</v>
      </c>
      <c r="D1299" s="73" t="s">
        <v>978</v>
      </c>
      <c r="E1299" s="74"/>
      <c r="F1299" s="74"/>
      <c r="G1299" s="75" t="str">
        <f>IF(stdProdLT(Main[[#This Row],[Comments]])=0.1,"N/A",IF(stdProdLT(Main[[#This Row],[Comments]])=0,"",stdProdLT(Main[[#This Row],[Comments]])))</f>
        <v/>
      </c>
      <c r="H1299" s="76" t="str">
        <f>IF(AND(Main[[#This Row],[In Stock Date]]&lt;&gt;"",Main[[#This Row],[Revised Due Date]]&lt;&gt;""),Main[[#This Row],[In Stock Date]]-Main[[#This Row],[Revised Due Date]],"")</f>
        <v/>
      </c>
      <c r="I1299" s="72" t="s">
        <v>937</v>
      </c>
      <c r="J1299" s="72" t="s">
        <v>4</v>
      </c>
      <c r="K1299" s="72" t="s">
        <v>1949</v>
      </c>
      <c r="L1299" s="74">
        <v>40549</v>
      </c>
      <c r="M1299" s="77" t="str">
        <f>IF(Main[[#This Row],[Tech Start Date]]&lt;1/1/1990,"",IF(Main[[#This Row],[Class]]="C",WORKDAY(Main[[#This Row],[Tech Start Date]],9),IF(Main[[#This Row],[Class]]="B", WORKDAY(Main[[#This Row],[Tech Start Date]],6),IF(Main[[#This Row],[Class]]="A",WORKDAY(Main[[#This Row],[Tech Start Date]],2),""))))</f>
        <v/>
      </c>
      <c r="N1299" s="77" t="str">
        <f>IF(Main[[#This Row],[Tech Start Date]]&lt;1/1/1990,"",IF(Main[[#This Row],[Class]]="C",WORKDAY(Main[[#This Row],[Tech Start Date]],19),IF(Main[[#This Row],[Class]]="B", WORKDAY(Main[[#This Row],[Tech Start Date]],12),IF(Main[[#This Row],[Class]]="A",WORKDAY(Main[[#This Row],[Tech Start Date]],4),""))))</f>
        <v/>
      </c>
      <c r="O1299" s="77" t="str">
        <f>IF(Main[[#This Row],[Tech Start Date]]&lt;1/1/1990,"",IF(Main[[#This Row],[Class]]="C",WORKDAY(Main[[#This Row],[Tech Start Date]],23),IF(Main[[#This Row],[Class]]="B", WORKDAY(Main[[#This Row],[Tech Start Date]],15),IF(Main[[#This Row],[Class]]="A",WORKDAY(Main[[#This Row],[Tech Start Date]],5),""))))</f>
        <v/>
      </c>
      <c r="P1299" s="77" t="str">
        <f>IF(Main[[#This Row],[Tech Start Date]]&lt;1/1/1990,"",IF(Main[[#This Row],[Class]]="C",WORKDAY(Main[[#This Row],[Tech Start Date]],28),IF(Main[[#This Row],[Class]]="B", WORKDAY(Main[[#This Row],[Tech Start Date]],19),IF(Main[[#This Row],[Class]]="A",WORKDAY(Main[[#This Row],[Tech Start Date]],9),""))))</f>
        <v/>
      </c>
      <c r="Q1299" s="74">
        <v>40939</v>
      </c>
      <c r="R1299" s="74">
        <v>40939</v>
      </c>
      <c r="S1299" s="72" t="s">
        <v>11</v>
      </c>
      <c r="T1299" s="80" t="s">
        <v>4</v>
      </c>
      <c r="U1299" s="72" t="s">
        <v>14</v>
      </c>
      <c r="V1299" s="72" t="s">
        <v>1937</v>
      </c>
      <c r="W1299" s="72" t="s">
        <v>1941</v>
      </c>
      <c r="X1299" s="72" t="s">
        <v>937</v>
      </c>
      <c r="Y1299" s="72" t="s">
        <v>3150</v>
      </c>
      <c r="Z1299" s="72" t="s">
        <v>129</v>
      </c>
    </row>
    <row r="1300" spans="1:26" ht="18.600000000000001" customHeight="1">
      <c r="A1300" s="142" t="str">
        <f>IF(priority(Main[[#This Row],[Comments]])&lt;&gt;0, priority(Main[[#This Row],[Comments]]),"")</f>
        <v/>
      </c>
      <c r="B1300" s="90" t="s">
        <v>1889</v>
      </c>
      <c r="C1300" s="72" t="s">
        <v>4</v>
      </c>
      <c r="D1300" s="73" t="s">
        <v>2047</v>
      </c>
      <c r="E1300" s="74">
        <v>40478.350138888891</v>
      </c>
      <c r="F1300" s="74"/>
      <c r="G1300" s="75" t="str">
        <f>IF(stdProdLT(Main[[#This Row],[Comments]])=0.1,"N/A",IF(stdProdLT(Main[[#This Row],[Comments]])=0,"",stdProdLT(Main[[#This Row],[Comments]])))</f>
        <v/>
      </c>
      <c r="H1300" s="76" t="str">
        <f>IF(AND(Main[[#This Row],[In Stock Date]]&lt;&gt;"",Main[[#This Row],[Revised Due Date]]&lt;&gt;""),Main[[#This Row],[In Stock Date]]-Main[[#This Row],[Revised Due Date]],"")</f>
        <v/>
      </c>
      <c r="I1300" s="72" t="s">
        <v>937</v>
      </c>
      <c r="J1300" s="72" t="s">
        <v>28</v>
      </c>
      <c r="K1300" s="72" t="s">
        <v>1949</v>
      </c>
      <c r="L1300" s="74">
        <v>40554</v>
      </c>
      <c r="M1300" s="77" t="str">
        <f>IF(Main[[#This Row],[Tech Start Date]]&lt;1/1/1990,"",IF(Main[[#This Row],[Class]]="C",WORKDAY(Main[[#This Row],[Tech Start Date]],9),IF(Main[[#This Row],[Class]]="B", WORKDAY(Main[[#This Row],[Tech Start Date]],6),IF(Main[[#This Row],[Class]]="A",WORKDAY(Main[[#This Row],[Tech Start Date]],2),""))))</f>
        <v/>
      </c>
      <c r="N1300" s="77" t="str">
        <f>IF(Main[[#This Row],[Tech Start Date]]&lt;1/1/1990,"",IF(Main[[#This Row],[Class]]="C",WORKDAY(Main[[#This Row],[Tech Start Date]],19),IF(Main[[#This Row],[Class]]="B", WORKDAY(Main[[#This Row],[Tech Start Date]],12),IF(Main[[#This Row],[Class]]="A",WORKDAY(Main[[#This Row],[Tech Start Date]],4),""))))</f>
        <v/>
      </c>
      <c r="O1300" s="77" t="str">
        <f>IF(Main[[#This Row],[Tech Start Date]]&lt;1/1/1990,"",IF(Main[[#This Row],[Class]]="C",WORKDAY(Main[[#This Row],[Tech Start Date]],23),IF(Main[[#This Row],[Class]]="B", WORKDAY(Main[[#This Row],[Tech Start Date]],15),IF(Main[[#This Row],[Class]]="A",WORKDAY(Main[[#This Row],[Tech Start Date]],5),""))))</f>
        <v/>
      </c>
      <c r="P1300" s="77" t="str">
        <f>IF(Main[[#This Row],[Tech Start Date]]&lt;1/1/1990,"",IF(Main[[#This Row],[Class]]="C",WORKDAY(Main[[#This Row],[Tech Start Date]],28),IF(Main[[#This Row],[Class]]="B", WORKDAY(Main[[#This Row],[Tech Start Date]],19),IF(Main[[#This Row],[Class]]="A",WORKDAY(Main[[#This Row],[Tech Start Date]],9),""))))</f>
        <v/>
      </c>
      <c r="Q1300" s="74">
        <v>40979</v>
      </c>
      <c r="R1300" s="74">
        <v>40979</v>
      </c>
      <c r="S1300" s="72" t="s">
        <v>17</v>
      </c>
      <c r="T1300" s="80" t="s">
        <v>938</v>
      </c>
      <c r="U1300" s="72" t="s">
        <v>29</v>
      </c>
      <c r="V1300" s="72" t="s">
        <v>1952</v>
      </c>
      <c r="W1300" s="72" t="s">
        <v>1941</v>
      </c>
      <c r="X1300" s="72" t="s">
        <v>937</v>
      </c>
      <c r="Y1300" s="72" t="s">
        <v>3140</v>
      </c>
      <c r="Z1300" s="72" t="s">
        <v>2242</v>
      </c>
    </row>
    <row r="1301" spans="1:26" ht="18.600000000000001" customHeight="1">
      <c r="A1301" s="142" t="str">
        <f>IF(priority(Main[[#This Row],[Comments]])&lt;&gt;0, priority(Main[[#This Row],[Comments]]),"")</f>
        <v/>
      </c>
      <c r="B1301" s="90" t="s">
        <v>1891</v>
      </c>
      <c r="C1301" s="72" t="s">
        <v>4</v>
      </c>
      <c r="D1301" s="73" t="s">
        <v>940</v>
      </c>
      <c r="E1301" s="74"/>
      <c r="F1301" s="74"/>
      <c r="G1301" s="75" t="str">
        <f>IF(stdProdLT(Main[[#This Row],[Comments]])=0.1,"N/A",IF(stdProdLT(Main[[#This Row],[Comments]])=0,"",stdProdLT(Main[[#This Row],[Comments]])))</f>
        <v/>
      </c>
      <c r="H1301" s="76" t="str">
        <f>IF(AND(Main[[#This Row],[In Stock Date]]&lt;&gt;"",Main[[#This Row],[Revised Due Date]]&lt;&gt;""),Main[[#This Row],[In Stock Date]]-Main[[#This Row],[Revised Due Date]],"")</f>
        <v/>
      </c>
      <c r="I1301" s="72" t="s">
        <v>30</v>
      </c>
      <c r="J1301" s="72" t="s">
        <v>52</v>
      </c>
      <c r="K1301" s="72" t="s">
        <v>1946</v>
      </c>
      <c r="L1301" s="74">
        <v>40589</v>
      </c>
      <c r="M1301" s="77">
        <f>IF(Main[[#This Row],[Tech Start Date]]&lt;1/1/1990,"",IF(Main[[#This Row],[Class]]="C",WORKDAY(Main[[#This Row],[Tech Start Date]],9),IF(Main[[#This Row],[Class]]="B", WORKDAY(Main[[#This Row],[Tech Start Date]],6),IF(Main[[#This Row],[Class]]="A",WORKDAY(Main[[#This Row],[Tech Start Date]],2),""))))</f>
        <v>40591</v>
      </c>
      <c r="N1301" s="77">
        <f>IF(Main[[#This Row],[Tech Start Date]]&lt;1/1/1990,"",IF(Main[[#This Row],[Class]]="C",WORKDAY(Main[[#This Row],[Tech Start Date]],19),IF(Main[[#This Row],[Class]]="B", WORKDAY(Main[[#This Row],[Tech Start Date]],12),IF(Main[[#This Row],[Class]]="A",WORKDAY(Main[[#This Row],[Tech Start Date]],4),""))))</f>
        <v>40595</v>
      </c>
      <c r="O1301" s="77">
        <f>IF(Main[[#This Row],[Tech Start Date]]&lt;1/1/1990,"",IF(Main[[#This Row],[Class]]="C",WORKDAY(Main[[#This Row],[Tech Start Date]],23),IF(Main[[#This Row],[Class]]="B", WORKDAY(Main[[#This Row],[Tech Start Date]],15),IF(Main[[#This Row],[Class]]="A",WORKDAY(Main[[#This Row],[Tech Start Date]],5),""))))</f>
        <v>40596</v>
      </c>
      <c r="P1301" s="77">
        <f>IF(Main[[#This Row],[Tech Start Date]]&lt;1/1/1990,"",IF(Main[[#This Row],[Class]]="C",WORKDAY(Main[[#This Row],[Tech Start Date]],28),IF(Main[[#This Row],[Class]]="B", WORKDAY(Main[[#This Row],[Tech Start Date]],19),IF(Main[[#This Row],[Class]]="A",WORKDAY(Main[[#This Row],[Tech Start Date]],9),""))))</f>
        <v>40602</v>
      </c>
      <c r="Q1301" s="74">
        <v>40592</v>
      </c>
      <c r="R1301" s="74">
        <v>40624</v>
      </c>
      <c r="S1301" s="72" t="s">
        <v>6</v>
      </c>
      <c r="T1301" s="80" t="s">
        <v>4</v>
      </c>
      <c r="U1301" s="72" t="s">
        <v>14</v>
      </c>
      <c r="V1301" s="72" t="s">
        <v>1940</v>
      </c>
      <c r="W1301" s="72" t="s">
        <v>1939</v>
      </c>
      <c r="X1301" s="72" t="s">
        <v>30</v>
      </c>
      <c r="Y1301" s="72" t="s">
        <v>3173</v>
      </c>
      <c r="Z1301" s="72" t="s">
        <v>30</v>
      </c>
    </row>
    <row r="1302" spans="1:26" ht="18.600000000000001" customHeight="1">
      <c r="A1302" s="142" t="str">
        <f>IF(priority(Main[[#This Row],[Comments]])&lt;&gt;0, priority(Main[[#This Row],[Comments]]),"")</f>
        <v/>
      </c>
      <c r="B1302" s="90" t="s">
        <v>1888</v>
      </c>
      <c r="C1302" s="72" t="s">
        <v>4</v>
      </c>
      <c r="D1302" s="73" t="s">
        <v>936</v>
      </c>
      <c r="E1302" s="74">
        <v>40590.540578703702</v>
      </c>
      <c r="F1302" s="74"/>
      <c r="G1302" s="75" t="str">
        <f>IF(stdProdLT(Main[[#This Row],[Comments]])=0.1,"N/A",IF(stdProdLT(Main[[#This Row],[Comments]])=0,"",stdProdLT(Main[[#This Row],[Comments]])))</f>
        <v/>
      </c>
      <c r="H1302" s="76" t="str">
        <f>IF(AND(Main[[#This Row],[In Stock Date]]&lt;&gt;"",Main[[#This Row],[Revised Due Date]]&lt;&gt;""),Main[[#This Row],[In Stock Date]]-Main[[#This Row],[Revised Due Date]],"")</f>
        <v/>
      </c>
      <c r="I1302" s="72" t="s">
        <v>4</v>
      </c>
      <c r="J1302" s="72" t="s">
        <v>28</v>
      </c>
      <c r="K1302" s="72" t="s">
        <v>1946</v>
      </c>
      <c r="L1302" s="74">
        <v>40590</v>
      </c>
      <c r="M1302" s="77">
        <f>IF(Main[[#This Row],[Tech Start Date]]&lt;1/1/1990,"",IF(Main[[#This Row],[Class]]="C",WORKDAY(Main[[#This Row],[Tech Start Date]],9),IF(Main[[#This Row],[Class]]="B", WORKDAY(Main[[#This Row],[Tech Start Date]],6),IF(Main[[#This Row],[Class]]="A",WORKDAY(Main[[#This Row],[Tech Start Date]],2),""))))</f>
        <v>40592</v>
      </c>
      <c r="N1302" s="77">
        <f>IF(Main[[#This Row],[Tech Start Date]]&lt;1/1/1990,"",IF(Main[[#This Row],[Class]]="C",WORKDAY(Main[[#This Row],[Tech Start Date]],19),IF(Main[[#This Row],[Class]]="B", WORKDAY(Main[[#This Row],[Tech Start Date]],12),IF(Main[[#This Row],[Class]]="A",WORKDAY(Main[[#This Row],[Tech Start Date]],4),""))))</f>
        <v>40596</v>
      </c>
      <c r="O1302" s="77">
        <f>IF(Main[[#This Row],[Tech Start Date]]&lt;1/1/1990,"",IF(Main[[#This Row],[Class]]="C",WORKDAY(Main[[#This Row],[Tech Start Date]],23),IF(Main[[#This Row],[Class]]="B", WORKDAY(Main[[#This Row],[Tech Start Date]],15),IF(Main[[#This Row],[Class]]="A",WORKDAY(Main[[#This Row],[Tech Start Date]],5),""))))</f>
        <v>40597</v>
      </c>
      <c r="P1302" s="77">
        <f>IF(Main[[#This Row],[Tech Start Date]]&lt;1/1/1990,"",IF(Main[[#This Row],[Class]]="C",WORKDAY(Main[[#This Row],[Tech Start Date]],28),IF(Main[[#This Row],[Class]]="B", WORKDAY(Main[[#This Row],[Tech Start Date]],19),IF(Main[[#This Row],[Class]]="A",WORKDAY(Main[[#This Row],[Tech Start Date]],9),""))))</f>
        <v>40603</v>
      </c>
      <c r="Q1302" s="74">
        <v>40618</v>
      </c>
      <c r="R1302" s="74">
        <v>40604</v>
      </c>
      <c r="S1302" s="72" t="s">
        <v>6</v>
      </c>
      <c r="T1302" s="80" t="s">
        <v>4</v>
      </c>
      <c r="U1302" s="72" t="s">
        <v>29</v>
      </c>
      <c r="V1302" s="72" t="s">
        <v>1937</v>
      </c>
      <c r="W1302" s="72" t="s">
        <v>1941</v>
      </c>
      <c r="X1302" s="72" t="s">
        <v>2988</v>
      </c>
      <c r="Y1302" s="72" t="s">
        <v>3123</v>
      </c>
      <c r="Z1302" s="72" t="s">
        <v>4</v>
      </c>
    </row>
    <row r="1303" spans="1:26" ht="18.600000000000001" customHeight="1">
      <c r="A1303" s="142" t="str">
        <f>IF(priority(Main[[#This Row],[Comments]])&lt;&gt;0, priority(Main[[#This Row],[Comments]]),"")</f>
        <v/>
      </c>
      <c r="B1303" s="90" t="s">
        <v>1892</v>
      </c>
      <c r="C1303" s="72" t="s">
        <v>4</v>
      </c>
      <c r="D1303" s="73" t="s">
        <v>2280</v>
      </c>
      <c r="E1303" s="74">
        <v>40577.592002314814</v>
      </c>
      <c r="F1303" s="74"/>
      <c r="G1303" s="75" t="str">
        <f>IF(stdProdLT(Main[[#This Row],[Comments]])=0.1,"N/A",IF(stdProdLT(Main[[#This Row],[Comments]])=0,"",stdProdLT(Main[[#This Row],[Comments]])))</f>
        <v/>
      </c>
      <c r="H1303" s="76" t="str">
        <f>IF(AND(Main[[#This Row],[In Stock Date]]&lt;&gt;"",Main[[#This Row],[Revised Due Date]]&lt;&gt;""),Main[[#This Row],[In Stock Date]]-Main[[#This Row],[Revised Due Date]],"")</f>
        <v/>
      </c>
      <c r="I1303" s="72" t="s">
        <v>927</v>
      </c>
      <c r="J1303" s="72" t="s">
        <v>28</v>
      </c>
      <c r="K1303" s="72" t="s">
        <v>1946</v>
      </c>
      <c r="L1303" s="74">
        <v>40591</v>
      </c>
      <c r="M1303" s="77">
        <f>IF(Main[[#This Row],[Tech Start Date]]&lt;1/1/1990,"",IF(Main[[#This Row],[Class]]="C",WORKDAY(Main[[#This Row],[Tech Start Date]],9),IF(Main[[#This Row],[Class]]="B", WORKDAY(Main[[#This Row],[Tech Start Date]],6),IF(Main[[#This Row],[Class]]="A",WORKDAY(Main[[#This Row],[Tech Start Date]],2),""))))</f>
        <v>40595</v>
      </c>
      <c r="N1303" s="77">
        <f>IF(Main[[#This Row],[Tech Start Date]]&lt;1/1/1990,"",IF(Main[[#This Row],[Class]]="C",WORKDAY(Main[[#This Row],[Tech Start Date]],19),IF(Main[[#This Row],[Class]]="B", WORKDAY(Main[[#This Row],[Tech Start Date]],12),IF(Main[[#This Row],[Class]]="A",WORKDAY(Main[[#This Row],[Tech Start Date]],4),""))))</f>
        <v>40597</v>
      </c>
      <c r="O1303" s="77">
        <f>IF(Main[[#This Row],[Tech Start Date]]&lt;1/1/1990,"",IF(Main[[#This Row],[Class]]="C",WORKDAY(Main[[#This Row],[Tech Start Date]],23),IF(Main[[#This Row],[Class]]="B", WORKDAY(Main[[#This Row],[Tech Start Date]],15),IF(Main[[#This Row],[Class]]="A",WORKDAY(Main[[#This Row],[Tech Start Date]],5),""))))</f>
        <v>40598</v>
      </c>
      <c r="P1303" s="77">
        <f>IF(Main[[#This Row],[Tech Start Date]]&lt;1/1/1990,"",IF(Main[[#This Row],[Class]]="C",WORKDAY(Main[[#This Row],[Tech Start Date]],28),IF(Main[[#This Row],[Class]]="B", WORKDAY(Main[[#This Row],[Tech Start Date]],19),IF(Main[[#This Row],[Class]]="A",WORKDAY(Main[[#This Row],[Tech Start Date]],9),""))))</f>
        <v>40604</v>
      </c>
      <c r="Q1303" s="74">
        <v>40626</v>
      </c>
      <c r="R1303" s="74">
        <v>40626</v>
      </c>
      <c r="S1303" s="72" t="s">
        <v>6</v>
      </c>
      <c r="T1303" s="80" t="s">
        <v>4</v>
      </c>
      <c r="U1303" s="72" t="s">
        <v>29</v>
      </c>
      <c r="V1303" s="72" t="s">
        <v>1937</v>
      </c>
      <c r="W1303" s="72" t="s">
        <v>1939</v>
      </c>
      <c r="X1303" s="72" t="s">
        <v>404</v>
      </c>
      <c r="Y1303" s="72" t="s">
        <v>3269</v>
      </c>
      <c r="Z1303" s="72" t="s">
        <v>927</v>
      </c>
    </row>
    <row r="1304" spans="1:26" ht="18.600000000000001" customHeight="1">
      <c r="A1304" s="142" t="str">
        <f>IF(priority(Main[[#This Row],[Comments]])&lt;&gt;0, priority(Main[[#This Row],[Comments]]),"")</f>
        <v/>
      </c>
      <c r="B1304" s="90" t="s">
        <v>1915</v>
      </c>
      <c r="C1304" s="72" t="s">
        <v>963</v>
      </c>
      <c r="D1304" s="73" t="s">
        <v>1985</v>
      </c>
      <c r="E1304" s="74"/>
      <c r="F1304" s="74">
        <v>40709</v>
      </c>
      <c r="G1304" s="75" t="str">
        <f>IF(stdProdLT(Main[[#This Row],[Comments]])=0.1,"N/A",IF(stdProdLT(Main[[#This Row],[Comments]])=0,"",stdProdLT(Main[[#This Row],[Comments]])))</f>
        <v/>
      </c>
      <c r="H1304" s="76">
        <f>IF(AND(Main[[#This Row],[In Stock Date]]&lt;&gt;"",Main[[#This Row],[Revised Due Date]]&lt;&gt;""),Main[[#This Row],[In Stock Date]]-Main[[#This Row],[Revised Due Date]],"")</f>
        <v>-44</v>
      </c>
      <c r="I1304" s="72" t="s">
        <v>922</v>
      </c>
      <c r="J1304" s="72" t="s">
        <v>28</v>
      </c>
      <c r="K1304" s="72" t="s">
        <v>1944</v>
      </c>
      <c r="L1304" s="74">
        <v>40612</v>
      </c>
      <c r="M1304" s="77">
        <f>IF(Main[[#This Row],[Tech Start Date]]&lt;1/1/1990,"",IF(Main[[#This Row],[Class]]="C",WORKDAY(Main[[#This Row],[Tech Start Date]],9),IF(Main[[#This Row],[Class]]="B", WORKDAY(Main[[#This Row],[Tech Start Date]],6),IF(Main[[#This Row],[Class]]="A",WORKDAY(Main[[#This Row],[Tech Start Date]],2),""))))</f>
        <v>40620</v>
      </c>
      <c r="N1304" s="77">
        <f>IF(Main[[#This Row],[Tech Start Date]]&lt;1/1/1990,"",IF(Main[[#This Row],[Class]]="C",WORKDAY(Main[[#This Row],[Tech Start Date]],19),IF(Main[[#This Row],[Class]]="B", WORKDAY(Main[[#This Row],[Tech Start Date]],12),IF(Main[[#This Row],[Class]]="A",WORKDAY(Main[[#This Row],[Tech Start Date]],4),""))))</f>
        <v>40630</v>
      </c>
      <c r="O1304" s="77">
        <f>IF(Main[[#This Row],[Tech Start Date]]&lt;1/1/1990,"",IF(Main[[#This Row],[Class]]="C",WORKDAY(Main[[#This Row],[Tech Start Date]],23),IF(Main[[#This Row],[Class]]="B", WORKDAY(Main[[#This Row],[Tech Start Date]],15),IF(Main[[#This Row],[Class]]="A",WORKDAY(Main[[#This Row],[Tech Start Date]],5),""))))</f>
        <v>40633</v>
      </c>
      <c r="P1304" s="77">
        <f>IF(Main[[#This Row],[Tech Start Date]]&lt;1/1/1990,"",IF(Main[[#This Row],[Class]]="C",WORKDAY(Main[[#This Row],[Tech Start Date]],28),IF(Main[[#This Row],[Class]]="B", WORKDAY(Main[[#This Row],[Tech Start Date]],19),IF(Main[[#This Row],[Class]]="A",WORKDAY(Main[[#This Row],[Tech Start Date]],9),""))))</f>
        <v>40639</v>
      </c>
      <c r="Q1304" s="74"/>
      <c r="R1304" s="74">
        <v>40753</v>
      </c>
      <c r="S1304" s="72" t="s">
        <v>11</v>
      </c>
      <c r="T1304" s="80" t="s">
        <v>2027</v>
      </c>
      <c r="U1304" s="72" t="s">
        <v>14</v>
      </c>
      <c r="V1304" s="72" t="s">
        <v>1937</v>
      </c>
      <c r="W1304" s="72" t="s">
        <v>1942</v>
      </c>
      <c r="X1304" s="72" t="s">
        <v>50</v>
      </c>
      <c r="Y1304" s="72" t="s">
        <v>3308</v>
      </c>
      <c r="Z1304" s="72" t="s">
        <v>891</v>
      </c>
    </row>
    <row r="1305" spans="1:26" ht="18.600000000000001" customHeight="1">
      <c r="A1305" s="142" t="str">
        <f>IF(priority(Main[[#This Row],[Comments]])&lt;&gt;0, priority(Main[[#This Row],[Comments]]),"")</f>
        <v/>
      </c>
      <c r="B1305" s="90" t="s">
        <v>1919</v>
      </c>
      <c r="C1305" s="72" t="s">
        <v>965</v>
      </c>
      <c r="D1305" s="73" t="s">
        <v>966</v>
      </c>
      <c r="E1305" s="74"/>
      <c r="F1305" s="74">
        <v>40775</v>
      </c>
      <c r="G1305" s="75" t="str">
        <f>IF(stdProdLT(Main[[#This Row],[Comments]])=0.1,"N/A",IF(stdProdLT(Main[[#This Row],[Comments]])=0,"",stdProdLT(Main[[#This Row],[Comments]])))</f>
        <v/>
      </c>
      <c r="H1305" s="76">
        <f>IF(AND(Main[[#This Row],[In Stock Date]]&lt;&gt;"",Main[[#This Row],[Revised Due Date]]&lt;&gt;""),Main[[#This Row],[In Stock Date]]-Main[[#This Row],[Revised Due Date]],"")</f>
        <v>51</v>
      </c>
      <c r="I1305" s="72" t="s">
        <v>903</v>
      </c>
      <c r="J1305" s="72" t="s">
        <v>28</v>
      </c>
      <c r="K1305" s="72" t="s">
        <v>1949</v>
      </c>
      <c r="L1305" s="74">
        <v>40619</v>
      </c>
      <c r="M1305" s="77" t="str">
        <f>IF(Main[[#This Row],[Tech Start Date]]&lt;1/1/1990,"",IF(Main[[#This Row],[Class]]="C",WORKDAY(Main[[#This Row],[Tech Start Date]],9),IF(Main[[#This Row],[Class]]="B", WORKDAY(Main[[#This Row],[Tech Start Date]],6),IF(Main[[#This Row],[Class]]="A",WORKDAY(Main[[#This Row],[Tech Start Date]],2),""))))</f>
        <v/>
      </c>
      <c r="N1305" s="77" t="str">
        <f>IF(Main[[#This Row],[Tech Start Date]]&lt;1/1/1990,"",IF(Main[[#This Row],[Class]]="C",WORKDAY(Main[[#This Row],[Tech Start Date]],19),IF(Main[[#This Row],[Class]]="B", WORKDAY(Main[[#This Row],[Tech Start Date]],12),IF(Main[[#This Row],[Class]]="A",WORKDAY(Main[[#This Row],[Tech Start Date]],4),""))))</f>
        <v/>
      </c>
      <c r="O1305" s="77" t="str">
        <f>IF(Main[[#This Row],[Tech Start Date]]&lt;1/1/1990,"",IF(Main[[#This Row],[Class]]="C",WORKDAY(Main[[#This Row],[Tech Start Date]],23),IF(Main[[#This Row],[Class]]="B", WORKDAY(Main[[#This Row],[Tech Start Date]],15),IF(Main[[#This Row],[Class]]="A",WORKDAY(Main[[#This Row],[Tech Start Date]],5),""))))</f>
        <v/>
      </c>
      <c r="P1305" s="77" t="str">
        <f>IF(Main[[#This Row],[Tech Start Date]]&lt;1/1/1990,"",IF(Main[[#This Row],[Class]]="C",WORKDAY(Main[[#This Row],[Tech Start Date]],28),IF(Main[[#This Row],[Class]]="B", WORKDAY(Main[[#This Row],[Tech Start Date]],19),IF(Main[[#This Row],[Class]]="A",WORKDAY(Main[[#This Row],[Tech Start Date]],9),""))))</f>
        <v/>
      </c>
      <c r="Q1305" s="74">
        <v>40635</v>
      </c>
      <c r="R1305" s="74">
        <v>40724</v>
      </c>
      <c r="S1305" s="72" t="s">
        <v>11</v>
      </c>
      <c r="T1305" s="80" t="s">
        <v>4</v>
      </c>
      <c r="U1305" s="72" t="s">
        <v>14</v>
      </c>
      <c r="V1305" s="72" t="s">
        <v>1938</v>
      </c>
      <c r="W1305" s="72" t="s">
        <v>1945</v>
      </c>
      <c r="X1305" s="72" t="s">
        <v>3056</v>
      </c>
      <c r="Y1305" s="72" t="s">
        <v>4</v>
      </c>
      <c r="Z1305" s="72" t="s">
        <v>891</v>
      </c>
    </row>
    <row r="1306" spans="1:26" ht="18.600000000000001" customHeight="1">
      <c r="A1306" s="142" t="str">
        <f>IF(priority(Main[[#This Row],[Comments]])&lt;&gt;0, priority(Main[[#This Row],[Comments]]),"")</f>
        <v/>
      </c>
      <c r="B1306" s="90" t="s">
        <v>1911</v>
      </c>
      <c r="C1306" s="72" t="s">
        <v>116</v>
      </c>
      <c r="D1306" s="73" t="s">
        <v>959</v>
      </c>
      <c r="E1306" s="74"/>
      <c r="F1306" s="74">
        <v>40725</v>
      </c>
      <c r="G1306" s="75" t="str">
        <f>IF(stdProdLT(Main[[#This Row],[Comments]])=0.1,"N/A",IF(stdProdLT(Main[[#This Row],[Comments]])=0,"",stdProdLT(Main[[#This Row],[Comments]])))</f>
        <v/>
      </c>
      <c r="H1306" s="76">
        <f>IF(AND(Main[[#This Row],[In Stock Date]]&lt;&gt;"",Main[[#This Row],[Revised Due Date]]&lt;&gt;""),Main[[#This Row],[In Stock Date]]-Main[[#This Row],[Revised Due Date]],"")</f>
        <v>11</v>
      </c>
      <c r="I1306" s="72" t="s">
        <v>173</v>
      </c>
      <c r="J1306" s="72" t="s">
        <v>28</v>
      </c>
      <c r="K1306" s="72" t="s">
        <v>1946</v>
      </c>
      <c r="L1306" s="74">
        <v>40623</v>
      </c>
      <c r="M1306" s="77">
        <f>IF(Main[[#This Row],[Tech Start Date]]&lt;1/1/1990,"",IF(Main[[#This Row],[Class]]="C",WORKDAY(Main[[#This Row],[Tech Start Date]],9),IF(Main[[#This Row],[Class]]="B", WORKDAY(Main[[#This Row],[Tech Start Date]],6),IF(Main[[#This Row],[Class]]="A",WORKDAY(Main[[#This Row],[Tech Start Date]],2),""))))</f>
        <v>40625</v>
      </c>
      <c r="N1306" s="77">
        <f>IF(Main[[#This Row],[Tech Start Date]]&lt;1/1/1990,"",IF(Main[[#This Row],[Class]]="C",WORKDAY(Main[[#This Row],[Tech Start Date]],19),IF(Main[[#This Row],[Class]]="B", WORKDAY(Main[[#This Row],[Tech Start Date]],12),IF(Main[[#This Row],[Class]]="A",WORKDAY(Main[[#This Row],[Tech Start Date]],4),""))))</f>
        <v>40627</v>
      </c>
      <c r="O1306" s="77">
        <f>IF(Main[[#This Row],[Tech Start Date]]&lt;1/1/1990,"",IF(Main[[#This Row],[Class]]="C",WORKDAY(Main[[#This Row],[Tech Start Date]],23),IF(Main[[#This Row],[Class]]="B", WORKDAY(Main[[#This Row],[Tech Start Date]],15),IF(Main[[#This Row],[Class]]="A",WORKDAY(Main[[#This Row],[Tech Start Date]],5),""))))</f>
        <v>40630</v>
      </c>
      <c r="P1306" s="77">
        <f>IF(Main[[#This Row],[Tech Start Date]]&lt;1/1/1990,"",IF(Main[[#This Row],[Class]]="C",WORKDAY(Main[[#This Row],[Tech Start Date]],28),IF(Main[[#This Row],[Class]]="B", WORKDAY(Main[[#This Row],[Tech Start Date]],19),IF(Main[[#This Row],[Class]]="A",WORKDAY(Main[[#This Row],[Tech Start Date]],9),""))))</f>
        <v>40634</v>
      </c>
      <c r="Q1306" s="74">
        <v>40714</v>
      </c>
      <c r="R1306" s="74">
        <v>40714</v>
      </c>
      <c r="S1306" s="72" t="s">
        <v>11</v>
      </c>
      <c r="T1306" s="80" t="s">
        <v>960</v>
      </c>
      <c r="U1306" s="72" t="s">
        <v>14</v>
      </c>
      <c r="V1306" s="72" t="s">
        <v>1940</v>
      </c>
      <c r="W1306" s="72" t="s">
        <v>1942</v>
      </c>
      <c r="X1306" s="72" t="s">
        <v>2997</v>
      </c>
      <c r="Y1306" s="72" t="s">
        <v>3223</v>
      </c>
      <c r="Z1306" s="72" t="s">
        <v>173</v>
      </c>
    </row>
    <row r="1307" spans="1:26" ht="18.600000000000001" customHeight="1">
      <c r="A1307" s="142" t="str">
        <f>IF(priority(Main[[#This Row],[Comments]])&lt;&gt;0, priority(Main[[#This Row],[Comments]]),"")</f>
        <v/>
      </c>
      <c r="B1307" s="90" t="s">
        <v>1455</v>
      </c>
      <c r="C1307" s="72" t="s">
        <v>4</v>
      </c>
      <c r="D1307" s="73" t="s">
        <v>520</v>
      </c>
      <c r="E1307" s="74">
        <v>40623.553414351853</v>
      </c>
      <c r="F1307" s="74"/>
      <c r="G1307" s="75" t="str">
        <f>IF(stdProdLT(Main[[#This Row],[Comments]])=0.1,"N/A",IF(stdProdLT(Main[[#This Row],[Comments]])=0,"",stdProdLT(Main[[#This Row],[Comments]])))</f>
        <v/>
      </c>
      <c r="H1307" s="76" t="str">
        <f>IF(AND(Main[[#This Row],[In Stock Date]]&lt;&gt;"",Main[[#This Row],[Revised Due Date]]&lt;&gt;""),Main[[#This Row],[In Stock Date]]-Main[[#This Row],[Revised Due Date]],"")</f>
        <v/>
      </c>
      <c r="I1307" s="72" t="s">
        <v>30</v>
      </c>
      <c r="J1307" s="72" t="s">
        <v>21</v>
      </c>
      <c r="K1307" s="72" t="s">
        <v>1946</v>
      </c>
      <c r="L1307" s="74">
        <v>40623</v>
      </c>
      <c r="M1307" s="77">
        <f>IF(Main[[#This Row],[Tech Start Date]]&lt;1/1/1990,"",IF(Main[[#This Row],[Class]]="C",WORKDAY(Main[[#This Row],[Tech Start Date]],9),IF(Main[[#This Row],[Class]]="B", WORKDAY(Main[[#This Row],[Tech Start Date]],6),IF(Main[[#This Row],[Class]]="A",WORKDAY(Main[[#This Row],[Tech Start Date]],2),""))))</f>
        <v>40625</v>
      </c>
      <c r="N1307" s="77">
        <f>IF(Main[[#This Row],[Tech Start Date]]&lt;1/1/1990,"",IF(Main[[#This Row],[Class]]="C",WORKDAY(Main[[#This Row],[Tech Start Date]],19),IF(Main[[#This Row],[Class]]="B", WORKDAY(Main[[#This Row],[Tech Start Date]],12),IF(Main[[#This Row],[Class]]="A",WORKDAY(Main[[#This Row],[Tech Start Date]],4),""))))</f>
        <v>40627</v>
      </c>
      <c r="O1307" s="77">
        <f>IF(Main[[#This Row],[Tech Start Date]]&lt;1/1/1990,"",IF(Main[[#This Row],[Class]]="C",WORKDAY(Main[[#This Row],[Tech Start Date]],23),IF(Main[[#This Row],[Class]]="B", WORKDAY(Main[[#This Row],[Tech Start Date]],15),IF(Main[[#This Row],[Class]]="A",WORKDAY(Main[[#This Row],[Tech Start Date]],5),""))))</f>
        <v>40630</v>
      </c>
      <c r="P1307" s="77">
        <f>IF(Main[[#This Row],[Tech Start Date]]&lt;1/1/1990,"",IF(Main[[#This Row],[Class]]="C",WORKDAY(Main[[#This Row],[Tech Start Date]],28),IF(Main[[#This Row],[Class]]="B", WORKDAY(Main[[#This Row],[Tech Start Date]],19),IF(Main[[#This Row],[Class]]="A",WORKDAY(Main[[#This Row],[Tech Start Date]],9),""))))</f>
        <v>40634</v>
      </c>
      <c r="Q1307" s="74">
        <v>40662</v>
      </c>
      <c r="R1307" s="74"/>
      <c r="S1307" s="72" t="s">
        <v>6</v>
      </c>
      <c r="T1307" s="80" t="s">
        <v>4</v>
      </c>
      <c r="U1307" s="72" t="s">
        <v>29</v>
      </c>
      <c r="V1307" s="72" t="s">
        <v>1947</v>
      </c>
      <c r="W1307" s="72" t="s">
        <v>1941</v>
      </c>
      <c r="X1307" s="72" t="s">
        <v>30</v>
      </c>
      <c r="Y1307" s="72" t="s">
        <v>3115</v>
      </c>
      <c r="Z1307" s="72" t="s">
        <v>30</v>
      </c>
    </row>
    <row r="1308" spans="1:26" ht="18.600000000000001" customHeight="1">
      <c r="A1308" s="142" t="str">
        <f>IF(priority(Main[[#This Row],[Comments]])&lt;&gt;0, priority(Main[[#This Row],[Comments]]),"")</f>
        <v/>
      </c>
      <c r="B1308" s="90" t="s">
        <v>1897</v>
      </c>
      <c r="C1308" s="72" t="s">
        <v>31</v>
      </c>
      <c r="D1308" s="73" t="s">
        <v>942</v>
      </c>
      <c r="E1308" s="74"/>
      <c r="F1308" s="74">
        <v>40725</v>
      </c>
      <c r="G1308" s="75" t="str">
        <f>IF(stdProdLT(Main[[#This Row],[Comments]])=0.1,"N/A",IF(stdProdLT(Main[[#This Row],[Comments]])=0,"",stdProdLT(Main[[#This Row],[Comments]])))</f>
        <v/>
      </c>
      <c r="H1308" s="76">
        <f>IF(AND(Main[[#This Row],[In Stock Date]]&lt;&gt;"",Main[[#This Row],[Revised Due Date]]&lt;&gt;""),Main[[#This Row],[In Stock Date]]-Main[[#This Row],[Revised Due Date]],"")</f>
        <v>66</v>
      </c>
      <c r="I1308" s="72" t="s">
        <v>173</v>
      </c>
      <c r="J1308" s="72" t="s">
        <v>28</v>
      </c>
      <c r="K1308" s="72" t="s">
        <v>1946</v>
      </c>
      <c r="L1308" s="74">
        <v>40623</v>
      </c>
      <c r="M1308" s="77">
        <f>IF(Main[[#This Row],[Tech Start Date]]&lt;1/1/1990,"",IF(Main[[#This Row],[Class]]="C",WORKDAY(Main[[#This Row],[Tech Start Date]],9),IF(Main[[#This Row],[Class]]="B", WORKDAY(Main[[#This Row],[Tech Start Date]],6),IF(Main[[#This Row],[Class]]="A",WORKDAY(Main[[#This Row],[Tech Start Date]],2),""))))</f>
        <v>40625</v>
      </c>
      <c r="N1308" s="77">
        <f>IF(Main[[#This Row],[Tech Start Date]]&lt;1/1/1990,"",IF(Main[[#This Row],[Class]]="C",WORKDAY(Main[[#This Row],[Tech Start Date]],19),IF(Main[[#This Row],[Class]]="B", WORKDAY(Main[[#This Row],[Tech Start Date]],12),IF(Main[[#This Row],[Class]]="A",WORKDAY(Main[[#This Row],[Tech Start Date]],4),""))))</f>
        <v>40627</v>
      </c>
      <c r="O1308" s="77">
        <f>IF(Main[[#This Row],[Tech Start Date]]&lt;1/1/1990,"",IF(Main[[#This Row],[Class]]="C",WORKDAY(Main[[#This Row],[Tech Start Date]],23),IF(Main[[#This Row],[Class]]="B", WORKDAY(Main[[#This Row],[Tech Start Date]],15),IF(Main[[#This Row],[Class]]="A",WORKDAY(Main[[#This Row],[Tech Start Date]],5),""))))</f>
        <v>40630</v>
      </c>
      <c r="P1308" s="77">
        <f>IF(Main[[#This Row],[Tech Start Date]]&lt;1/1/1990,"",IF(Main[[#This Row],[Class]]="C",WORKDAY(Main[[#This Row],[Tech Start Date]],28),IF(Main[[#This Row],[Class]]="B", WORKDAY(Main[[#This Row],[Tech Start Date]],19),IF(Main[[#This Row],[Class]]="A",WORKDAY(Main[[#This Row],[Tech Start Date]],9),""))))</f>
        <v>40634</v>
      </c>
      <c r="Q1308" s="74">
        <v>40659</v>
      </c>
      <c r="R1308" s="74">
        <v>40659</v>
      </c>
      <c r="S1308" s="72" t="s">
        <v>11</v>
      </c>
      <c r="T1308" s="80" t="s">
        <v>4</v>
      </c>
      <c r="U1308" s="72" t="s">
        <v>14</v>
      </c>
      <c r="V1308" s="72" t="s">
        <v>1940</v>
      </c>
      <c r="W1308" s="72" t="s">
        <v>1943</v>
      </c>
      <c r="X1308" s="72" t="s">
        <v>2997</v>
      </c>
      <c r="Y1308" s="72" t="s">
        <v>3223</v>
      </c>
      <c r="Z1308" s="72" t="s">
        <v>173</v>
      </c>
    </row>
    <row r="1309" spans="1:26" ht="18.600000000000001" customHeight="1">
      <c r="A1309" s="142" t="str">
        <f>IF(priority(Main[[#This Row],[Comments]])&lt;&gt;0, priority(Main[[#This Row],[Comments]]),"")</f>
        <v/>
      </c>
      <c r="B1309" s="90" t="s">
        <v>1899</v>
      </c>
      <c r="C1309" s="72" t="s">
        <v>4</v>
      </c>
      <c r="D1309" s="73" t="s">
        <v>944</v>
      </c>
      <c r="E1309" s="74">
        <v>40624.55673611111</v>
      </c>
      <c r="F1309" s="74"/>
      <c r="G1309" s="75" t="str">
        <f>IF(stdProdLT(Main[[#This Row],[Comments]])=0.1,"N/A",IF(stdProdLT(Main[[#This Row],[Comments]])=0,"",stdProdLT(Main[[#This Row],[Comments]])))</f>
        <v/>
      </c>
      <c r="H1309" s="76" t="str">
        <f>IF(AND(Main[[#This Row],[In Stock Date]]&lt;&gt;"",Main[[#This Row],[Revised Due Date]]&lt;&gt;""),Main[[#This Row],[In Stock Date]]-Main[[#This Row],[Revised Due Date]],"")</f>
        <v/>
      </c>
      <c r="I1309" s="72" t="s">
        <v>242</v>
      </c>
      <c r="J1309" s="72" t="s">
        <v>28</v>
      </c>
      <c r="K1309" s="72" t="s">
        <v>1946</v>
      </c>
      <c r="L1309" s="74">
        <v>40638</v>
      </c>
      <c r="M1309" s="77">
        <f>IF(Main[[#This Row],[Tech Start Date]]&lt;1/1/1990,"",IF(Main[[#This Row],[Class]]="C",WORKDAY(Main[[#This Row],[Tech Start Date]],9),IF(Main[[#This Row],[Class]]="B", WORKDAY(Main[[#This Row],[Tech Start Date]],6),IF(Main[[#This Row],[Class]]="A",WORKDAY(Main[[#This Row],[Tech Start Date]],2),""))))</f>
        <v>40640</v>
      </c>
      <c r="N1309" s="77">
        <f>IF(Main[[#This Row],[Tech Start Date]]&lt;1/1/1990,"",IF(Main[[#This Row],[Class]]="C",WORKDAY(Main[[#This Row],[Tech Start Date]],19),IF(Main[[#This Row],[Class]]="B", WORKDAY(Main[[#This Row],[Tech Start Date]],12),IF(Main[[#This Row],[Class]]="A",WORKDAY(Main[[#This Row],[Tech Start Date]],4),""))))</f>
        <v>40644</v>
      </c>
      <c r="O1309" s="77">
        <f>IF(Main[[#This Row],[Tech Start Date]]&lt;1/1/1990,"",IF(Main[[#This Row],[Class]]="C",WORKDAY(Main[[#This Row],[Tech Start Date]],23),IF(Main[[#This Row],[Class]]="B", WORKDAY(Main[[#This Row],[Tech Start Date]],15),IF(Main[[#This Row],[Class]]="A",WORKDAY(Main[[#This Row],[Tech Start Date]],5),""))))</f>
        <v>40645</v>
      </c>
      <c r="P1309" s="77">
        <f>IF(Main[[#This Row],[Tech Start Date]]&lt;1/1/1990,"",IF(Main[[#This Row],[Class]]="C",WORKDAY(Main[[#This Row],[Tech Start Date]],28),IF(Main[[#This Row],[Class]]="B", WORKDAY(Main[[#This Row],[Tech Start Date]],19),IF(Main[[#This Row],[Class]]="A",WORKDAY(Main[[#This Row],[Tech Start Date]],9),""))))</f>
        <v>40651</v>
      </c>
      <c r="Q1309" s="74"/>
      <c r="R1309" s="74">
        <v>40675</v>
      </c>
      <c r="S1309" s="72" t="s">
        <v>6</v>
      </c>
      <c r="T1309" s="80" t="s">
        <v>4</v>
      </c>
      <c r="U1309" s="72" t="s">
        <v>29</v>
      </c>
      <c r="V1309" s="72" t="s">
        <v>1940</v>
      </c>
      <c r="W1309" s="72" t="s">
        <v>1941</v>
      </c>
      <c r="X1309" s="72" t="s">
        <v>3072</v>
      </c>
      <c r="Y1309" s="72" t="s">
        <v>3309</v>
      </c>
      <c r="Z1309" s="72" t="s">
        <v>30</v>
      </c>
    </row>
    <row r="1310" spans="1:26" ht="18.600000000000001" customHeight="1">
      <c r="A1310" s="142" t="str">
        <f>IF(priority(Main[[#This Row],[Comments]])&lt;&gt;0, priority(Main[[#This Row],[Comments]]),"")</f>
        <v/>
      </c>
      <c r="B1310" s="90" t="s">
        <v>1895</v>
      </c>
      <c r="C1310" s="72" t="s">
        <v>4</v>
      </c>
      <c r="D1310" s="73" t="s">
        <v>2673</v>
      </c>
      <c r="E1310" s="74">
        <v>40627.819594907407</v>
      </c>
      <c r="F1310" s="74"/>
      <c r="G1310" s="75" t="str">
        <f>IF(stdProdLT(Main[[#This Row],[Comments]])=0.1,"N/A",IF(stdProdLT(Main[[#This Row],[Comments]])=0,"",stdProdLT(Main[[#This Row],[Comments]])))</f>
        <v/>
      </c>
      <c r="H1310" s="76" t="str">
        <f>IF(AND(Main[[#This Row],[In Stock Date]]&lt;&gt;"",Main[[#This Row],[Revised Due Date]]&lt;&gt;""),Main[[#This Row],[In Stock Date]]-Main[[#This Row],[Revised Due Date]],"")</f>
        <v/>
      </c>
      <c r="I1310" s="72" t="s">
        <v>30</v>
      </c>
      <c r="J1310" s="72" t="s">
        <v>75</v>
      </c>
      <c r="K1310" s="72" t="s">
        <v>1946</v>
      </c>
      <c r="L1310" s="74">
        <v>40639</v>
      </c>
      <c r="M1310" s="77">
        <f>IF(Main[[#This Row],[Tech Start Date]]&lt;1/1/1990,"",IF(Main[[#This Row],[Class]]="C",WORKDAY(Main[[#This Row],[Tech Start Date]],9),IF(Main[[#This Row],[Class]]="B", WORKDAY(Main[[#This Row],[Tech Start Date]],6),IF(Main[[#This Row],[Class]]="A",WORKDAY(Main[[#This Row],[Tech Start Date]],2),""))))</f>
        <v>40641</v>
      </c>
      <c r="N1310" s="77">
        <f>IF(Main[[#This Row],[Tech Start Date]]&lt;1/1/1990,"",IF(Main[[#This Row],[Class]]="C",WORKDAY(Main[[#This Row],[Tech Start Date]],19),IF(Main[[#This Row],[Class]]="B", WORKDAY(Main[[#This Row],[Tech Start Date]],12),IF(Main[[#This Row],[Class]]="A",WORKDAY(Main[[#This Row],[Tech Start Date]],4),""))))</f>
        <v>40645</v>
      </c>
      <c r="O1310" s="77">
        <f>IF(Main[[#This Row],[Tech Start Date]]&lt;1/1/1990,"",IF(Main[[#This Row],[Class]]="C",WORKDAY(Main[[#This Row],[Tech Start Date]],23),IF(Main[[#This Row],[Class]]="B", WORKDAY(Main[[#This Row],[Tech Start Date]],15),IF(Main[[#This Row],[Class]]="A",WORKDAY(Main[[#This Row],[Tech Start Date]],5),""))))</f>
        <v>40646</v>
      </c>
      <c r="P1310" s="77">
        <f>IF(Main[[#This Row],[Tech Start Date]]&lt;1/1/1990,"",IF(Main[[#This Row],[Class]]="C",WORKDAY(Main[[#This Row],[Tech Start Date]],28),IF(Main[[#This Row],[Class]]="B", WORKDAY(Main[[#This Row],[Tech Start Date]],19),IF(Main[[#This Row],[Class]]="A",WORKDAY(Main[[#This Row],[Tech Start Date]],9),""))))</f>
        <v>40652</v>
      </c>
      <c r="Q1310" s="74">
        <v>40659</v>
      </c>
      <c r="R1310" s="74">
        <v>40646</v>
      </c>
      <c r="S1310" s="72" t="s">
        <v>6</v>
      </c>
      <c r="T1310" s="80" t="s">
        <v>4</v>
      </c>
      <c r="U1310" s="72" t="s">
        <v>29</v>
      </c>
      <c r="V1310" s="72" t="s">
        <v>1940</v>
      </c>
      <c r="W1310" s="72" t="s">
        <v>1941</v>
      </c>
      <c r="X1310" s="72" t="s">
        <v>30</v>
      </c>
      <c r="Y1310" s="72" t="s">
        <v>3115</v>
      </c>
      <c r="Z1310" s="72" t="s">
        <v>30</v>
      </c>
    </row>
    <row r="1311" spans="1:26" ht="18.600000000000001" customHeight="1">
      <c r="A1311" s="142" t="str">
        <f>IF(priority(Main[[#This Row],[Comments]])&lt;&gt;0, priority(Main[[#This Row],[Comments]]),"")</f>
        <v/>
      </c>
      <c r="B1311" s="90" t="s">
        <v>1902</v>
      </c>
      <c r="C1311" s="72" t="s">
        <v>4</v>
      </c>
      <c r="D1311" s="73" t="s">
        <v>2165</v>
      </c>
      <c r="E1311" s="74"/>
      <c r="F1311" s="74"/>
      <c r="G1311" s="75" t="str">
        <f>IF(stdProdLT(Main[[#This Row],[Comments]])=0.1,"N/A",IF(stdProdLT(Main[[#This Row],[Comments]])=0,"",stdProdLT(Main[[#This Row],[Comments]])))</f>
        <v/>
      </c>
      <c r="H1311" s="76" t="str">
        <f>IF(AND(Main[[#This Row],[In Stock Date]]&lt;&gt;"",Main[[#This Row],[Revised Due Date]]&lt;&gt;""),Main[[#This Row],[In Stock Date]]-Main[[#This Row],[Revised Due Date]],"")</f>
        <v/>
      </c>
      <c r="I1311" s="72" t="s">
        <v>311</v>
      </c>
      <c r="J1311" s="72" t="s">
        <v>75</v>
      </c>
      <c r="K1311" s="72" t="s">
        <v>1946</v>
      </c>
      <c r="L1311" s="74">
        <v>40651</v>
      </c>
      <c r="M1311" s="77">
        <f>IF(Main[[#This Row],[Tech Start Date]]&lt;1/1/1990,"",IF(Main[[#This Row],[Class]]="C",WORKDAY(Main[[#This Row],[Tech Start Date]],9),IF(Main[[#This Row],[Class]]="B", WORKDAY(Main[[#This Row],[Tech Start Date]],6),IF(Main[[#This Row],[Class]]="A",WORKDAY(Main[[#This Row],[Tech Start Date]],2),""))))</f>
        <v>40653</v>
      </c>
      <c r="N1311" s="77">
        <f>IF(Main[[#This Row],[Tech Start Date]]&lt;1/1/1990,"",IF(Main[[#This Row],[Class]]="C",WORKDAY(Main[[#This Row],[Tech Start Date]],19),IF(Main[[#This Row],[Class]]="B", WORKDAY(Main[[#This Row],[Tech Start Date]],12),IF(Main[[#This Row],[Class]]="A",WORKDAY(Main[[#This Row],[Tech Start Date]],4),""))))</f>
        <v>40655</v>
      </c>
      <c r="O1311" s="77">
        <f>IF(Main[[#This Row],[Tech Start Date]]&lt;1/1/1990,"",IF(Main[[#This Row],[Class]]="C",WORKDAY(Main[[#This Row],[Tech Start Date]],23),IF(Main[[#This Row],[Class]]="B", WORKDAY(Main[[#This Row],[Tech Start Date]],15),IF(Main[[#This Row],[Class]]="A",WORKDAY(Main[[#This Row],[Tech Start Date]],5),""))))</f>
        <v>40658</v>
      </c>
      <c r="P1311" s="77">
        <f>IF(Main[[#This Row],[Tech Start Date]]&lt;1/1/1990,"",IF(Main[[#This Row],[Class]]="C",WORKDAY(Main[[#This Row],[Tech Start Date]],28),IF(Main[[#This Row],[Class]]="B", WORKDAY(Main[[#This Row],[Tech Start Date]],19),IF(Main[[#This Row],[Class]]="A",WORKDAY(Main[[#This Row],[Tech Start Date]],9),""))))</f>
        <v>40662</v>
      </c>
      <c r="Q1311" s="74">
        <v>40480</v>
      </c>
      <c r="R1311" s="74">
        <v>40689</v>
      </c>
      <c r="S1311" s="72" t="s">
        <v>6</v>
      </c>
      <c r="T1311" s="80" t="s">
        <v>4</v>
      </c>
      <c r="U1311" s="72" t="s">
        <v>14</v>
      </c>
      <c r="V1311" s="72" t="s">
        <v>1947</v>
      </c>
      <c r="W1311" s="72" t="s">
        <v>1941</v>
      </c>
      <c r="X1311" s="72" t="s">
        <v>2970</v>
      </c>
      <c r="Y1311" s="72" t="s">
        <v>3087</v>
      </c>
      <c r="Z1311" s="72" t="s">
        <v>30</v>
      </c>
    </row>
    <row r="1312" spans="1:26" ht="18.600000000000001" customHeight="1">
      <c r="A1312" s="142" t="str">
        <f>IF(priority(Main[[#This Row],[Comments]])&lt;&gt;0, priority(Main[[#This Row],[Comments]]),"")</f>
        <v/>
      </c>
      <c r="B1312" s="90" t="s">
        <v>1901</v>
      </c>
      <c r="C1312" s="72" t="s">
        <v>4</v>
      </c>
      <c r="D1312" s="73" t="s">
        <v>946</v>
      </c>
      <c r="E1312" s="74"/>
      <c r="F1312" s="74"/>
      <c r="G1312" s="75" t="str">
        <f>IF(stdProdLT(Main[[#This Row],[Comments]])=0.1,"N/A",IF(stdProdLT(Main[[#This Row],[Comments]])=0,"",stdProdLT(Main[[#This Row],[Comments]])))</f>
        <v/>
      </c>
      <c r="H1312" s="76" t="str">
        <f>IF(AND(Main[[#This Row],[In Stock Date]]&lt;&gt;"",Main[[#This Row],[Revised Due Date]]&lt;&gt;""),Main[[#This Row],[In Stock Date]]-Main[[#This Row],[Revised Due Date]],"")</f>
        <v/>
      </c>
      <c r="I1312" s="72" t="s">
        <v>44</v>
      </c>
      <c r="J1312" s="72" t="s">
        <v>28</v>
      </c>
      <c r="K1312" s="72" t="s">
        <v>1946</v>
      </c>
      <c r="L1312" s="74">
        <v>40651</v>
      </c>
      <c r="M1312" s="77">
        <f>IF(Main[[#This Row],[Tech Start Date]]&lt;1/1/1990,"",IF(Main[[#This Row],[Class]]="C",WORKDAY(Main[[#This Row],[Tech Start Date]],9),IF(Main[[#This Row],[Class]]="B", WORKDAY(Main[[#This Row],[Tech Start Date]],6),IF(Main[[#This Row],[Class]]="A",WORKDAY(Main[[#This Row],[Tech Start Date]],2),""))))</f>
        <v>40653</v>
      </c>
      <c r="N1312" s="77">
        <f>IF(Main[[#This Row],[Tech Start Date]]&lt;1/1/1990,"",IF(Main[[#This Row],[Class]]="C",WORKDAY(Main[[#This Row],[Tech Start Date]],19),IF(Main[[#This Row],[Class]]="B", WORKDAY(Main[[#This Row],[Tech Start Date]],12),IF(Main[[#This Row],[Class]]="A",WORKDAY(Main[[#This Row],[Tech Start Date]],4),""))))</f>
        <v>40655</v>
      </c>
      <c r="O1312" s="77">
        <f>IF(Main[[#This Row],[Tech Start Date]]&lt;1/1/1990,"",IF(Main[[#This Row],[Class]]="C",WORKDAY(Main[[#This Row],[Tech Start Date]],23),IF(Main[[#This Row],[Class]]="B", WORKDAY(Main[[#This Row],[Tech Start Date]],15),IF(Main[[#This Row],[Class]]="A",WORKDAY(Main[[#This Row],[Tech Start Date]],5),""))))</f>
        <v>40658</v>
      </c>
      <c r="P1312" s="77">
        <f>IF(Main[[#This Row],[Tech Start Date]]&lt;1/1/1990,"",IF(Main[[#This Row],[Class]]="C",WORKDAY(Main[[#This Row],[Tech Start Date]],28),IF(Main[[#This Row],[Class]]="B", WORKDAY(Main[[#This Row],[Tech Start Date]],19),IF(Main[[#This Row],[Class]]="A",WORKDAY(Main[[#This Row],[Tech Start Date]],9),""))))</f>
        <v>40662</v>
      </c>
      <c r="Q1312" s="74">
        <v>40494</v>
      </c>
      <c r="R1312" s="74">
        <v>40689</v>
      </c>
      <c r="S1312" s="72" t="s">
        <v>6</v>
      </c>
      <c r="T1312" s="80" t="s">
        <v>4</v>
      </c>
      <c r="U1312" s="72" t="s">
        <v>14</v>
      </c>
      <c r="V1312" s="72" t="s">
        <v>1940</v>
      </c>
      <c r="W1312" s="72" t="s">
        <v>1941</v>
      </c>
      <c r="X1312" s="72" t="s">
        <v>2971</v>
      </c>
      <c r="Y1312" s="72" t="s">
        <v>3090</v>
      </c>
      <c r="Z1312" s="72" t="s">
        <v>44</v>
      </c>
    </row>
    <row r="1313" spans="1:26" ht="18.600000000000001" customHeight="1">
      <c r="A1313" s="142" t="str">
        <f>IF(priority(Main[[#This Row],[Comments]])&lt;&gt;0, priority(Main[[#This Row],[Comments]]),"")</f>
        <v/>
      </c>
      <c r="B1313" s="90" t="s">
        <v>1900</v>
      </c>
      <c r="C1313" s="72" t="s">
        <v>4</v>
      </c>
      <c r="D1313" s="73" t="s">
        <v>945</v>
      </c>
      <c r="E1313" s="74"/>
      <c r="F1313" s="74"/>
      <c r="G1313" s="75" t="str">
        <f>IF(stdProdLT(Main[[#This Row],[Comments]])=0.1,"N/A",IF(stdProdLT(Main[[#This Row],[Comments]])=0,"",stdProdLT(Main[[#This Row],[Comments]])))</f>
        <v/>
      </c>
      <c r="H1313" s="76" t="str">
        <f>IF(AND(Main[[#This Row],[In Stock Date]]&lt;&gt;"",Main[[#This Row],[Revised Due Date]]&lt;&gt;""),Main[[#This Row],[In Stock Date]]-Main[[#This Row],[Revised Due Date]],"")</f>
        <v/>
      </c>
      <c r="I1313" s="72" t="s">
        <v>131</v>
      </c>
      <c r="J1313" s="72" t="s">
        <v>70</v>
      </c>
      <c r="K1313" s="72" t="s">
        <v>1946</v>
      </c>
      <c r="L1313" s="74">
        <v>40658</v>
      </c>
      <c r="M1313" s="77">
        <f>IF(Main[[#This Row],[Tech Start Date]]&lt;1/1/1990,"",IF(Main[[#This Row],[Class]]="C",WORKDAY(Main[[#This Row],[Tech Start Date]],9),IF(Main[[#This Row],[Class]]="B", WORKDAY(Main[[#This Row],[Tech Start Date]],6),IF(Main[[#This Row],[Class]]="A",WORKDAY(Main[[#This Row],[Tech Start Date]],2),""))))</f>
        <v>40660</v>
      </c>
      <c r="N1313" s="77">
        <f>IF(Main[[#This Row],[Tech Start Date]]&lt;1/1/1990,"",IF(Main[[#This Row],[Class]]="C",WORKDAY(Main[[#This Row],[Tech Start Date]],19),IF(Main[[#This Row],[Class]]="B", WORKDAY(Main[[#This Row],[Tech Start Date]],12),IF(Main[[#This Row],[Class]]="A",WORKDAY(Main[[#This Row],[Tech Start Date]],4),""))))</f>
        <v>40662</v>
      </c>
      <c r="O1313" s="77">
        <f>IF(Main[[#This Row],[Tech Start Date]]&lt;1/1/1990,"",IF(Main[[#This Row],[Class]]="C",WORKDAY(Main[[#This Row],[Tech Start Date]],23),IF(Main[[#This Row],[Class]]="B", WORKDAY(Main[[#This Row],[Tech Start Date]],15),IF(Main[[#This Row],[Class]]="A",WORKDAY(Main[[#This Row],[Tech Start Date]],5),""))))</f>
        <v>40665</v>
      </c>
      <c r="P1313" s="77">
        <f>IF(Main[[#This Row],[Tech Start Date]]&lt;1/1/1990,"",IF(Main[[#This Row],[Class]]="C",WORKDAY(Main[[#This Row],[Tech Start Date]],28),IF(Main[[#This Row],[Class]]="B", WORKDAY(Main[[#This Row],[Tech Start Date]],19),IF(Main[[#This Row],[Class]]="A",WORKDAY(Main[[#This Row],[Tech Start Date]],9),""))))</f>
        <v>40669</v>
      </c>
      <c r="Q1313" s="74">
        <v>40665</v>
      </c>
      <c r="R1313" s="74">
        <v>40686</v>
      </c>
      <c r="S1313" s="72" t="s">
        <v>6</v>
      </c>
      <c r="T1313" s="80" t="s">
        <v>4</v>
      </c>
      <c r="U1313" s="72" t="s">
        <v>14</v>
      </c>
      <c r="V1313" s="72" t="s">
        <v>1940</v>
      </c>
      <c r="W1313" s="72" t="s">
        <v>1939</v>
      </c>
      <c r="X1313" s="72" t="s">
        <v>3003</v>
      </c>
      <c r="Y1313" s="72" t="s">
        <v>3144</v>
      </c>
      <c r="Z1313" s="72" t="s">
        <v>30</v>
      </c>
    </row>
    <row r="1314" spans="1:26" ht="18.600000000000001" customHeight="1">
      <c r="A1314" s="142" t="str">
        <f>IF(priority(Main[[#This Row],[Comments]])&lt;&gt;0, priority(Main[[#This Row],[Comments]]),"")</f>
        <v/>
      </c>
      <c r="B1314" s="90" t="s">
        <v>1923</v>
      </c>
      <c r="C1314" s="72" t="s">
        <v>4</v>
      </c>
      <c r="D1314" s="73" t="s">
        <v>2674</v>
      </c>
      <c r="E1314" s="74">
        <v>40659.398043981484</v>
      </c>
      <c r="F1314" s="74"/>
      <c r="G1314" s="75" t="str">
        <f>IF(stdProdLT(Main[[#This Row],[Comments]])=0.1,"N/A",IF(stdProdLT(Main[[#This Row],[Comments]])=0,"",stdProdLT(Main[[#This Row],[Comments]])))</f>
        <v/>
      </c>
      <c r="H1314" s="76" t="str">
        <f>IF(AND(Main[[#This Row],[In Stock Date]]&lt;&gt;"",Main[[#This Row],[Revised Due Date]]&lt;&gt;""),Main[[#This Row],[In Stock Date]]-Main[[#This Row],[Revised Due Date]],"")</f>
        <v/>
      </c>
      <c r="I1314" s="72" t="s">
        <v>985</v>
      </c>
      <c r="J1314" s="72" t="s">
        <v>28</v>
      </c>
      <c r="K1314" s="72" t="s">
        <v>1949</v>
      </c>
      <c r="L1314" s="74">
        <v>40665</v>
      </c>
      <c r="M1314" s="77" t="str">
        <f>IF(Main[[#This Row],[Tech Start Date]]&lt;1/1/1990,"",IF(Main[[#This Row],[Class]]="C",WORKDAY(Main[[#This Row],[Tech Start Date]],9),IF(Main[[#This Row],[Class]]="B", WORKDAY(Main[[#This Row],[Tech Start Date]],6),IF(Main[[#This Row],[Class]]="A",WORKDAY(Main[[#This Row],[Tech Start Date]],2),""))))</f>
        <v/>
      </c>
      <c r="N1314" s="77" t="str">
        <f>IF(Main[[#This Row],[Tech Start Date]]&lt;1/1/1990,"",IF(Main[[#This Row],[Class]]="C",WORKDAY(Main[[#This Row],[Tech Start Date]],19),IF(Main[[#This Row],[Class]]="B", WORKDAY(Main[[#This Row],[Tech Start Date]],12),IF(Main[[#This Row],[Class]]="A",WORKDAY(Main[[#This Row],[Tech Start Date]],4),""))))</f>
        <v/>
      </c>
      <c r="O1314" s="77" t="str">
        <f>IF(Main[[#This Row],[Tech Start Date]]&lt;1/1/1990,"",IF(Main[[#This Row],[Class]]="C",WORKDAY(Main[[#This Row],[Tech Start Date]],23),IF(Main[[#This Row],[Class]]="B", WORKDAY(Main[[#This Row],[Tech Start Date]],15),IF(Main[[#This Row],[Class]]="A",WORKDAY(Main[[#This Row],[Tech Start Date]],5),""))))</f>
        <v/>
      </c>
      <c r="P1314" s="77" t="str">
        <f>IF(Main[[#This Row],[Tech Start Date]]&lt;1/1/1990,"",IF(Main[[#This Row],[Class]]="C",WORKDAY(Main[[#This Row],[Tech Start Date]],28),IF(Main[[#This Row],[Class]]="B", WORKDAY(Main[[#This Row],[Tech Start Date]],19),IF(Main[[#This Row],[Class]]="A",WORKDAY(Main[[#This Row],[Tech Start Date]],9),""))))</f>
        <v/>
      </c>
      <c r="Q1314" s="74">
        <v>40877</v>
      </c>
      <c r="R1314" s="74">
        <v>40900</v>
      </c>
      <c r="S1314" s="72" t="s">
        <v>17</v>
      </c>
      <c r="T1314" s="80" t="s">
        <v>2675</v>
      </c>
      <c r="U1314" s="72" t="s">
        <v>29</v>
      </c>
      <c r="V1314" s="72" t="s">
        <v>1937</v>
      </c>
      <c r="W1314" s="72" t="s">
        <v>1941</v>
      </c>
      <c r="X1314" s="72" t="s">
        <v>922</v>
      </c>
      <c r="Y1314" s="72" t="s">
        <v>3175</v>
      </c>
      <c r="Z1314" s="72" t="s">
        <v>891</v>
      </c>
    </row>
    <row r="1315" spans="1:26" ht="18.600000000000001" customHeight="1">
      <c r="A1315" s="142" t="str">
        <f>IF(priority(Main[[#This Row],[Comments]])&lt;&gt;0, priority(Main[[#This Row],[Comments]]),"")</f>
        <v/>
      </c>
      <c r="B1315" s="90" t="s">
        <v>1907</v>
      </c>
      <c r="C1315" s="72" t="s">
        <v>951</v>
      </c>
      <c r="D1315" s="73" t="s">
        <v>952</v>
      </c>
      <c r="E1315" s="74"/>
      <c r="F1315" s="74">
        <v>40701</v>
      </c>
      <c r="G1315" s="75" t="str">
        <f>IF(stdProdLT(Main[[#This Row],[Comments]])=0.1,"N/A",IF(stdProdLT(Main[[#This Row],[Comments]])=0,"",stdProdLT(Main[[#This Row],[Comments]])))</f>
        <v/>
      </c>
      <c r="H1315" s="76">
        <f>IF(AND(Main[[#This Row],[In Stock Date]]&lt;&gt;"",Main[[#This Row],[Revised Due Date]]&lt;&gt;""),Main[[#This Row],[In Stock Date]]-Main[[#This Row],[Revised Due Date]],"")</f>
        <v>0</v>
      </c>
      <c r="I1315" s="72" t="s">
        <v>953</v>
      </c>
      <c r="J1315" s="72" t="s">
        <v>28</v>
      </c>
      <c r="K1315" s="72" t="s">
        <v>1950</v>
      </c>
      <c r="L1315" s="74">
        <v>40666</v>
      </c>
      <c r="M1315" s="77">
        <f>IF(Main[[#This Row],[Tech Start Date]]&lt;1/1/1990,"",IF(Main[[#This Row],[Class]]="C",WORKDAY(Main[[#This Row],[Tech Start Date]],9),IF(Main[[#This Row],[Class]]="B", WORKDAY(Main[[#This Row],[Tech Start Date]],6),IF(Main[[#This Row],[Class]]="A",WORKDAY(Main[[#This Row],[Tech Start Date]],2),""))))</f>
        <v>40679</v>
      </c>
      <c r="N1315" s="77">
        <f>IF(Main[[#This Row],[Tech Start Date]]&lt;1/1/1990,"",IF(Main[[#This Row],[Class]]="C",WORKDAY(Main[[#This Row],[Tech Start Date]],19),IF(Main[[#This Row],[Class]]="B", WORKDAY(Main[[#This Row],[Tech Start Date]],12),IF(Main[[#This Row],[Class]]="A",WORKDAY(Main[[#This Row],[Tech Start Date]],4),""))))</f>
        <v>40693</v>
      </c>
      <c r="O1315" s="77">
        <f>IF(Main[[#This Row],[Tech Start Date]]&lt;1/1/1990,"",IF(Main[[#This Row],[Class]]="C",WORKDAY(Main[[#This Row],[Tech Start Date]],23),IF(Main[[#This Row],[Class]]="B", WORKDAY(Main[[#This Row],[Tech Start Date]],15),IF(Main[[#This Row],[Class]]="A",WORKDAY(Main[[#This Row],[Tech Start Date]],5),""))))</f>
        <v>40697</v>
      </c>
      <c r="P1315" s="77">
        <f>IF(Main[[#This Row],[Tech Start Date]]&lt;1/1/1990,"",IF(Main[[#This Row],[Class]]="C",WORKDAY(Main[[#This Row],[Tech Start Date]],28),IF(Main[[#This Row],[Class]]="B", WORKDAY(Main[[#This Row],[Tech Start Date]],19),IF(Main[[#This Row],[Class]]="A",WORKDAY(Main[[#This Row],[Tech Start Date]],9),""))))</f>
        <v>40704</v>
      </c>
      <c r="Q1315" s="74">
        <v>40701</v>
      </c>
      <c r="R1315" s="74">
        <v>40701</v>
      </c>
      <c r="S1315" s="72" t="s">
        <v>11</v>
      </c>
      <c r="T1315" s="80" t="s">
        <v>954</v>
      </c>
      <c r="U1315" s="72" t="s">
        <v>14</v>
      </c>
      <c r="V1315" s="72" t="s">
        <v>1937</v>
      </c>
      <c r="W1315" s="72" t="s">
        <v>1942</v>
      </c>
      <c r="X1315" s="72" t="s">
        <v>3006</v>
      </c>
      <c r="Y1315" s="72" t="s">
        <v>3311</v>
      </c>
      <c r="Z1315" s="72" t="s">
        <v>129</v>
      </c>
    </row>
    <row r="1316" spans="1:26" ht="18.600000000000001" customHeight="1">
      <c r="A1316" s="142" t="str">
        <f>IF(priority(Main[[#This Row],[Comments]])&lt;&gt;0, priority(Main[[#This Row],[Comments]]),"")</f>
        <v/>
      </c>
      <c r="B1316" s="90" t="s">
        <v>1906</v>
      </c>
      <c r="C1316" s="72" t="s">
        <v>113</v>
      </c>
      <c r="D1316" s="73" t="s">
        <v>2677</v>
      </c>
      <c r="E1316" s="74">
        <v>40596.601666666669</v>
      </c>
      <c r="F1316" s="74">
        <v>40605</v>
      </c>
      <c r="G1316" s="75" t="str">
        <f>IF(stdProdLT(Main[[#This Row],[Comments]])=0.1,"N/A",IF(stdProdLT(Main[[#This Row],[Comments]])=0,"",stdProdLT(Main[[#This Row],[Comments]])))</f>
        <v/>
      </c>
      <c r="H1316" s="76" t="str">
        <f>IF(AND(Main[[#This Row],[In Stock Date]]&lt;&gt;"",Main[[#This Row],[Revised Due Date]]&lt;&gt;""),Main[[#This Row],[In Stock Date]]-Main[[#This Row],[Revised Due Date]],"")</f>
        <v/>
      </c>
      <c r="I1316" s="72" t="s">
        <v>4</v>
      </c>
      <c r="J1316" s="72" t="s">
        <v>52</v>
      </c>
      <c r="K1316" s="72" t="s">
        <v>1950</v>
      </c>
      <c r="L1316" s="74">
        <v>40666</v>
      </c>
      <c r="M1316" s="77">
        <f>IF(Main[[#This Row],[Tech Start Date]]&lt;1/1/1990,"",IF(Main[[#This Row],[Class]]="C",WORKDAY(Main[[#This Row],[Tech Start Date]],9),IF(Main[[#This Row],[Class]]="B", WORKDAY(Main[[#This Row],[Tech Start Date]],6),IF(Main[[#This Row],[Class]]="A",WORKDAY(Main[[#This Row],[Tech Start Date]],2),""))))</f>
        <v>40679</v>
      </c>
      <c r="N1316" s="77">
        <f>IF(Main[[#This Row],[Tech Start Date]]&lt;1/1/1990,"",IF(Main[[#This Row],[Class]]="C",WORKDAY(Main[[#This Row],[Tech Start Date]],19),IF(Main[[#This Row],[Class]]="B", WORKDAY(Main[[#This Row],[Tech Start Date]],12),IF(Main[[#This Row],[Class]]="A",WORKDAY(Main[[#This Row],[Tech Start Date]],4),""))))</f>
        <v>40693</v>
      </c>
      <c r="O1316" s="77">
        <f>IF(Main[[#This Row],[Tech Start Date]]&lt;1/1/1990,"",IF(Main[[#This Row],[Class]]="C",WORKDAY(Main[[#This Row],[Tech Start Date]],23),IF(Main[[#This Row],[Class]]="B", WORKDAY(Main[[#This Row],[Tech Start Date]],15),IF(Main[[#This Row],[Class]]="A",WORKDAY(Main[[#This Row],[Tech Start Date]],5),""))))</f>
        <v>40697</v>
      </c>
      <c r="P1316" s="77">
        <f>IF(Main[[#This Row],[Tech Start Date]]&lt;1/1/1990,"",IF(Main[[#This Row],[Class]]="C",WORKDAY(Main[[#This Row],[Tech Start Date]],28),IF(Main[[#This Row],[Class]]="B", WORKDAY(Main[[#This Row],[Tech Start Date]],19),IF(Main[[#This Row],[Class]]="A",WORKDAY(Main[[#This Row],[Tech Start Date]],9),""))))</f>
        <v>40704</v>
      </c>
      <c r="Q1316" s="74">
        <v>40701</v>
      </c>
      <c r="R1316" s="74"/>
      <c r="S1316" s="72" t="s">
        <v>17</v>
      </c>
      <c r="T1316" s="80" t="s">
        <v>2028</v>
      </c>
      <c r="U1316" s="72" t="s">
        <v>29</v>
      </c>
      <c r="V1316" s="72" t="s">
        <v>1937</v>
      </c>
      <c r="W1316" s="72" t="s">
        <v>1948</v>
      </c>
      <c r="X1316" s="72" t="s">
        <v>3013</v>
      </c>
      <c r="Y1316" s="72" t="s">
        <v>3163</v>
      </c>
      <c r="Z1316" s="72" t="s">
        <v>129</v>
      </c>
    </row>
    <row r="1317" spans="1:26" ht="18.600000000000001" customHeight="1">
      <c r="A1317" s="142" t="str">
        <f>IF(priority(Main[[#This Row],[Comments]])&lt;&gt;0, priority(Main[[#This Row],[Comments]]),"")</f>
        <v/>
      </c>
      <c r="B1317" s="90" t="s">
        <v>1710</v>
      </c>
      <c r="C1317" s="72" t="s">
        <v>524</v>
      </c>
      <c r="D1317" s="73" t="s">
        <v>756</v>
      </c>
      <c r="E1317" s="74">
        <v>40661.601064814815</v>
      </c>
      <c r="F1317" s="74">
        <v>40862</v>
      </c>
      <c r="G1317" s="75" t="str">
        <f>IF(stdProdLT(Main[[#This Row],[Comments]])=0.1,"N/A",IF(stdProdLT(Main[[#This Row],[Comments]])=0,"",stdProdLT(Main[[#This Row],[Comments]])))</f>
        <v/>
      </c>
      <c r="H1317" s="76">
        <f>IF(AND(Main[[#This Row],[In Stock Date]]&lt;&gt;"",Main[[#This Row],[Revised Due Date]]&lt;&gt;""),Main[[#This Row],[In Stock Date]]-Main[[#This Row],[Revised Due Date]],"")</f>
        <v>1</v>
      </c>
      <c r="I1317" s="72" t="s">
        <v>757</v>
      </c>
      <c r="J1317" s="72" t="s">
        <v>28</v>
      </c>
      <c r="K1317" s="72" t="s">
        <v>1949</v>
      </c>
      <c r="L1317" s="74">
        <v>40668</v>
      </c>
      <c r="M1317" s="77" t="str">
        <f>IF(Main[[#This Row],[Tech Start Date]]&lt;1/1/1990,"",IF(Main[[#This Row],[Class]]="C",WORKDAY(Main[[#This Row],[Tech Start Date]],9),IF(Main[[#This Row],[Class]]="B", WORKDAY(Main[[#This Row],[Tech Start Date]],6),IF(Main[[#This Row],[Class]]="A",WORKDAY(Main[[#This Row],[Tech Start Date]],2),""))))</f>
        <v/>
      </c>
      <c r="N1317" s="77" t="str">
        <f>IF(Main[[#This Row],[Tech Start Date]]&lt;1/1/1990,"",IF(Main[[#This Row],[Class]]="C",WORKDAY(Main[[#This Row],[Tech Start Date]],19),IF(Main[[#This Row],[Class]]="B", WORKDAY(Main[[#This Row],[Tech Start Date]],12),IF(Main[[#This Row],[Class]]="A",WORKDAY(Main[[#This Row],[Tech Start Date]],4),""))))</f>
        <v/>
      </c>
      <c r="O1317" s="77" t="str">
        <f>IF(Main[[#This Row],[Tech Start Date]]&lt;1/1/1990,"",IF(Main[[#This Row],[Class]]="C",WORKDAY(Main[[#This Row],[Tech Start Date]],23),IF(Main[[#This Row],[Class]]="B", WORKDAY(Main[[#This Row],[Tech Start Date]],15),IF(Main[[#This Row],[Class]]="A",WORKDAY(Main[[#This Row],[Tech Start Date]],5),""))))</f>
        <v/>
      </c>
      <c r="P1317" s="77" t="str">
        <f>IF(Main[[#This Row],[Tech Start Date]]&lt;1/1/1990,"",IF(Main[[#This Row],[Class]]="C",WORKDAY(Main[[#This Row],[Tech Start Date]],28),IF(Main[[#This Row],[Class]]="B", WORKDAY(Main[[#This Row],[Tech Start Date]],19),IF(Main[[#This Row],[Class]]="A",WORKDAY(Main[[#This Row],[Tech Start Date]],9),""))))</f>
        <v/>
      </c>
      <c r="Q1317" s="74">
        <v>40739</v>
      </c>
      <c r="R1317" s="74">
        <v>40861</v>
      </c>
      <c r="S1317" s="72" t="s">
        <v>17</v>
      </c>
      <c r="T1317" s="80" t="s">
        <v>4</v>
      </c>
      <c r="U1317" s="72" t="s">
        <v>29</v>
      </c>
      <c r="V1317" s="72" t="s">
        <v>1940</v>
      </c>
      <c r="W1317" s="72" t="s">
        <v>1942</v>
      </c>
      <c r="X1317" s="72" t="s">
        <v>560</v>
      </c>
      <c r="Y1317" s="72" t="s">
        <v>3312</v>
      </c>
      <c r="Z1317" s="72" t="s">
        <v>984</v>
      </c>
    </row>
    <row r="1318" spans="1:26" ht="18.600000000000001" customHeight="1">
      <c r="A1318" s="142" t="str">
        <f>IF(priority(Main[[#This Row],[Comments]])&lt;&gt;0, priority(Main[[#This Row],[Comments]]),"")</f>
        <v/>
      </c>
      <c r="B1318" s="90" t="s">
        <v>1905</v>
      </c>
      <c r="C1318" s="72" t="s">
        <v>4</v>
      </c>
      <c r="D1318" s="73" t="s">
        <v>950</v>
      </c>
      <c r="E1318" s="74"/>
      <c r="F1318" s="74"/>
      <c r="G1318" s="75" t="str">
        <f>IF(stdProdLT(Main[[#This Row],[Comments]])=0.1,"N/A",IF(stdProdLT(Main[[#This Row],[Comments]])=0,"",stdProdLT(Main[[#This Row],[Comments]])))</f>
        <v/>
      </c>
      <c r="H1318" s="76" t="str">
        <f>IF(AND(Main[[#This Row],[In Stock Date]]&lt;&gt;"",Main[[#This Row],[Revised Due Date]]&lt;&gt;""),Main[[#This Row],[In Stock Date]]-Main[[#This Row],[Revised Due Date]],"")</f>
        <v/>
      </c>
      <c r="I1318" s="72" t="s">
        <v>30</v>
      </c>
      <c r="J1318" s="72" t="s">
        <v>28</v>
      </c>
      <c r="K1318" s="72" t="s">
        <v>1946</v>
      </c>
      <c r="L1318" s="74">
        <v>40686</v>
      </c>
      <c r="M1318" s="77">
        <f>IF(Main[[#This Row],[Tech Start Date]]&lt;1/1/1990,"",IF(Main[[#This Row],[Class]]="C",WORKDAY(Main[[#This Row],[Tech Start Date]],9),IF(Main[[#This Row],[Class]]="B", WORKDAY(Main[[#This Row],[Tech Start Date]],6),IF(Main[[#This Row],[Class]]="A",WORKDAY(Main[[#This Row],[Tech Start Date]],2),""))))</f>
        <v>40688</v>
      </c>
      <c r="N1318" s="77">
        <f>IF(Main[[#This Row],[Tech Start Date]]&lt;1/1/1990,"",IF(Main[[#This Row],[Class]]="C",WORKDAY(Main[[#This Row],[Tech Start Date]],19),IF(Main[[#This Row],[Class]]="B", WORKDAY(Main[[#This Row],[Tech Start Date]],12),IF(Main[[#This Row],[Class]]="A",WORKDAY(Main[[#This Row],[Tech Start Date]],4),""))))</f>
        <v>40690</v>
      </c>
      <c r="O1318" s="77">
        <f>IF(Main[[#This Row],[Tech Start Date]]&lt;1/1/1990,"",IF(Main[[#This Row],[Class]]="C",WORKDAY(Main[[#This Row],[Tech Start Date]],23),IF(Main[[#This Row],[Class]]="B", WORKDAY(Main[[#This Row],[Tech Start Date]],15),IF(Main[[#This Row],[Class]]="A",WORKDAY(Main[[#This Row],[Tech Start Date]],5),""))))</f>
        <v>40693</v>
      </c>
      <c r="P1318" s="77">
        <f>IF(Main[[#This Row],[Tech Start Date]]&lt;1/1/1990,"",IF(Main[[#This Row],[Class]]="C",WORKDAY(Main[[#This Row],[Tech Start Date]],28),IF(Main[[#This Row],[Class]]="B", WORKDAY(Main[[#This Row],[Tech Start Date]],19),IF(Main[[#This Row],[Class]]="A",WORKDAY(Main[[#This Row],[Tech Start Date]],9),""))))</f>
        <v>40697</v>
      </c>
      <c r="Q1318" s="74">
        <v>40669</v>
      </c>
      <c r="R1318" s="74">
        <v>40700</v>
      </c>
      <c r="S1318" s="72" t="s">
        <v>6</v>
      </c>
      <c r="T1318" s="80" t="s">
        <v>4</v>
      </c>
      <c r="U1318" s="72" t="s">
        <v>14</v>
      </c>
      <c r="V1318" s="72" t="s">
        <v>1940</v>
      </c>
      <c r="W1318" s="72" t="s">
        <v>1939</v>
      </c>
      <c r="X1318" s="72" t="s">
        <v>2971</v>
      </c>
      <c r="Y1318" s="72" t="s">
        <v>3090</v>
      </c>
      <c r="Z1318" s="72" t="s">
        <v>536</v>
      </c>
    </row>
    <row r="1319" spans="1:26" ht="18.600000000000001" customHeight="1">
      <c r="A1319" s="142" t="str">
        <f>IF(priority(Main[[#This Row],[Comments]])&lt;&gt;0, priority(Main[[#This Row],[Comments]]),"")</f>
        <v/>
      </c>
      <c r="B1319" s="90" t="s">
        <v>1229</v>
      </c>
      <c r="C1319" s="72" t="s">
        <v>4</v>
      </c>
      <c r="D1319" s="73" t="s">
        <v>276</v>
      </c>
      <c r="E1319" s="74">
        <v>40683.573206018518</v>
      </c>
      <c r="F1319" s="74"/>
      <c r="G1319" s="75" t="str">
        <f>IF(stdProdLT(Main[[#This Row],[Comments]])=0.1,"N/A",IF(stdProdLT(Main[[#This Row],[Comments]])=0,"",stdProdLT(Main[[#This Row],[Comments]])))</f>
        <v/>
      </c>
      <c r="H1319" s="76" t="str">
        <f>IF(AND(Main[[#This Row],[In Stock Date]]&lt;&gt;"",Main[[#This Row],[Revised Due Date]]&lt;&gt;""),Main[[#This Row],[In Stock Date]]-Main[[#This Row],[Revised Due Date]],"")</f>
        <v/>
      </c>
      <c r="I1319" s="72" t="s">
        <v>277</v>
      </c>
      <c r="J1319" s="72" t="s">
        <v>28</v>
      </c>
      <c r="K1319" s="72" t="s">
        <v>1949</v>
      </c>
      <c r="L1319" s="74">
        <v>40687</v>
      </c>
      <c r="M1319" s="77" t="str">
        <f>IF(Main[[#This Row],[Tech Start Date]]&lt;1/1/1990,"",IF(Main[[#This Row],[Class]]="C",WORKDAY(Main[[#This Row],[Tech Start Date]],9),IF(Main[[#This Row],[Class]]="B", WORKDAY(Main[[#This Row],[Tech Start Date]],6),IF(Main[[#This Row],[Class]]="A",WORKDAY(Main[[#This Row],[Tech Start Date]],2),""))))</f>
        <v/>
      </c>
      <c r="N1319" s="77" t="str">
        <f>IF(Main[[#This Row],[Tech Start Date]]&lt;1/1/1990,"",IF(Main[[#This Row],[Class]]="C",WORKDAY(Main[[#This Row],[Tech Start Date]],19),IF(Main[[#This Row],[Class]]="B", WORKDAY(Main[[#This Row],[Tech Start Date]],12),IF(Main[[#This Row],[Class]]="A",WORKDAY(Main[[#This Row],[Tech Start Date]],4),""))))</f>
        <v/>
      </c>
      <c r="O1319" s="77" t="str">
        <f>IF(Main[[#This Row],[Tech Start Date]]&lt;1/1/1990,"",IF(Main[[#This Row],[Class]]="C",WORKDAY(Main[[#This Row],[Tech Start Date]],23),IF(Main[[#This Row],[Class]]="B", WORKDAY(Main[[#This Row],[Tech Start Date]],15),IF(Main[[#This Row],[Class]]="A",WORKDAY(Main[[#This Row],[Tech Start Date]],5),""))))</f>
        <v/>
      </c>
      <c r="P1319" s="77" t="str">
        <f>IF(Main[[#This Row],[Tech Start Date]]&lt;1/1/1990,"",IF(Main[[#This Row],[Class]]="C",WORKDAY(Main[[#This Row],[Tech Start Date]],28),IF(Main[[#This Row],[Class]]="B", WORKDAY(Main[[#This Row],[Tech Start Date]],19),IF(Main[[#This Row],[Class]]="A",WORKDAY(Main[[#This Row],[Tech Start Date]],9),""))))</f>
        <v/>
      </c>
      <c r="Q1319" s="74">
        <v>41274</v>
      </c>
      <c r="R1319" s="74">
        <v>41241</v>
      </c>
      <c r="S1319" s="72" t="s">
        <v>17</v>
      </c>
      <c r="T1319" s="80" t="s">
        <v>4</v>
      </c>
      <c r="U1319" s="72" t="s">
        <v>29</v>
      </c>
      <c r="V1319" s="72" t="s">
        <v>1940</v>
      </c>
      <c r="W1319" s="72" t="s">
        <v>1942</v>
      </c>
      <c r="X1319" s="72" t="s">
        <v>560</v>
      </c>
      <c r="Y1319" s="72" t="s">
        <v>3110</v>
      </c>
      <c r="Z1319" s="72" t="s">
        <v>984</v>
      </c>
    </row>
    <row r="1320" spans="1:26" ht="18.600000000000001" customHeight="1">
      <c r="A1320" s="142" t="str">
        <f>IF(priority(Main[[#This Row],[Comments]])&lt;&gt;0, priority(Main[[#This Row],[Comments]]),"")</f>
        <v/>
      </c>
      <c r="B1320" s="90" t="s">
        <v>1929</v>
      </c>
      <c r="C1320" s="72" t="s">
        <v>122</v>
      </c>
      <c r="D1320" s="73" t="s">
        <v>1979</v>
      </c>
      <c r="E1320" s="74">
        <v>40703.615451388891</v>
      </c>
      <c r="F1320" s="74">
        <v>40907</v>
      </c>
      <c r="G1320" s="75" t="str">
        <f>IF(stdProdLT(Main[[#This Row],[Comments]])=0.1,"N/A",IF(stdProdLT(Main[[#This Row],[Comments]])=0,"",stdProdLT(Main[[#This Row],[Comments]])))</f>
        <v/>
      </c>
      <c r="H1320" s="76">
        <f>IF(AND(Main[[#This Row],[In Stock Date]]&lt;&gt;"",Main[[#This Row],[Revised Due Date]]&lt;&gt;""),Main[[#This Row],[In Stock Date]]-Main[[#This Row],[Revised Due Date]],"")</f>
        <v>0</v>
      </c>
      <c r="I1320" s="72" t="s">
        <v>972</v>
      </c>
      <c r="J1320" s="72" t="s">
        <v>28</v>
      </c>
      <c r="K1320" s="72" t="s">
        <v>1949</v>
      </c>
      <c r="L1320" s="74">
        <v>40703</v>
      </c>
      <c r="M1320" s="77" t="str">
        <f>IF(Main[[#This Row],[Tech Start Date]]&lt;1/1/1990,"",IF(Main[[#This Row],[Class]]="C",WORKDAY(Main[[#This Row],[Tech Start Date]],9),IF(Main[[#This Row],[Class]]="B", WORKDAY(Main[[#This Row],[Tech Start Date]],6),IF(Main[[#This Row],[Class]]="A",WORKDAY(Main[[#This Row],[Tech Start Date]],2),""))))</f>
        <v/>
      </c>
      <c r="N1320" s="77" t="str">
        <f>IF(Main[[#This Row],[Tech Start Date]]&lt;1/1/1990,"",IF(Main[[#This Row],[Class]]="C",WORKDAY(Main[[#This Row],[Tech Start Date]],19),IF(Main[[#This Row],[Class]]="B", WORKDAY(Main[[#This Row],[Tech Start Date]],12),IF(Main[[#This Row],[Class]]="A",WORKDAY(Main[[#This Row],[Tech Start Date]],4),""))))</f>
        <v/>
      </c>
      <c r="O1320" s="77" t="str">
        <f>IF(Main[[#This Row],[Tech Start Date]]&lt;1/1/1990,"",IF(Main[[#This Row],[Class]]="C",WORKDAY(Main[[#This Row],[Tech Start Date]],23),IF(Main[[#This Row],[Class]]="B", WORKDAY(Main[[#This Row],[Tech Start Date]],15),IF(Main[[#This Row],[Class]]="A",WORKDAY(Main[[#This Row],[Tech Start Date]],5),""))))</f>
        <v/>
      </c>
      <c r="P1320" s="77" t="str">
        <f>IF(Main[[#This Row],[Tech Start Date]]&lt;1/1/1990,"",IF(Main[[#This Row],[Class]]="C",WORKDAY(Main[[#This Row],[Tech Start Date]],28),IF(Main[[#This Row],[Class]]="B", WORKDAY(Main[[#This Row],[Tech Start Date]],19),IF(Main[[#This Row],[Class]]="A",WORKDAY(Main[[#This Row],[Tech Start Date]],9),""))))</f>
        <v/>
      </c>
      <c r="Q1320" s="74">
        <v>40864</v>
      </c>
      <c r="R1320" s="74">
        <v>40907</v>
      </c>
      <c r="S1320" s="72" t="s">
        <v>17</v>
      </c>
      <c r="T1320" s="80" t="s">
        <v>1980</v>
      </c>
      <c r="U1320" s="72" t="s">
        <v>29</v>
      </c>
      <c r="V1320" s="72" t="s">
        <v>1938</v>
      </c>
      <c r="W1320" s="72" t="s">
        <v>1948</v>
      </c>
      <c r="X1320" s="72" t="s">
        <v>972</v>
      </c>
      <c r="Y1320" s="72" t="s">
        <v>4</v>
      </c>
      <c r="Z1320" s="72" t="s">
        <v>4</v>
      </c>
    </row>
    <row r="1321" spans="1:26" ht="18.600000000000001" customHeight="1">
      <c r="A1321" s="142" t="str">
        <f>IF(priority(Main[[#This Row],[Comments]])&lt;&gt;0, priority(Main[[#This Row],[Comments]]),"")</f>
        <v/>
      </c>
      <c r="B1321" s="90" t="s">
        <v>1707</v>
      </c>
      <c r="C1321" s="72" t="s">
        <v>753</v>
      </c>
      <c r="D1321" s="73" t="s">
        <v>1997</v>
      </c>
      <c r="E1321" s="74">
        <v>40681.50267361111</v>
      </c>
      <c r="F1321" s="74"/>
      <c r="G1321" s="75" t="str">
        <f>IF(stdProdLT(Main[[#This Row],[Comments]])=0.1,"N/A",IF(stdProdLT(Main[[#This Row],[Comments]])=0,"",stdProdLT(Main[[#This Row],[Comments]])))</f>
        <v/>
      </c>
      <c r="H1321" s="76" t="str">
        <f>IF(AND(Main[[#This Row],[In Stock Date]]&lt;&gt;"",Main[[#This Row],[Revised Due Date]]&lt;&gt;""),Main[[#This Row],[In Stock Date]]-Main[[#This Row],[Revised Due Date]],"")</f>
        <v/>
      </c>
      <c r="I1321" s="72" t="s">
        <v>757</v>
      </c>
      <c r="J1321" s="72" t="s">
        <v>28</v>
      </c>
      <c r="K1321" s="72" t="s">
        <v>1949</v>
      </c>
      <c r="L1321" s="74">
        <v>40742</v>
      </c>
      <c r="M1321" s="77" t="str">
        <f>IF(Main[[#This Row],[Tech Start Date]]&lt;1/1/1990,"",IF(Main[[#This Row],[Class]]="C",WORKDAY(Main[[#This Row],[Tech Start Date]],9),IF(Main[[#This Row],[Class]]="B", WORKDAY(Main[[#This Row],[Tech Start Date]],6),IF(Main[[#This Row],[Class]]="A",WORKDAY(Main[[#This Row],[Tech Start Date]],2),""))))</f>
        <v/>
      </c>
      <c r="N1321" s="77" t="str">
        <f>IF(Main[[#This Row],[Tech Start Date]]&lt;1/1/1990,"",IF(Main[[#This Row],[Class]]="C",WORKDAY(Main[[#This Row],[Tech Start Date]],19),IF(Main[[#This Row],[Class]]="B", WORKDAY(Main[[#This Row],[Tech Start Date]],12),IF(Main[[#This Row],[Class]]="A",WORKDAY(Main[[#This Row],[Tech Start Date]],4),""))))</f>
        <v/>
      </c>
      <c r="O1321" s="77" t="str">
        <f>IF(Main[[#This Row],[Tech Start Date]]&lt;1/1/1990,"",IF(Main[[#This Row],[Class]]="C",WORKDAY(Main[[#This Row],[Tech Start Date]],23),IF(Main[[#This Row],[Class]]="B", WORKDAY(Main[[#This Row],[Tech Start Date]],15),IF(Main[[#This Row],[Class]]="A",WORKDAY(Main[[#This Row],[Tech Start Date]],5),""))))</f>
        <v/>
      </c>
      <c r="P1321" s="77" t="str">
        <f>IF(Main[[#This Row],[Tech Start Date]]&lt;1/1/1990,"",IF(Main[[#This Row],[Class]]="C",WORKDAY(Main[[#This Row],[Tech Start Date]],28),IF(Main[[#This Row],[Class]]="B", WORKDAY(Main[[#This Row],[Tech Start Date]],19),IF(Main[[#This Row],[Class]]="A",WORKDAY(Main[[#This Row],[Tech Start Date]],9),""))))</f>
        <v/>
      </c>
      <c r="Q1321" s="74">
        <v>40939</v>
      </c>
      <c r="R1321" s="74">
        <v>40879</v>
      </c>
      <c r="S1321" s="72" t="s">
        <v>17</v>
      </c>
      <c r="T1321" s="80" t="s">
        <v>4</v>
      </c>
      <c r="U1321" s="72" t="s">
        <v>29</v>
      </c>
      <c r="V1321" s="72" t="s">
        <v>1940</v>
      </c>
      <c r="W1321" s="72" t="s">
        <v>1942</v>
      </c>
      <c r="X1321" s="72" t="s">
        <v>560</v>
      </c>
      <c r="Y1321" s="72" t="s">
        <v>3110</v>
      </c>
      <c r="Z1321" s="72" t="s">
        <v>660</v>
      </c>
    </row>
    <row r="1322" spans="1:26" ht="18.600000000000001" customHeight="1">
      <c r="A1322" s="142" t="str">
        <f>IF(priority(Main[[#This Row],[Comments]])&lt;&gt;0, priority(Main[[#This Row],[Comments]]),"")</f>
        <v/>
      </c>
      <c r="B1322" s="90" t="s">
        <v>2033</v>
      </c>
      <c r="C1322" s="72" t="s">
        <v>2034</v>
      </c>
      <c r="D1322" s="73" t="s">
        <v>2049</v>
      </c>
      <c r="E1322" s="74">
        <v>40737.577511574076</v>
      </c>
      <c r="F1322" s="74"/>
      <c r="G1322" s="75" t="str">
        <f>IF(stdProdLT(Main[[#This Row],[Comments]])=0.1,"N/A",IF(stdProdLT(Main[[#This Row],[Comments]])=0,"",stdProdLT(Main[[#This Row],[Comments]])))</f>
        <v/>
      </c>
      <c r="H1322" s="76" t="str">
        <f>IF(AND(Main[[#This Row],[In Stock Date]]&lt;&gt;"",Main[[#This Row],[Revised Due Date]]&lt;&gt;""),Main[[#This Row],[In Stock Date]]-Main[[#This Row],[Revised Due Date]],"")</f>
        <v/>
      </c>
      <c r="I1322" s="72" t="s">
        <v>4</v>
      </c>
      <c r="J1322" s="72" t="s">
        <v>28</v>
      </c>
      <c r="K1322" s="72" t="s">
        <v>1949</v>
      </c>
      <c r="L1322" s="74">
        <v>40742</v>
      </c>
      <c r="M1322" s="77" t="str">
        <f>IF(Main[[#This Row],[Tech Start Date]]&lt;1/1/1990,"",IF(Main[[#This Row],[Class]]="C",WORKDAY(Main[[#This Row],[Tech Start Date]],9),IF(Main[[#This Row],[Class]]="B", WORKDAY(Main[[#This Row],[Tech Start Date]],6),IF(Main[[#This Row],[Class]]="A",WORKDAY(Main[[#This Row],[Tech Start Date]],2),""))))</f>
        <v/>
      </c>
      <c r="N1322" s="77" t="str">
        <f>IF(Main[[#This Row],[Tech Start Date]]&lt;1/1/1990,"",IF(Main[[#This Row],[Class]]="C",WORKDAY(Main[[#This Row],[Tech Start Date]],19),IF(Main[[#This Row],[Class]]="B", WORKDAY(Main[[#This Row],[Tech Start Date]],12),IF(Main[[#This Row],[Class]]="A",WORKDAY(Main[[#This Row],[Tech Start Date]],4),""))))</f>
        <v/>
      </c>
      <c r="O1322" s="77" t="str">
        <f>IF(Main[[#This Row],[Tech Start Date]]&lt;1/1/1990,"",IF(Main[[#This Row],[Class]]="C",WORKDAY(Main[[#This Row],[Tech Start Date]],23),IF(Main[[#This Row],[Class]]="B", WORKDAY(Main[[#This Row],[Tech Start Date]],15),IF(Main[[#This Row],[Class]]="A",WORKDAY(Main[[#This Row],[Tech Start Date]],5),""))))</f>
        <v/>
      </c>
      <c r="P1322" s="77" t="str">
        <f>IF(Main[[#This Row],[Tech Start Date]]&lt;1/1/1990,"",IF(Main[[#This Row],[Class]]="C",WORKDAY(Main[[#This Row],[Tech Start Date]],28),IF(Main[[#This Row],[Class]]="B", WORKDAY(Main[[#This Row],[Tech Start Date]],19),IF(Main[[#This Row],[Class]]="A",WORKDAY(Main[[#This Row],[Tech Start Date]],9),""))))</f>
        <v/>
      </c>
      <c r="Q1322" s="74"/>
      <c r="R1322" s="74"/>
      <c r="S1322" s="72" t="s">
        <v>17</v>
      </c>
      <c r="T1322" s="80" t="s">
        <v>4</v>
      </c>
      <c r="U1322" s="72" t="s">
        <v>29</v>
      </c>
      <c r="V1322" s="72" t="s">
        <v>1937</v>
      </c>
      <c r="W1322" s="72" t="s">
        <v>1945</v>
      </c>
      <c r="X1322" s="72" t="s">
        <v>129</v>
      </c>
      <c r="Y1322" s="72" t="s">
        <v>3117</v>
      </c>
      <c r="Z1322" s="72" t="s">
        <v>129</v>
      </c>
    </row>
    <row r="1323" spans="1:26" ht="18.600000000000001" customHeight="1">
      <c r="A1323" s="142" t="str">
        <f>IF(priority(Main[[#This Row],[Comments]])&lt;&gt;0, priority(Main[[#This Row],[Comments]]),"")</f>
        <v/>
      </c>
      <c r="B1323" s="90" t="s">
        <v>2066</v>
      </c>
      <c r="C1323" s="72" t="s">
        <v>116</v>
      </c>
      <c r="D1323" s="73" t="s">
        <v>2281</v>
      </c>
      <c r="E1323" s="74">
        <v>40751.429224537038</v>
      </c>
      <c r="F1323" s="74"/>
      <c r="G1323" s="75" t="str">
        <f>IF(stdProdLT(Main[[#This Row],[Comments]])=0.1,"N/A",IF(stdProdLT(Main[[#This Row],[Comments]])=0,"",stdProdLT(Main[[#This Row],[Comments]])))</f>
        <v/>
      </c>
      <c r="H1323" s="76" t="str">
        <f>IF(AND(Main[[#This Row],[In Stock Date]]&lt;&gt;"",Main[[#This Row],[Revised Due Date]]&lt;&gt;""),Main[[#This Row],[In Stock Date]]-Main[[#This Row],[Revised Due Date]],"")</f>
        <v/>
      </c>
      <c r="I1323" s="72" t="s">
        <v>2070</v>
      </c>
      <c r="J1323" s="72" t="s">
        <v>28</v>
      </c>
      <c r="K1323" s="72" t="s">
        <v>1949</v>
      </c>
      <c r="L1323" s="74">
        <v>40742</v>
      </c>
      <c r="M1323" s="77" t="str">
        <f>IF(Main[[#This Row],[Tech Start Date]]&lt;1/1/1990,"",IF(Main[[#This Row],[Class]]="C",WORKDAY(Main[[#This Row],[Tech Start Date]],9),IF(Main[[#This Row],[Class]]="B", WORKDAY(Main[[#This Row],[Tech Start Date]],6),IF(Main[[#This Row],[Class]]="A",WORKDAY(Main[[#This Row],[Tech Start Date]],2),""))))</f>
        <v/>
      </c>
      <c r="N1323" s="77" t="str">
        <f>IF(Main[[#This Row],[Tech Start Date]]&lt;1/1/1990,"",IF(Main[[#This Row],[Class]]="C",WORKDAY(Main[[#This Row],[Tech Start Date]],19),IF(Main[[#This Row],[Class]]="B", WORKDAY(Main[[#This Row],[Tech Start Date]],12),IF(Main[[#This Row],[Class]]="A",WORKDAY(Main[[#This Row],[Tech Start Date]],4),""))))</f>
        <v/>
      </c>
      <c r="O1323" s="77" t="str">
        <f>IF(Main[[#This Row],[Tech Start Date]]&lt;1/1/1990,"",IF(Main[[#This Row],[Class]]="C",WORKDAY(Main[[#This Row],[Tech Start Date]],23),IF(Main[[#This Row],[Class]]="B", WORKDAY(Main[[#This Row],[Tech Start Date]],15),IF(Main[[#This Row],[Class]]="A",WORKDAY(Main[[#This Row],[Tech Start Date]],5),""))))</f>
        <v/>
      </c>
      <c r="P1323" s="77" t="str">
        <f>IF(Main[[#This Row],[Tech Start Date]]&lt;1/1/1990,"",IF(Main[[#This Row],[Class]]="C",WORKDAY(Main[[#This Row],[Tech Start Date]],28),IF(Main[[#This Row],[Class]]="B", WORKDAY(Main[[#This Row],[Tech Start Date]],19),IF(Main[[#This Row],[Class]]="A",WORKDAY(Main[[#This Row],[Tech Start Date]],9),""))))</f>
        <v/>
      </c>
      <c r="Q1323" s="74"/>
      <c r="R1323" s="74">
        <v>40868</v>
      </c>
      <c r="S1323" s="72" t="s">
        <v>17</v>
      </c>
      <c r="T1323" s="80" t="s">
        <v>4</v>
      </c>
      <c r="U1323" s="72" t="s">
        <v>29</v>
      </c>
      <c r="V1323" s="72" t="s">
        <v>1940</v>
      </c>
      <c r="W1323" s="72" t="s">
        <v>1942</v>
      </c>
      <c r="X1323" s="72" t="s">
        <v>660</v>
      </c>
      <c r="Y1323" s="72" t="s">
        <v>3287</v>
      </c>
      <c r="Z1323" s="72" t="s">
        <v>660</v>
      </c>
    </row>
    <row r="1324" spans="1:26" ht="18.600000000000001" customHeight="1">
      <c r="A1324" s="142" t="str">
        <f>IF(priority(Main[[#This Row],[Comments]])&lt;&gt;0, priority(Main[[#This Row],[Comments]]),"")</f>
        <v/>
      </c>
      <c r="B1324" s="90" t="s">
        <v>1044</v>
      </c>
      <c r="C1324" s="72" t="s">
        <v>46</v>
      </c>
      <c r="D1324" s="73" t="s">
        <v>2168</v>
      </c>
      <c r="E1324" s="74">
        <v>40549.665949074071</v>
      </c>
      <c r="F1324" s="74">
        <v>40603</v>
      </c>
      <c r="G1324" s="75" t="str">
        <f>IF(stdProdLT(Main[[#This Row],[Comments]])=0.1,"N/A",IF(stdProdLT(Main[[#This Row],[Comments]])=0,"",stdProdLT(Main[[#This Row],[Comments]])))</f>
        <v/>
      </c>
      <c r="H1324" s="76" t="str">
        <f>IF(AND(Main[[#This Row],[In Stock Date]]&lt;&gt;"",Main[[#This Row],[Revised Due Date]]&lt;&gt;""),Main[[#This Row],[In Stock Date]]-Main[[#This Row],[Revised Due Date]],"")</f>
        <v/>
      </c>
      <c r="I1324" s="72" t="s">
        <v>173</v>
      </c>
      <c r="J1324" s="72" t="s">
        <v>70</v>
      </c>
      <c r="K1324" s="72" t="s">
        <v>1949</v>
      </c>
      <c r="L1324" s="74">
        <v>40751</v>
      </c>
      <c r="M1324" s="77" t="str">
        <f>IF(Main[[#This Row],[Tech Start Date]]&lt;1/1/1990,"",IF(Main[[#This Row],[Class]]="C",WORKDAY(Main[[#This Row],[Tech Start Date]],9),IF(Main[[#This Row],[Class]]="B", WORKDAY(Main[[#This Row],[Tech Start Date]],6),IF(Main[[#This Row],[Class]]="A",WORKDAY(Main[[#This Row],[Tech Start Date]],2),""))))</f>
        <v/>
      </c>
      <c r="N1324" s="77" t="str">
        <f>IF(Main[[#This Row],[Tech Start Date]]&lt;1/1/1990,"",IF(Main[[#This Row],[Class]]="C",WORKDAY(Main[[#This Row],[Tech Start Date]],19),IF(Main[[#This Row],[Class]]="B", WORKDAY(Main[[#This Row],[Tech Start Date]],12),IF(Main[[#This Row],[Class]]="A",WORKDAY(Main[[#This Row],[Tech Start Date]],4),""))))</f>
        <v/>
      </c>
      <c r="O1324" s="77" t="str">
        <f>IF(Main[[#This Row],[Tech Start Date]]&lt;1/1/1990,"",IF(Main[[#This Row],[Class]]="C",WORKDAY(Main[[#This Row],[Tech Start Date]],23),IF(Main[[#This Row],[Class]]="B", WORKDAY(Main[[#This Row],[Tech Start Date]],15),IF(Main[[#This Row],[Class]]="A",WORKDAY(Main[[#This Row],[Tech Start Date]],5),""))))</f>
        <v/>
      </c>
      <c r="P1324" s="77" t="str">
        <f>IF(Main[[#This Row],[Tech Start Date]]&lt;1/1/1990,"",IF(Main[[#This Row],[Class]]="C",WORKDAY(Main[[#This Row],[Tech Start Date]],28),IF(Main[[#This Row],[Class]]="B", WORKDAY(Main[[#This Row],[Tech Start Date]],19),IF(Main[[#This Row],[Class]]="A",WORKDAY(Main[[#This Row],[Tech Start Date]],9),""))))</f>
        <v/>
      </c>
      <c r="Q1324" s="74">
        <v>40603</v>
      </c>
      <c r="R1324" s="74"/>
      <c r="S1324" s="72" t="s">
        <v>17</v>
      </c>
      <c r="T1324" s="80" t="s">
        <v>4</v>
      </c>
      <c r="U1324" s="72" t="s">
        <v>29</v>
      </c>
      <c r="V1324" s="72" t="s">
        <v>1940</v>
      </c>
      <c r="W1324" s="72" t="s">
        <v>1942</v>
      </c>
      <c r="X1324" s="72" t="s">
        <v>560</v>
      </c>
      <c r="Y1324" s="72" t="s">
        <v>3110</v>
      </c>
      <c r="Z1324" s="72" t="s">
        <v>984</v>
      </c>
    </row>
    <row r="1325" spans="1:26" ht="18.600000000000001" customHeight="1">
      <c r="A1325" s="142" t="str">
        <f>IF(priority(Main[[#This Row],[Comments]])&lt;&gt;0, priority(Main[[#This Row],[Comments]]),"")</f>
        <v/>
      </c>
      <c r="B1325" s="90" t="s">
        <v>2073</v>
      </c>
      <c r="C1325" s="72" t="s">
        <v>4</v>
      </c>
      <c r="D1325" s="73" t="s">
        <v>2081</v>
      </c>
      <c r="E1325" s="74"/>
      <c r="F1325" s="74"/>
      <c r="G1325" s="75" t="str">
        <f>IF(stdProdLT(Main[[#This Row],[Comments]])=0.1,"N/A",IF(stdProdLT(Main[[#This Row],[Comments]])=0,"",stdProdLT(Main[[#This Row],[Comments]])))</f>
        <v/>
      </c>
      <c r="H1325" s="76" t="str">
        <f>IF(AND(Main[[#This Row],[In Stock Date]]&lt;&gt;"",Main[[#This Row],[Revised Due Date]]&lt;&gt;""),Main[[#This Row],[In Stock Date]]-Main[[#This Row],[Revised Due Date]],"")</f>
        <v/>
      </c>
      <c r="I1325" s="72" t="s">
        <v>903</v>
      </c>
      <c r="J1325" s="72" t="s">
        <v>28</v>
      </c>
      <c r="K1325" s="72" t="s">
        <v>1946</v>
      </c>
      <c r="L1325" s="74">
        <v>40752</v>
      </c>
      <c r="M1325" s="77">
        <f>IF(Main[[#This Row],[Tech Start Date]]&lt;1/1/1990,"",IF(Main[[#This Row],[Class]]="C",WORKDAY(Main[[#This Row],[Tech Start Date]],9),IF(Main[[#This Row],[Class]]="B", WORKDAY(Main[[#This Row],[Tech Start Date]],6),IF(Main[[#This Row],[Class]]="A",WORKDAY(Main[[#This Row],[Tech Start Date]],2),""))))</f>
        <v>40756</v>
      </c>
      <c r="N1325" s="77">
        <f>IF(Main[[#This Row],[Tech Start Date]]&lt;1/1/1990,"",IF(Main[[#This Row],[Class]]="C",WORKDAY(Main[[#This Row],[Tech Start Date]],19),IF(Main[[#This Row],[Class]]="B", WORKDAY(Main[[#This Row],[Tech Start Date]],12),IF(Main[[#This Row],[Class]]="A",WORKDAY(Main[[#This Row],[Tech Start Date]],4),""))))</f>
        <v>40758</v>
      </c>
      <c r="O1325" s="77">
        <f>IF(Main[[#This Row],[Tech Start Date]]&lt;1/1/1990,"",IF(Main[[#This Row],[Class]]="C",WORKDAY(Main[[#This Row],[Tech Start Date]],23),IF(Main[[#This Row],[Class]]="B", WORKDAY(Main[[#This Row],[Tech Start Date]],15),IF(Main[[#This Row],[Class]]="A",WORKDAY(Main[[#This Row],[Tech Start Date]],5),""))))</f>
        <v>40759</v>
      </c>
      <c r="P1325" s="77">
        <f>IF(Main[[#This Row],[Tech Start Date]]&lt;1/1/1990,"",IF(Main[[#This Row],[Class]]="C",WORKDAY(Main[[#This Row],[Tech Start Date]],28),IF(Main[[#This Row],[Class]]="B", WORKDAY(Main[[#This Row],[Tech Start Date]],19),IF(Main[[#This Row],[Class]]="A",WORKDAY(Main[[#This Row],[Tech Start Date]],9),""))))</f>
        <v>40765</v>
      </c>
      <c r="Q1325" s="74">
        <v>40758</v>
      </c>
      <c r="R1325" s="74">
        <v>40786</v>
      </c>
      <c r="S1325" s="72" t="s">
        <v>6</v>
      </c>
      <c r="T1325" s="80" t="s">
        <v>4</v>
      </c>
      <c r="U1325" s="72" t="s">
        <v>14</v>
      </c>
      <c r="V1325" s="72" t="s">
        <v>1937</v>
      </c>
      <c r="W1325" s="72" t="s">
        <v>1941</v>
      </c>
      <c r="X1325" s="72" t="s">
        <v>891</v>
      </c>
      <c r="Y1325" s="72" t="s">
        <v>3167</v>
      </c>
      <c r="Z1325" s="72" t="s">
        <v>891</v>
      </c>
    </row>
    <row r="1326" spans="1:26" ht="18.600000000000001" customHeight="1">
      <c r="A1326" s="142" t="str">
        <f>IF(priority(Main[[#This Row],[Comments]])&lt;&gt;0, priority(Main[[#This Row],[Comments]]),"")</f>
        <v/>
      </c>
      <c r="B1326" s="90" t="s">
        <v>1920</v>
      </c>
      <c r="C1326" s="72" t="s">
        <v>72</v>
      </c>
      <c r="D1326" s="73" t="s">
        <v>2169</v>
      </c>
      <c r="E1326" s="74">
        <v>40470.014479166668</v>
      </c>
      <c r="F1326" s="74">
        <v>40487</v>
      </c>
      <c r="G1326" s="75">
        <f>IF(stdProdLT(Main[[#This Row],[Comments]])=0.1,"N/A",IF(stdProdLT(Main[[#This Row],[Comments]])=0,"",stdProdLT(Main[[#This Row],[Comments]])))</f>
        <v>42</v>
      </c>
      <c r="H1326" s="76">
        <f>IF(AND(Main[[#This Row],[In Stock Date]]&lt;&gt;"",Main[[#This Row],[Revised Due Date]]&lt;&gt;""),Main[[#This Row],[In Stock Date]]-Main[[#This Row],[Revised Due Date]],"")</f>
        <v>-294</v>
      </c>
      <c r="I1326" s="72" t="s">
        <v>2080</v>
      </c>
      <c r="J1326" s="72" t="s">
        <v>52</v>
      </c>
      <c r="K1326" s="72" t="s">
        <v>1944</v>
      </c>
      <c r="L1326" s="74">
        <v>40756</v>
      </c>
      <c r="M1326" s="77">
        <f>IF(Main[[#This Row],[Tech Start Date]]&lt;1/1/1990,"",IF(Main[[#This Row],[Class]]="C",WORKDAY(Main[[#This Row],[Tech Start Date]],9),IF(Main[[#This Row],[Class]]="B", WORKDAY(Main[[#This Row],[Tech Start Date]],6),IF(Main[[#This Row],[Class]]="A",WORKDAY(Main[[#This Row],[Tech Start Date]],2),""))))</f>
        <v>40764</v>
      </c>
      <c r="N1326" s="77">
        <f>IF(Main[[#This Row],[Tech Start Date]]&lt;1/1/1990,"",IF(Main[[#This Row],[Class]]="C",WORKDAY(Main[[#This Row],[Tech Start Date]],19),IF(Main[[#This Row],[Class]]="B", WORKDAY(Main[[#This Row],[Tech Start Date]],12),IF(Main[[#This Row],[Class]]="A",WORKDAY(Main[[#This Row],[Tech Start Date]],4),""))))</f>
        <v>40772</v>
      </c>
      <c r="O1326" s="77">
        <f>IF(Main[[#This Row],[Tech Start Date]]&lt;1/1/1990,"",IF(Main[[#This Row],[Class]]="C",WORKDAY(Main[[#This Row],[Tech Start Date]],23),IF(Main[[#This Row],[Class]]="B", WORKDAY(Main[[#This Row],[Tech Start Date]],15),IF(Main[[#This Row],[Class]]="A",WORKDAY(Main[[#This Row],[Tech Start Date]],5),""))))</f>
        <v>40777</v>
      </c>
      <c r="P1326" s="77">
        <f>IF(Main[[#This Row],[Tech Start Date]]&lt;1/1/1990,"",IF(Main[[#This Row],[Class]]="C",WORKDAY(Main[[#This Row],[Tech Start Date]],28),IF(Main[[#This Row],[Class]]="B", WORKDAY(Main[[#This Row],[Tech Start Date]],19),IF(Main[[#This Row],[Class]]="A",WORKDAY(Main[[#This Row],[Tech Start Date]],9),""))))</f>
        <v>40781</v>
      </c>
      <c r="Q1326" s="74"/>
      <c r="R1326" s="74">
        <v>40781</v>
      </c>
      <c r="S1326" s="72" t="s">
        <v>6</v>
      </c>
      <c r="T1326" s="80" t="s">
        <v>2170</v>
      </c>
      <c r="U1326" s="72" t="s">
        <v>29</v>
      </c>
      <c r="V1326" s="72" t="s">
        <v>1938</v>
      </c>
      <c r="W1326" s="72" t="s">
        <v>1939</v>
      </c>
      <c r="X1326" s="72" t="s">
        <v>3053</v>
      </c>
      <c r="Y1326" s="72" t="s">
        <v>3237</v>
      </c>
      <c r="Z1326" s="72" t="s">
        <v>2080</v>
      </c>
    </row>
    <row r="1327" spans="1:26" ht="18.600000000000001" customHeight="1">
      <c r="A1327" s="142" t="str">
        <f>IF(priority(Main[[#This Row],[Comments]])&lt;&gt;0, priority(Main[[#This Row],[Comments]]),"")</f>
        <v/>
      </c>
      <c r="B1327" s="90" t="s">
        <v>1318</v>
      </c>
      <c r="C1327" s="72" t="s">
        <v>379</v>
      </c>
      <c r="D1327" s="73" t="s">
        <v>2296</v>
      </c>
      <c r="E1327" s="74">
        <v>40711.60083333333</v>
      </c>
      <c r="F1327" s="74">
        <v>40877</v>
      </c>
      <c r="G1327" s="75" t="str">
        <f>IF(stdProdLT(Main[[#This Row],[Comments]])=0.1,"N/A",IF(stdProdLT(Main[[#This Row],[Comments]])=0,"",stdProdLT(Main[[#This Row],[Comments]])))</f>
        <v/>
      </c>
      <c r="H1327" s="76">
        <f>IF(AND(Main[[#This Row],[In Stock Date]]&lt;&gt;"",Main[[#This Row],[Revised Due Date]]&lt;&gt;""),Main[[#This Row],[In Stock Date]]-Main[[#This Row],[Revised Due Date]],"")</f>
        <v>0</v>
      </c>
      <c r="I1327" s="72" t="s">
        <v>2071</v>
      </c>
      <c r="J1327" s="72" t="s">
        <v>28</v>
      </c>
      <c r="K1327" s="72" t="s">
        <v>1949</v>
      </c>
      <c r="L1327" s="74">
        <v>40767</v>
      </c>
      <c r="M1327" s="77" t="str">
        <f>IF(Main[[#This Row],[Tech Start Date]]&lt;1/1/1990,"",IF(Main[[#This Row],[Class]]="C",WORKDAY(Main[[#This Row],[Tech Start Date]],9),IF(Main[[#This Row],[Class]]="B", WORKDAY(Main[[#This Row],[Tech Start Date]],6),IF(Main[[#This Row],[Class]]="A",WORKDAY(Main[[#This Row],[Tech Start Date]],2),""))))</f>
        <v/>
      </c>
      <c r="N1327" s="77" t="str">
        <f>IF(Main[[#This Row],[Tech Start Date]]&lt;1/1/1990,"",IF(Main[[#This Row],[Class]]="C",WORKDAY(Main[[#This Row],[Tech Start Date]],19),IF(Main[[#This Row],[Class]]="B", WORKDAY(Main[[#This Row],[Tech Start Date]],12),IF(Main[[#This Row],[Class]]="A",WORKDAY(Main[[#This Row],[Tech Start Date]],4),""))))</f>
        <v/>
      </c>
      <c r="O1327" s="77" t="str">
        <f>IF(Main[[#This Row],[Tech Start Date]]&lt;1/1/1990,"",IF(Main[[#This Row],[Class]]="C",WORKDAY(Main[[#This Row],[Tech Start Date]],23),IF(Main[[#This Row],[Class]]="B", WORKDAY(Main[[#This Row],[Tech Start Date]],15),IF(Main[[#This Row],[Class]]="A",WORKDAY(Main[[#This Row],[Tech Start Date]],5),""))))</f>
        <v/>
      </c>
      <c r="P1327" s="77" t="str">
        <f>IF(Main[[#This Row],[Tech Start Date]]&lt;1/1/1990,"",IF(Main[[#This Row],[Class]]="C",WORKDAY(Main[[#This Row],[Tech Start Date]],28),IF(Main[[#This Row],[Class]]="B", WORKDAY(Main[[#This Row],[Tech Start Date]],19),IF(Main[[#This Row],[Class]]="A",WORKDAY(Main[[#This Row],[Tech Start Date]],9),""))))</f>
        <v/>
      </c>
      <c r="Q1327" s="74">
        <v>40877</v>
      </c>
      <c r="R1327" s="74">
        <v>40877</v>
      </c>
      <c r="S1327" s="72" t="s">
        <v>17</v>
      </c>
      <c r="T1327" s="80" t="s">
        <v>4</v>
      </c>
      <c r="U1327" s="72" t="s">
        <v>29</v>
      </c>
      <c r="V1327" s="72" t="s">
        <v>1940</v>
      </c>
      <c r="W1327" s="72" t="s">
        <v>1945</v>
      </c>
      <c r="X1327" s="72" t="s">
        <v>560</v>
      </c>
      <c r="Y1327" s="72" t="s">
        <v>3110</v>
      </c>
      <c r="Z1327" s="72" t="s">
        <v>536</v>
      </c>
    </row>
    <row r="1328" spans="1:26" ht="18.600000000000001" customHeight="1">
      <c r="A1328" s="142" t="str">
        <f>IF(priority(Main[[#This Row],[Comments]])&lt;&gt;0, priority(Main[[#This Row],[Comments]]),"")</f>
        <v/>
      </c>
      <c r="B1328" s="90" t="s">
        <v>2174</v>
      </c>
      <c r="C1328" s="72" t="s">
        <v>4</v>
      </c>
      <c r="D1328" s="73" t="s">
        <v>2680</v>
      </c>
      <c r="E1328" s="74">
        <v>40772.447592592594</v>
      </c>
      <c r="F1328" s="74"/>
      <c r="G1328" s="75" t="str">
        <f>IF(stdProdLT(Main[[#This Row],[Comments]])=0.1,"N/A",IF(stdProdLT(Main[[#This Row],[Comments]])=0,"",stdProdLT(Main[[#This Row],[Comments]])))</f>
        <v/>
      </c>
      <c r="H1328" s="76" t="str">
        <f>IF(AND(Main[[#This Row],[In Stock Date]]&lt;&gt;"",Main[[#This Row],[Revised Due Date]]&lt;&gt;""),Main[[#This Row],[In Stock Date]]-Main[[#This Row],[Revised Due Date]],"")</f>
        <v/>
      </c>
      <c r="I1328" s="72" t="s">
        <v>891</v>
      </c>
      <c r="J1328" s="72" t="s">
        <v>28</v>
      </c>
      <c r="K1328" s="72" t="s">
        <v>1950</v>
      </c>
      <c r="L1328" s="74">
        <v>40772</v>
      </c>
      <c r="M1328" s="77">
        <f>IF(Main[[#This Row],[Tech Start Date]]&lt;1/1/1990,"",IF(Main[[#This Row],[Class]]="C",WORKDAY(Main[[#This Row],[Tech Start Date]],9),IF(Main[[#This Row],[Class]]="B", WORKDAY(Main[[#This Row],[Tech Start Date]],6),IF(Main[[#This Row],[Class]]="A",WORKDAY(Main[[#This Row],[Tech Start Date]],2),""))))</f>
        <v>40785</v>
      </c>
      <c r="N1328" s="77">
        <f>IF(Main[[#This Row],[Tech Start Date]]&lt;1/1/1990,"",IF(Main[[#This Row],[Class]]="C",WORKDAY(Main[[#This Row],[Tech Start Date]],19),IF(Main[[#This Row],[Class]]="B", WORKDAY(Main[[#This Row],[Tech Start Date]],12),IF(Main[[#This Row],[Class]]="A",WORKDAY(Main[[#This Row],[Tech Start Date]],4),""))))</f>
        <v>40799</v>
      </c>
      <c r="O1328" s="77">
        <f>IF(Main[[#This Row],[Tech Start Date]]&lt;1/1/1990,"",IF(Main[[#This Row],[Class]]="C",WORKDAY(Main[[#This Row],[Tech Start Date]],23),IF(Main[[#This Row],[Class]]="B", WORKDAY(Main[[#This Row],[Tech Start Date]],15),IF(Main[[#This Row],[Class]]="A",WORKDAY(Main[[#This Row],[Tech Start Date]],5),""))))</f>
        <v>40805</v>
      </c>
      <c r="P1328" s="77">
        <f>IF(Main[[#This Row],[Tech Start Date]]&lt;1/1/1990,"",IF(Main[[#This Row],[Class]]="C",WORKDAY(Main[[#This Row],[Tech Start Date]],28),IF(Main[[#This Row],[Class]]="B", WORKDAY(Main[[#This Row],[Tech Start Date]],19),IF(Main[[#This Row],[Class]]="A",WORKDAY(Main[[#This Row],[Tech Start Date]],9),""))))</f>
        <v>40812</v>
      </c>
      <c r="Q1328" s="74">
        <v>40786</v>
      </c>
      <c r="R1328" s="74">
        <v>40907</v>
      </c>
      <c r="S1328" s="72" t="s">
        <v>17</v>
      </c>
      <c r="T1328" s="80" t="s">
        <v>2355</v>
      </c>
      <c r="U1328" s="72" t="s">
        <v>29</v>
      </c>
      <c r="V1328" s="72" t="s">
        <v>1937</v>
      </c>
      <c r="W1328" s="72" t="s">
        <v>1939</v>
      </c>
      <c r="X1328" s="72" t="s">
        <v>891</v>
      </c>
      <c r="Y1328" s="72" t="s">
        <v>3167</v>
      </c>
      <c r="Z1328" s="72" t="s">
        <v>129</v>
      </c>
    </row>
    <row r="1329" spans="1:26" ht="18.600000000000001" customHeight="1">
      <c r="A1329" s="142" t="str">
        <f>IF(priority(Main[[#This Row],[Comments]])&lt;&gt;0, priority(Main[[#This Row],[Comments]]),"")</f>
        <v/>
      </c>
      <c r="B1329" s="90" t="s">
        <v>2173</v>
      </c>
      <c r="C1329" s="72" t="s">
        <v>4</v>
      </c>
      <c r="D1329" s="73" t="s">
        <v>2925</v>
      </c>
      <c r="E1329" s="74">
        <v>40772.344918981478</v>
      </c>
      <c r="F1329" s="74"/>
      <c r="G1329" s="75" t="str">
        <f>IF(stdProdLT(Main[[#This Row],[Comments]])=0.1,"N/A",IF(stdProdLT(Main[[#This Row],[Comments]])=0,"",stdProdLT(Main[[#This Row],[Comments]])))</f>
        <v/>
      </c>
      <c r="H1329" s="76" t="str">
        <f>IF(AND(Main[[#This Row],[In Stock Date]]&lt;&gt;"",Main[[#This Row],[Revised Due Date]]&lt;&gt;""),Main[[#This Row],[In Stock Date]]-Main[[#This Row],[Revised Due Date]],"")</f>
        <v/>
      </c>
      <c r="I1329" s="72" t="s">
        <v>891</v>
      </c>
      <c r="J1329" s="72" t="s">
        <v>28</v>
      </c>
      <c r="K1329" s="72" t="s">
        <v>1944</v>
      </c>
      <c r="L1329" s="74">
        <v>40772</v>
      </c>
      <c r="M1329" s="77">
        <f>IF(Main[[#This Row],[Tech Start Date]]&lt;1/1/1990,"",IF(Main[[#This Row],[Class]]="C",WORKDAY(Main[[#This Row],[Tech Start Date]],9),IF(Main[[#This Row],[Class]]="B", WORKDAY(Main[[#This Row],[Tech Start Date]],6),IF(Main[[#This Row],[Class]]="A",WORKDAY(Main[[#This Row],[Tech Start Date]],2),""))))</f>
        <v>40780</v>
      </c>
      <c r="N1329" s="77">
        <f>IF(Main[[#This Row],[Tech Start Date]]&lt;1/1/1990,"",IF(Main[[#This Row],[Class]]="C",WORKDAY(Main[[#This Row],[Tech Start Date]],19),IF(Main[[#This Row],[Class]]="B", WORKDAY(Main[[#This Row],[Tech Start Date]],12),IF(Main[[#This Row],[Class]]="A",WORKDAY(Main[[#This Row],[Tech Start Date]],4),""))))</f>
        <v>40788</v>
      </c>
      <c r="O1329" s="77">
        <f>IF(Main[[#This Row],[Tech Start Date]]&lt;1/1/1990,"",IF(Main[[#This Row],[Class]]="C",WORKDAY(Main[[#This Row],[Tech Start Date]],23),IF(Main[[#This Row],[Class]]="B", WORKDAY(Main[[#This Row],[Tech Start Date]],15),IF(Main[[#This Row],[Class]]="A",WORKDAY(Main[[#This Row],[Tech Start Date]],5),""))))</f>
        <v>40793</v>
      </c>
      <c r="P1329" s="77">
        <f>IF(Main[[#This Row],[Tech Start Date]]&lt;1/1/1990,"",IF(Main[[#This Row],[Class]]="C",WORKDAY(Main[[#This Row],[Tech Start Date]],28),IF(Main[[#This Row],[Class]]="B", WORKDAY(Main[[#This Row],[Tech Start Date]],19),IF(Main[[#This Row],[Class]]="A",WORKDAY(Main[[#This Row],[Tech Start Date]],9),""))))</f>
        <v>40799</v>
      </c>
      <c r="Q1329" s="74">
        <v>40779</v>
      </c>
      <c r="R1329" s="74">
        <v>40907</v>
      </c>
      <c r="S1329" s="72" t="s">
        <v>6</v>
      </c>
      <c r="T1329" s="80" t="s">
        <v>4</v>
      </c>
      <c r="U1329" s="72" t="s">
        <v>29</v>
      </c>
      <c r="V1329" s="72" t="s">
        <v>1937</v>
      </c>
      <c r="W1329" s="72" t="s">
        <v>1945</v>
      </c>
      <c r="X1329" s="72" t="s">
        <v>891</v>
      </c>
      <c r="Y1329" s="72" t="s">
        <v>4</v>
      </c>
      <c r="Z1329" s="72" t="s">
        <v>129</v>
      </c>
    </row>
    <row r="1330" spans="1:26" ht="18.600000000000001" customHeight="1">
      <c r="A1330" s="142" t="str">
        <f>IF(priority(Main[[#This Row],[Comments]])&lt;&gt;0, priority(Main[[#This Row],[Comments]]),"")</f>
        <v/>
      </c>
      <c r="B1330" s="90" t="s">
        <v>2178</v>
      </c>
      <c r="C1330" s="72" t="s">
        <v>53</v>
      </c>
      <c r="D1330" s="73" t="s">
        <v>2179</v>
      </c>
      <c r="E1330" s="74">
        <v>40774.327164351853</v>
      </c>
      <c r="F1330" s="74">
        <v>40786</v>
      </c>
      <c r="G1330" s="75" t="str">
        <f>IF(stdProdLT(Main[[#This Row],[Comments]])=0.1,"N/A",IF(stdProdLT(Main[[#This Row],[Comments]])=0,"",stdProdLT(Main[[#This Row],[Comments]])))</f>
        <v/>
      </c>
      <c r="H1330" s="76">
        <f>IF(AND(Main[[#This Row],[In Stock Date]]&lt;&gt;"",Main[[#This Row],[Revised Due Date]]&lt;&gt;""),Main[[#This Row],[In Stock Date]]-Main[[#This Row],[Revised Due Date]],"")</f>
        <v>-6</v>
      </c>
      <c r="I1330" s="72" t="s">
        <v>2080</v>
      </c>
      <c r="J1330" s="72" t="s">
        <v>52</v>
      </c>
      <c r="K1330" s="81" t="s">
        <v>1946</v>
      </c>
      <c r="L1330" s="74">
        <v>40777</v>
      </c>
      <c r="M1330" s="77">
        <f>IF(Main[[#This Row],[Tech Start Date]]&lt;1/1/1990,"",IF(Main[[#This Row],[Class]]="C",WORKDAY(Main[[#This Row],[Tech Start Date]],9),IF(Main[[#This Row],[Class]]="B", WORKDAY(Main[[#This Row],[Tech Start Date]],6),IF(Main[[#This Row],[Class]]="A",WORKDAY(Main[[#This Row],[Tech Start Date]],2),""))))</f>
        <v>40779</v>
      </c>
      <c r="N1330" s="77">
        <f>IF(Main[[#This Row],[Tech Start Date]]&lt;1/1/1990,"",IF(Main[[#This Row],[Class]]="C",WORKDAY(Main[[#This Row],[Tech Start Date]],19),IF(Main[[#This Row],[Class]]="B", WORKDAY(Main[[#This Row],[Tech Start Date]],12),IF(Main[[#This Row],[Class]]="A",WORKDAY(Main[[#This Row],[Tech Start Date]],4),""))))</f>
        <v>40781</v>
      </c>
      <c r="O1330" s="77">
        <f>IF(Main[[#This Row],[Tech Start Date]]&lt;1/1/1990,"",IF(Main[[#This Row],[Class]]="C",WORKDAY(Main[[#This Row],[Tech Start Date]],23),IF(Main[[#This Row],[Class]]="B", WORKDAY(Main[[#This Row],[Tech Start Date]],15),IF(Main[[#This Row],[Class]]="A",WORKDAY(Main[[#This Row],[Tech Start Date]],5),""))))</f>
        <v>40784</v>
      </c>
      <c r="P1330" s="77">
        <f>IF(Main[[#This Row],[Tech Start Date]]&lt;1/1/1990,"",IF(Main[[#This Row],[Class]]="C",WORKDAY(Main[[#This Row],[Tech Start Date]],28),IF(Main[[#This Row],[Class]]="B", WORKDAY(Main[[#This Row],[Tech Start Date]],19),IF(Main[[#This Row],[Class]]="A",WORKDAY(Main[[#This Row],[Tech Start Date]],9),""))))</f>
        <v>40788</v>
      </c>
      <c r="Q1330" s="74"/>
      <c r="R1330" s="74">
        <v>40792</v>
      </c>
      <c r="S1330" s="72" t="s">
        <v>6</v>
      </c>
      <c r="T1330" s="80" t="s">
        <v>4</v>
      </c>
      <c r="U1330" s="72" t="s">
        <v>29</v>
      </c>
      <c r="V1330" s="72" t="s">
        <v>1938</v>
      </c>
      <c r="W1330" s="72" t="s">
        <v>1939</v>
      </c>
      <c r="X1330" s="72" t="s">
        <v>2967</v>
      </c>
      <c r="Y1330" s="72" t="s">
        <v>3151</v>
      </c>
      <c r="Z1330" s="72" t="s">
        <v>2080</v>
      </c>
    </row>
    <row r="1331" spans="1:26" ht="18.600000000000001" customHeight="1">
      <c r="A1331" s="142" t="str">
        <f>IF(priority(Main[[#This Row],[Comments]])&lt;&gt;0, priority(Main[[#This Row],[Comments]]),"")</f>
        <v/>
      </c>
      <c r="B1331" s="90" t="s">
        <v>2180</v>
      </c>
      <c r="C1331" s="72" t="s">
        <v>2181</v>
      </c>
      <c r="D1331" s="73" t="s">
        <v>2182</v>
      </c>
      <c r="E1331" s="74">
        <v>40778.69290509259</v>
      </c>
      <c r="F1331" s="74"/>
      <c r="G1331" s="75" t="str">
        <f>IF(stdProdLT(Main[[#This Row],[Comments]])=0.1,"N/A",IF(stdProdLT(Main[[#This Row],[Comments]])=0,"",stdProdLT(Main[[#This Row],[Comments]])))</f>
        <v/>
      </c>
      <c r="H1331" s="76" t="str">
        <f>IF(AND(Main[[#This Row],[In Stock Date]]&lt;&gt;"",Main[[#This Row],[Revised Due Date]]&lt;&gt;""),Main[[#This Row],[In Stock Date]]-Main[[#This Row],[Revised Due Date]],"")</f>
        <v/>
      </c>
      <c r="I1331" s="72" t="s">
        <v>957</v>
      </c>
      <c r="J1331" s="72" t="s">
        <v>28</v>
      </c>
      <c r="K1331" s="72" t="s">
        <v>1944</v>
      </c>
      <c r="L1331" s="74">
        <v>40778</v>
      </c>
      <c r="M1331" s="77">
        <f>IF(Main[[#This Row],[Tech Start Date]]&lt;1/1/1990,"",IF(Main[[#This Row],[Class]]="C",WORKDAY(Main[[#This Row],[Tech Start Date]],9),IF(Main[[#This Row],[Class]]="B", WORKDAY(Main[[#This Row],[Tech Start Date]],6),IF(Main[[#This Row],[Class]]="A",WORKDAY(Main[[#This Row],[Tech Start Date]],2),""))))</f>
        <v>40786</v>
      </c>
      <c r="N1331" s="77">
        <f>IF(Main[[#This Row],[Tech Start Date]]&lt;1/1/1990,"",IF(Main[[#This Row],[Class]]="C",WORKDAY(Main[[#This Row],[Tech Start Date]],19),IF(Main[[#This Row],[Class]]="B", WORKDAY(Main[[#This Row],[Tech Start Date]],12),IF(Main[[#This Row],[Class]]="A",WORKDAY(Main[[#This Row],[Tech Start Date]],4),""))))</f>
        <v>40794</v>
      </c>
      <c r="O1331" s="77">
        <f>IF(Main[[#This Row],[Tech Start Date]]&lt;1/1/1990,"",IF(Main[[#This Row],[Class]]="C",WORKDAY(Main[[#This Row],[Tech Start Date]],23),IF(Main[[#This Row],[Class]]="B", WORKDAY(Main[[#This Row],[Tech Start Date]],15),IF(Main[[#This Row],[Class]]="A",WORKDAY(Main[[#This Row],[Tech Start Date]],5),""))))</f>
        <v>40799</v>
      </c>
      <c r="P1331" s="77">
        <f>IF(Main[[#This Row],[Tech Start Date]]&lt;1/1/1990,"",IF(Main[[#This Row],[Class]]="C",WORKDAY(Main[[#This Row],[Tech Start Date]],28),IF(Main[[#This Row],[Class]]="B", WORKDAY(Main[[#This Row],[Tech Start Date]],19),IF(Main[[#This Row],[Class]]="A",WORKDAY(Main[[#This Row],[Tech Start Date]],9),""))))</f>
        <v>40805</v>
      </c>
      <c r="Q1331" s="74"/>
      <c r="R1331" s="74">
        <v>40807</v>
      </c>
      <c r="S1331" s="72" t="s">
        <v>6</v>
      </c>
      <c r="T1331" s="80" t="s">
        <v>4</v>
      </c>
      <c r="U1331" s="72" t="s">
        <v>29</v>
      </c>
      <c r="V1331" s="72" t="s">
        <v>1938</v>
      </c>
      <c r="W1331" s="72" t="s">
        <v>1941</v>
      </c>
      <c r="X1331" s="72" t="s">
        <v>2080</v>
      </c>
      <c r="Y1331" s="72" t="s">
        <v>3314</v>
      </c>
      <c r="Z1331" s="72" t="s">
        <v>2080</v>
      </c>
    </row>
    <row r="1332" spans="1:26" ht="18.600000000000001" customHeight="1">
      <c r="A1332" s="142" t="str">
        <f>IF(priority(Main[[#This Row],[Comments]])&lt;&gt;0, priority(Main[[#This Row],[Comments]]),"")</f>
        <v/>
      </c>
      <c r="B1332" s="90" t="s">
        <v>2184</v>
      </c>
      <c r="C1332" s="72" t="s">
        <v>2181</v>
      </c>
      <c r="D1332" s="73" t="s">
        <v>2185</v>
      </c>
      <c r="E1332" s="74">
        <v>40778.690706018519</v>
      </c>
      <c r="F1332" s="74"/>
      <c r="G1332" s="75" t="str">
        <f>IF(stdProdLT(Main[[#This Row],[Comments]])=0.1,"N/A",IF(stdProdLT(Main[[#This Row],[Comments]])=0,"",stdProdLT(Main[[#This Row],[Comments]])))</f>
        <v/>
      </c>
      <c r="H1332" s="76" t="str">
        <f>IF(AND(Main[[#This Row],[In Stock Date]]&lt;&gt;"",Main[[#This Row],[Revised Due Date]]&lt;&gt;""),Main[[#This Row],[In Stock Date]]-Main[[#This Row],[Revised Due Date]],"")</f>
        <v/>
      </c>
      <c r="I1332" s="72" t="s">
        <v>957</v>
      </c>
      <c r="J1332" s="72" t="s">
        <v>28</v>
      </c>
      <c r="K1332" s="72" t="s">
        <v>1946</v>
      </c>
      <c r="L1332" s="74">
        <v>40778</v>
      </c>
      <c r="M1332" s="77">
        <f>IF(Main[[#This Row],[Tech Start Date]]&lt;1/1/1990,"",IF(Main[[#This Row],[Class]]="C",WORKDAY(Main[[#This Row],[Tech Start Date]],9),IF(Main[[#This Row],[Class]]="B", WORKDAY(Main[[#This Row],[Tech Start Date]],6),IF(Main[[#This Row],[Class]]="A",WORKDAY(Main[[#This Row],[Tech Start Date]],2),""))))</f>
        <v>40780</v>
      </c>
      <c r="N1332" s="77">
        <f>IF(Main[[#This Row],[Tech Start Date]]&lt;1/1/1990,"",IF(Main[[#This Row],[Class]]="C",WORKDAY(Main[[#This Row],[Tech Start Date]],19),IF(Main[[#This Row],[Class]]="B", WORKDAY(Main[[#This Row],[Tech Start Date]],12),IF(Main[[#This Row],[Class]]="A",WORKDAY(Main[[#This Row],[Tech Start Date]],4),""))))</f>
        <v>40784</v>
      </c>
      <c r="O1332" s="77">
        <f>IF(Main[[#This Row],[Tech Start Date]]&lt;1/1/1990,"",IF(Main[[#This Row],[Class]]="C",WORKDAY(Main[[#This Row],[Tech Start Date]],23),IF(Main[[#This Row],[Class]]="B", WORKDAY(Main[[#This Row],[Tech Start Date]],15),IF(Main[[#This Row],[Class]]="A",WORKDAY(Main[[#This Row],[Tech Start Date]],5),""))))</f>
        <v>40785</v>
      </c>
      <c r="P1332" s="77">
        <f>IF(Main[[#This Row],[Tech Start Date]]&lt;1/1/1990,"",IF(Main[[#This Row],[Class]]="C",WORKDAY(Main[[#This Row],[Tech Start Date]],28),IF(Main[[#This Row],[Class]]="B", WORKDAY(Main[[#This Row],[Tech Start Date]],19),IF(Main[[#This Row],[Class]]="A",WORKDAY(Main[[#This Row],[Tech Start Date]],9),""))))</f>
        <v>40791</v>
      </c>
      <c r="Q1332" s="74"/>
      <c r="R1332" s="74">
        <v>40807</v>
      </c>
      <c r="S1332" s="72" t="s">
        <v>6</v>
      </c>
      <c r="T1332" s="80" t="s">
        <v>4</v>
      </c>
      <c r="U1332" s="72" t="s">
        <v>29</v>
      </c>
      <c r="V1332" s="72" t="s">
        <v>1938</v>
      </c>
      <c r="W1332" s="72" t="s">
        <v>1939</v>
      </c>
      <c r="X1332" s="72" t="s">
        <v>2080</v>
      </c>
      <c r="Y1332" s="72" t="s">
        <v>3314</v>
      </c>
      <c r="Z1332" s="72" t="s">
        <v>2080</v>
      </c>
    </row>
    <row r="1333" spans="1:26" ht="18.600000000000001" customHeight="1">
      <c r="A1333" s="142" t="str">
        <f>IF(priority(Main[[#This Row],[Comments]])&lt;&gt;0, priority(Main[[#This Row],[Comments]]),"")</f>
        <v/>
      </c>
      <c r="B1333" s="90" t="s">
        <v>2232</v>
      </c>
      <c r="C1333" s="72" t="s">
        <v>116</v>
      </c>
      <c r="D1333" s="73" t="s">
        <v>2233</v>
      </c>
      <c r="E1333" s="74">
        <v>40787.614270833335</v>
      </c>
      <c r="F1333" s="74"/>
      <c r="G1333" s="75" t="str">
        <f>IF(stdProdLT(Main[[#This Row],[Comments]])=0.1,"N/A",IF(stdProdLT(Main[[#This Row],[Comments]])=0,"",stdProdLT(Main[[#This Row],[Comments]])))</f>
        <v/>
      </c>
      <c r="H1333" s="76" t="str">
        <f>IF(AND(Main[[#This Row],[In Stock Date]]&lt;&gt;"",Main[[#This Row],[Revised Due Date]]&lt;&gt;""),Main[[#This Row],[In Stock Date]]-Main[[#This Row],[Revised Due Date]],"")</f>
        <v/>
      </c>
      <c r="I1333" s="72" t="s">
        <v>2283</v>
      </c>
      <c r="J1333" s="72" t="s">
        <v>28</v>
      </c>
      <c r="K1333" s="72" t="s">
        <v>1950</v>
      </c>
      <c r="L1333" s="74">
        <v>40798</v>
      </c>
      <c r="M1333" s="77">
        <f>IF(Main[[#This Row],[Tech Start Date]]&lt;1/1/1990,"",IF(Main[[#This Row],[Class]]="C",WORKDAY(Main[[#This Row],[Tech Start Date]],9),IF(Main[[#This Row],[Class]]="B", WORKDAY(Main[[#This Row],[Tech Start Date]],6),IF(Main[[#This Row],[Class]]="A",WORKDAY(Main[[#This Row],[Tech Start Date]],2),""))))</f>
        <v>40809</v>
      </c>
      <c r="N1333" s="77">
        <f>IF(Main[[#This Row],[Tech Start Date]]&lt;1/1/1990,"",IF(Main[[#This Row],[Class]]="C",WORKDAY(Main[[#This Row],[Tech Start Date]],19),IF(Main[[#This Row],[Class]]="B", WORKDAY(Main[[#This Row],[Tech Start Date]],12),IF(Main[[#This Row],[Class]]="A",WORKDAY(Main[[#This Row],[Tech Start Date]],4),""))))</f>
        <v>40823</v>
      </c>
      <c r="O1333" s="77">
        <f>IF(Main[[#This Row],[Tech Start Date]]&lt;1/1/1990,"",IF(Main[[#This Row],[Class]]="C",WORKDAY(Main[[#This Row],[Tech Start Date]],23),IF(Main[[#This Row],[Class]]="B", WORKDAY(Main[[#This Row],[Tech Start Date]],15),IF(Main[[#This Row],[Class]]="A",WORKDAY(Main[[#This Row],[Tech Start Date]],5),""))))</f>
        <v>40829</v>
      </c>
      <c r="P1333" s="77">
        <f>IF(Main[[#This Row],[Tech Start Date]]&lt;1/1/1990,"",IF(Main[[#This Row],[Class]]="C",WORKDAY(Main[[#This Row],[Tech Start Date]],28),IF(Main[[#This Row],[Class]]="B", WORKDAY(Main[[#This Row],[Tech Start Date]],19),IF(Main[[#This Row],[Class]]="A",WORKDAY(Main[[#This Row],[Tech Start Date]],9),""))))</f>
        <v>40836</v>
      </c>
      <c r="Q1333" s="74">
        <v>40914</v>
      </c>
      <c r="R1333" s="74">
        <v>40841</v>
      </c>
      <c r="S1333" s="72" t="s">
        <v>6</v>
      </c>
      <c r="T1333" s="80" t="s">
        <v>4</v>
      </c>
      <c r="U1333" s="72" t="s">
        <v>29</v>
      </c>
      <c r="V1333" s="72" t="s">
        <v>1938</v>
      </c>
      <c r="W1333" s="72" t="s">
        <v>1939</v>
      </c>
      <c r="X1333" s="72" t="s">
        <v>2080</v>
      </c>
      <c r="Y1333" s="72" t="s">
        <v>3314</v>
      </c>
      <c r="Z1333" s="72" t="s">
        <v>2080</v>
      </c>
    </row>
    <row r="1334" spans="1:26" ht="18.600000000000001" customHeight="1">
      <c r="A1334" s="142" t="str">
        <f>IF(priority(Main[[#This Row],[Comments]])&lt;&gt;0, priority(Main[[#This Row],[Comments]]),"")</f>
        <v/>
      </c>
      <c r="B1334" s="90" t="s">
        <v>2209</v>
      </c>
      <c r="C1334" s="72" t="s">
        <v>4</v>
      </c>
      <c r="D1334" s="73" t="s">
        <v>2210</v>
      </c>
      <c r="E1334" s="74">
        <v>40787.619050925925</v>
      </c>
      <c r="F1334" s="74"/>
      <c r="G1334" s="75" t="str">
        <f>IF(stdProdLT(Main[[#This Row],[Comments]])=0.1,"N/A",IF(stdProdLT(Main[[#This Row],[Comments]])=0,"",stdProdLT(Main[[#This Row],[Comments]])))</f>
        <v/>
      </c>
      <c r="H1334" s="76" t="str">
        <f>IF(AND(Main[[#This Row],[In Stock Date]]&lt;&gt;"",Main[[#This Row],[Revised Due Date]]&lt;&gt;""),Main[[#This Row],[In Stock Date]]-Main[[#This Row],[Revised Due Date]],"")</f>
        <v/>
      </c>
      <c r="I1334" s="72" t="s">
        <v>956</v>
      </c>
      <c r="J1334" s="72" t="s">
        <v>28</v>
      </c>
      <c r="K1334" s="72" t="s">
        <v>1950</v>
      </c>
      <c r="L1334" s="74">
        <v>40798</v>
      </c>
      <c r="M1334" s="77">
        <f>IF(Main[[#This Row],[Tech Start Date]]&lt;1/1/1990,"",IF(Main[[#This Row],[Class]]="C",WORKDAY(Main[[#This Row],[Tech Start Date]],9),IF(Main[[#This Row],[Class]]="B", WORKDAY(Main[[#This Row],[Tech Start Date]],6),IF(Main[[#This Row],[Class]]="A",WORKDAY(Main[[#This Row],[Tech Start Date]],2),""))))</f>
        <v>40809</v>
      </c>
      <c r="N1334" s="77">
        <f>IF(Main[[#This Row],[Tech Start Date]]&lt;1/1/1990,"",IF(Main[[#This Row],[Class]]="C",WORKDAY(Main[[#This Row],[Tech Start Date]],19),IF(Main[[#This Row],[Class]]="B", WORKDAY(Main[[#This Row],[Tech Start Date]],12),IF(Main[[#This Row],[Class]]="A",WORKDAY(Main[[#This Row],[Tech Start Date]],4),""))))</f>
        <v>40823</v>
      </c>
      <c r="O1334" s="77">
        <f>IF(Main[[#This Row],[Tech Start Date]]&lt;1/1/1990,"",IF(Main[[#This Row],[Class]]="C",WORKDAY(Main[[#This Row],[Tech Start Date]],23),IF(Main[[#This Row],[Class]]="B", WORKDAY(Main[[#This Row],[Tech Start Date]],15),IF(Main[[#This Row],[Class]]="A",WORKDAY(Main[[#This Row],[Tech Start Date]],5),""))))</f>
        <v>40829</v>
      </c>
      <c r="P1334" s="77">
        <f>IF(Main[[#This Row],[Tech Start Date]]&lt;1/1/1990,"",IF(Main[[#This Row],[Class]]="C",WORKDAY(Main[[#This Row],[Tech Start Date]],28),IF(Main[[#This Row],[Class]]="B", WORKDAY(Main[[#This Row],[Tech Start Date]],19),IF(Main[[#This Row],[Class]]="A",WORKDAY(Main[[#This Row],[Tech Start Date]],9),""))))</f>
        <v>40836</v>
      </c>
      <c r="Q1334" s="74">
        <v>40914</v>
      </c>
      <c r="R1334" s="74">
        <v>40841</v>
      </c>
      <c r="S1334" s="72" t="s">
        <v>6</v>
      </c>
      <c r="T1334" s="80" t="s">
        <v>4</v>
      </c>
      <c r="U1334" s="72" t="s">
        <v>29</v>
      </c>
      <c r="V1334" s="72" t="s">
        <v>1938</v>
      </c>
      <c r="W1334" s="72" t="s">
        <v>1939</v>
      </c>
      <c r="X1334" s="72" t="s">
        <v>2080</v>
      </c>
      <c r="Y1334" s="72" t="s">
        <v>3314</v>
      </c>
      <c r="Z1334" s="72" t="s">
        <v>2080</v>
      </c>
    </row>
    <row r="1335" spans="1:26" ht="18.600000000000001" customHeight="1">
      <c r="A1335" s="142" t="str">
        <f>IF(priority(Main[[#This Row],[Comments]])&lt;&gt;0, priority(Main[[#This Row],[Comments]]),"")</f>
        <v/>
      </c>
      <c r="B1335" s="90" t="s">
        <v>2262</v>
      </c>
      <c r="C1335" s="72" t="s">
        <v>2263</v>
      </c>
      <c r="D1335" s="73" t="s">
        <v>2264</v>
      </c>
      <c r="E1335" s="74"/>
      <c r="F1335" s="74">
        <v>40814</v>
      </c>
      <c r="G1335" s="75">
        <f>IF(stdProdLT(Main[[#This Row],[Comments]])=0.1,"N/A",IF(stdProdLT(Main[[#This Row],[Comments]])=0,"",stdProdLT(Main[[#This Row],[Comments]])))</f>
        <v>112</v>
      </c>
      <c r="H1335" s="76">
        <f>IF(AND(Main[[#This Row],[In Stock Date]]&lt;&gt;"",Main[[#This Row],[Revised Due Date]]&lt;&gt;""),Main[[#This Row],[In Stock Date]]-Main[[#This Row],[Revised Due Date]],"")</f>
        <v>-6</v>
      </c>
      <c r="I1335" s="72" t="s">
        <v>2071</v>
      </c>
      <c r="J1335" s="72" t="s">
        <v>28</v>
      </c>
      <c r="K1335" s="72" t="s">
        <v>1946</v>
      </c>
      <c r="L1335" s="74">
        <v>40805</v>
      </c>
      <c r="M1335" s="77">
        <f>IF(Main[[#This Row],[Tech Start Date]]&lt;1/1/1990,"",IF(Main[[#This Row],[Class]]="C",WORKDAY(Main[[#This Row],[Tech Start Date]],9),IF(Main[[#This Row],[Class]]="B", WORKDAY(Main[[#This Row],[Tech Start Date]],6),IF(Main[[#This Row],[Class]]="A",WORKDAY(Main[[#This Row],[Tech Start Date]],2),""))))</f>
        <v>40807</v>
      </c>
      <c r="N1335" s="77">
        <f>IF(Main[[#This Row],[Tech Start Date]]&lt;1/1/1990,"",IF(Main[[#This Row],[Class]]="C",WORKDAY(Main[[#This Row],[Tech Start Date]],19),IF(Main[[#This Row],[Class]]="B", WORKDAY(Main[[#This Row],[Tech Start Date]],12),IF(Main[[#This Row],[Class]]="A",WORKDAY(Main[[#This Row],[Tech Start Date]],4),""))))</f>
        <v>40809</v>
      </c>
      <c r="O1335" s="77">
        <f>IF(Main[[#This Row],[Tech Start Date]]&lt;1/1/1990,"",IF(Main[[#This Row],[Class]]="C",WORKDAY(Main[[#This Row],[Tech Start Date]],23),IF(Main[[#This Row],[Class]]="B", WORKDAY(Main[[#This Row],[Tech Start Date]],15),IF(Main[[#This Row],[Class]]="A",WORKDAY(Main[[#This Row],[Tech Start Date]],5),""))))</f>
        <v>40812</v>
      </c>
      <c r="P1335" s="77">
        <f>IF(Main[[#This Row],[Tech Start Date]]&lt;1/1/1990,"",IF(Main[[#This Row],[Class]]="C",WORKDAY(Main[[#This Row],[Tech Start Date]],28),IF(Main[[#This Row],[Class]]="B", WORKDAY(Main[[#This Row],[Tech Start Date]],19),IF(Main[[#This Row],[Class]]="A",WORKDAY(Main[[#This Row],[Tech Start Date]],9),""))))</f>
        <v>40816</v>
      </c>
      <c r="Q1335" s="74">
        <v>40819</v>
      </c>
      <c r="R1335" s="74">
        <v>40820</v>
      </c>
      <c r="S1335" s="72" t="s">
        <v>11</v>
      </c>
      <c r="T1335" s="80" t="s">
        <v>2297</v>
      </c>
      <c r="U1335" s="72" t="s">
        <v>14</v>
      </c>
      <c r="V1335" s="72" t="s">
        <v>1940</v>
      </c>
      <c r="W1335" s="72" t="s">
        <v>1945</v>
      </c>
      <c r="X1335" s="72" t="s">
        <v>3075</v>
      </c>
      <c r="Y1335" s="72" t="s">
        <v>4</v>
      </c>
      <c r="Z1335" s="72" t="s">
        <v>2071</v>
      </c>
    </row>
    <row r="1336" spans="1:26" ht="18.600000000000001" customHeight="1">
      <c r="A1336" s="142" t="str">
        <f>IF(priority(Main[[#This Row],[Comments]])&lt;&gt;0, priority(Main[[#This Row],[Comments]]),"")</f>
        <v/>
      </c>
      <c r="B1336" s="90" t="s">
        <v>2124</v>
      </c>
      <c r="C1336" s="72" t="s">
        <v>4</v>
      </c>
      <c r="D1336" s="73" t="s">
        <v>2929</v>
      </c>
      <c r="E1336" s="74">
        <v>40760.556030092594</v>
      </c>
      <c r="F1336" s="74"/>
      <c r="G1336" s="75" t="str">
        <f>IF(stdProdLT(Main[[#This Row],[Comments]])=0.1,"N/A",IF(stdProdLT(Main[[#This Row],[Comments]])=0,"",stdProdLT(Main[[#This Row],[Comments]])))</f>
        <v/>
      </c>
      <c r="H1336" s="76" t="str">
        <f>IF(AND(Main[[#This Row],[In Stock Date]]&lt;&gt;"",Main[[#This Row],[Revised Due Date]]&lt;&gt;""),Main[[#This Row],[In Stock Date]]-Main[[#This Row],[Revised Due Date]],"")</f>
        <v/>
      </c>
      <c r="I1336" s="72" t="s">
        <v>903</v>
      </c>
      <c r="J1336" s="72" t="s">
        <v>4</v>
      </c>
      <c r="K1336" s="81" t="s">
        <v>1949</v>
      </c>
      <c r="L1336" s="74">
        <v>40805</v>
      </c>
      <c r="M1336" s="77" t="str">
        <f>IF(Main[[#This Row],[Tech Start Date]]&lt;1/1/1990,"",IF(Main[[#This Row],[Class]]="C",WORKDAY(Main[[#This Row],[Tech Start Date]],9),IF(Main[[#This Row],[Class]]="B", WORKDAY(Main[[#This Row],[Tech Start Date]],6),IF(Main[[#This Row],[Class]]="A",WORKDAY(Main[[#This Row],[Tech Start Date]],2),""))))</f>
        <v/>
      </c>
      <c r="N1336" s="77" t="str">
        <f>IF(Main[[#This Row],[Tech Start Date]]&lt;1/1/1990,"",IF(Main[[#This Row],[Class]]="C",WORKDAY(Main[[#This Row],[Tech Start Date]],19),IF(Main[[#This Row],[Class]]="B", WORKDAY(Main[[#This Row],[Tech Start Date]],12),IF(Main[[#This Row],[Class]]="A",WORKDAY(Main[[#This Row],[Tech Start Date]],4),""))))</f>
        <v/>
      </c>
      <c r="O1336" s="77" t="str">
        <f>IF(Main[[#This Row],[Tech Start Date]]&lt;1/1/1990,"",IF(Main[[#This Row],[Class]]="C",WORKDAY(Main[[#This Row],[Tech Start Date]],23),IF(Main[[#This Row],[Class]]="B", WORKDAY(Main[[#This Row],[Tech Start Date]],15),IF(Main[[#This Row],[Class]]="A",WORKDAY(Main[[#This Row],[Tech Start Date]],5),""))))</f>
        <v/>
      </c>
      <c r="P1336" s="77" t="str">
        <f>IF(Main[[#This Row],[Tech Start Date]]&lt;1/1/1990,"",IF(Main[[#This Row],[Class]]="C",WORKDAY(Main[[#This Row],[Tech Start Date]],28),IF(Main[[#This Row],[Class]]="B", WORKDAY(Main[[#This Row],[Tech Start Date]],19),IF(Main[[#This Row],[Class]]="A",WORKDAY(Main[[#This Row],[Tech Start Date]],9),""))))</f>
        <v/>
      </c>
      <c r="Q1336" s="74"/>
      <c r="R1336" s="74">
        <v>41075</v>
      </c>
      <c r="S1336" s="72" t="s">
        <v>6</v>
      </c>
      <c r="T1336" s="80" t="s">
        <v>4</v>
      </c>
      <c r="U1336" s="72" t="s">
        <v>29</v>
      </c>
      <c r="V1336" s="72" t="s">
        <v>1937</v>
      </c>
      <c r="W1336" s="72" t="s">
        <v>1941</v>
      </c>
      <c r="X1336" s="72" t="s">
        <v>311</v>
      </c>
      <c r="Y1336" s="72" t="s">
        <v>4</v>
      </c>
      <c r="Z1336" s="72" t="s">
        <v>891</v>
      </c>
    </row>
    <row r="1337" spans="1:26" ht="18.600000000000001" customHeight="1">
      <c r="A1337" s="144" t="str">
        <f>IF(priority(Main[[#This Row],[Comments]])&lt;&gt;0, priority(Main[[#This Row],[Comments]]),"")</f>
        <v/>
      </c>
      <c r="B1337" s="91" t="s">
        <v>2681</v>
      </c>
      <c r="C1337" s="108" t="s">
        <v>524</v>
      </c>
      <c r="D1337" s="109" t="s">
        <v>2682</v>
      </c>
      <c r="E1337" s="110"/>
      <c r="F1337" s="110">
        <v>40854</v>
      </c>
      <c r="G1337" s="111">
        <f>IF(stdProdLT(Main[[#This Row],[Comments]])=0.1,"N/A",IF(stdProdLT(Main[[#This Row],[Comments]])=0,"",stdProdLT(Main[[#This Row],[Comments]])))</f>
        <v>98</v>
      </c>
      <c r="H1337" s="112">
        <f>IF(AND(Main[[#This Row],[In Stock Date]]&lt;&gt;"",Main[[#This Row],[Revised Due Date]]&lt;&gt;""),Main[[#This Row],[In Stock Date]]-Main[[#This Row],[Revised Due Date]],"")</f>
        <v>18</v>
      </c>
      <c r="I1337" s="108" t="s">
        <v>2071</v>
      </c>
      <c r="J1337" s="108" t="s">
        <v>28</v>
      </c>
      <c r="K1337" s="108" t="s">
        <v>1946</v>
      </c>
      <c r="L1337" s="110">
        <v>40821</v>
      </c>
      <c r="M1337" s="113">
        <f>IF(Main[[#This Row],[Tech Start Date]]&lt;1/1/1990,"",IF(Main[[#This Row],[Class]]="C",WORKDAY(Main[[#This Row],[Tech Start Date]],9),IF(Main[[#This Row],[Class]]="B", WORKDAY(Main[[#This Row],[Tech Start Date]],6),IF(Main[[#This Row],[Class]]="A",WORKDAY(Main[[#This Row],[Tech Start Date]],2),""))))</f>
        <v>40823</v>
      </c>
      <c r="N1337" s="113">
        <f>IF(Main[[#This Row],[Tech Start Date]]&lt;1/1/1990,"",IF(Main[[#This Row],[Class]]="C",WORKDAY(Main[[#This Row],[Tech Start Date]],19),IF(Main[[#This Row],[Class]]="B", WORKDAY(Main[[#This Row],[Tech Start Date]],12),IF(Main[[#This Row],[Class]]="A",WORKDAY(Main[[#This Row],[Tech Start Date]],4),""))))</f>
        <v>40827</v>
      </c>
      <c r="O1337" s="113">
        <f>IF(Main[[#This Row],[Tech Start Date]]&lt;1/1/1990,"",IF(Main[[#This Row],[Class]]="C",WORKDAY(Main[[#This Row],[Tech Start Date]],23),IF(Main[[#This Row],[Class]]="B", WORKDAY(Main[[#This Row],[Tech Start Date]],15),IF(Main[[#This Row],[Class]]="A",WORKDAY(Main[[#This Row],[Tech Start Date]],5),""))))</f>
        <v>40828</v>
      </c>
      <c r="P1337" s="113">
        <f>IF(Main[[#This Row],[Tech Start Date]]&lt;1/1/1990,"",IF(Main[[#This Row],[Class]]="C",WORKDAY(Main[[#This Row],[Tech Start Date]],28),IF(Main[[#This Row],[Class]]="B", WORKDAY(Main[[#This Row],[Tech Start Date]],19),IF(Main[[#This Row],[Class]]="A",WORKDAY(Main[[#This Row],[Tech Start Date]],9),""))))</f>
        <v>40834</v>
      </c>
      <c r="Q1337" s="110"/>
      <c r="R1337" s="110">
        <v>40836</v>
      </c>
      <c r="S1337" s="108" t="s">
        <v>11</v>
      </c>
      <c r="T1337" s="114" t="s">
        <v>2683</v>
      </c>
      <c r="U1337" s="108" t="s">
        <v>14</v>
      </c>
      <c r="V1337" s="108" t="s">
        <v>1940</v>
      </c>
      <c r="W1337" s="108" t="s">
        <v>1945</v>
      </c>
      <c r="X1337" s="72" t="s">
        <v>50</v>
      </c>
      <c r="Y1337" s="72" t="s">
        <v>3317</v>
      </c>
      <c r="Z1337" s="72" t="s">
        <v>536</v>
      </c>
    </row>
    <row r="1338" spans="1:26" ht="18.600000000000001" customHeight="1">
      <c r="A1338" s="142" t="str">
        <f>IF(priority(Main[[#This Row],[Comments]])&lt;&gt;0, priority(Main[[#This Row],[Comments]]),"")</f>
        <v/>
      </c>
      <c r="B1338" s="90" t="s">
        <v>2684</v>
      </c>
      <c r="C1338" s="72" t="s">
        <v>116</v>
      </c>
      <c r="D1338" s="73" t="s">
        <v>2685</v>
      </c>
      <c r="E1338" s="74">
        <v>40823.419490740744</v>
      </c>
      <c r="F1338" s="74"/>
      <c r="G1338" s="75" t="str">
        <f>IF(stdProdLT(Main[[#This Row],[Comments]])=0.1,"N/A",IF(stdProdLT(Main[[#This Row],[Comments]])=0,"",stdProdLT(Main[[#This Row],[Comments]])))</f>
        <v/>
      </c>
      <c r="H1338" s="76" t="str">
        <f>IF(AND(Main[[#This Row],[In Stock Date]]&lt;&gt;"",Main[[#This Row],[Revised Due Date]]&lt;&gt;""),Main[[#This Row],[In Stock Date]]-Main[[#This Row],[Revised Due Date]],"")</f>
        <v/>
      </c>
      <c r="I1338" s="72" t="s">
        <v>242</v>
      </c>
      <c r="J1338" s="72" t="s">
        <v>21</v>
      </c>
      <c r="K1338" s="72" t="s">
        <v>1944</v>
      </c>
      <c r="L1338" s="74">
        <v>40823</v>
      </c>
      <c r="M1338" s="77">
        <f>IF(Main[[#This Row],[Tech Start Date]]&lt;1/1/1990,"",IF(Main[[#This Row],[Class]]="C",WORKDAY(Main[[#This Row],[Tech Start Date]],9),IF(Main[[#This Row],[Class]]="B", WORKDAY(Main[[#This Row],[Tech Start Date]],6),IF(Main[[#This Row],[Class]]="A",WORKDAY(Main[[#This Row],[Tech Start Date]],2),""))))</f>
        <v>40833</v>
      </c>
      <c r="N1338" s="77">
        <f>IF(Main[[#This Row],[Tech Start Date]]&lt;1/1/1990,"",IF(Main[[#This Row],[Class]]="C",WORKDAY(Main[[#This Row],[Tech Start Date]],19),IF(Main[[#This Row],[Class]]="B", WORKDAY(Main[[#This Row],[Tech Start Date]],12),IF(Main[[#This Row],[Class]]="A",WORKDAY(Main[[#This Row],[Tech Start Date]],4),""))))</f>
        <v>40841</v>
      </c>
      <c r="O1338" s="77">
        <f>IF(Main[[#This Row],[Tech Start Date]]&lt;1/1/1990,"",IF(Main[[#This Row],[Class]]="C",WORKDAY(Main[[#This Row],[Tech Start Date]],23),IF(Main[[#This Row],[Class]]="B", WORKDAY(Main[[#This Row],[Tech Start Date]],15),IF(Main[[#This Row],[Class]]="A",WORKDAY(Main[[#This Row],[Tech Start Date]],5),""))))</f>
        <v>40844</v>
      </c>
      <c r="P1338" s="77">
        <f>IF(Main[[#This Row],[Tech Start Date]]&lt;1/1/1990,"",IF(Main[[#This Row],[Class]]="C",WORKDAY(Main[[#This Row],[Tech Start Date]],28),IF(Main[[#This Row],[Class]]="B", WORKDAY(Main[[#This Row],[Tech Start Date]],19),IF(Main[[#This Row],[Class]]="A",WORKDAY(Main[[#This Row],[Tech Start Date]],9),""))))</f>
        <v>40850</v>
      </c>
      <c r="Q1338" s="74"/>
      <c r="R1338" s="74">
        <v>40837</v>
      </c>
      <c r="S1338" s="72" t="s">
        <v>6</v>
      </c>
      <c r="T1338" s="80" t="s">
        <v>4</v>
      </c>
      <c r="U1338" s="72" t="s">
        <v>29</v>
      </c>
      <c r="V1338" s="72" t="s">
        <v>1940</v>
      </c>
      <c r="W1338" s="72" t="s">
        <v>1941</v>
      </c>
      <c r="X1338" s="72" t="s">
        <v>2071</v>
      </c>
      <c r="Y1338" s="72" t="s">
        <v>3318</v>
      </c>
      <c r="Z1338" s="72" t="s">
        <v>536</v>
      </c>
    </row>
    <row r="1339" spans="1:26" ht="18.600000000000001" customHeight="1">
      <c r="A1339" s="144" t="str">
        <f>IF(priority(Main[[#This Row],[Comments]])&lt;&gt;0, priority(Main[[#This Row],[Comments]]),"")</f>
        <v/>
      </c>
      <c r="B1339" s="91" t="s">
        <v>2688</v>
      </c>
      <c r="C1339" s="72" t="s">
        <v>116</v>
      </c>
      <c r="D1339" s="73" t="s">
        <v>2689</v>
      </c>
      <c r="E1339" s="74"/>
      <c r="F1339" s="74"/>
      <c r="G1339" s="75" t="str">
        <f>IF(stdProdLT(Main[[#This Row],[Comments]])=0.1,"N/A",IF(stdProdLT(Main[[#This Row],[Comments]])=0,"",stdProdLT(Main[[#This Row],[Comments]])))</f>
        <v>N/A</v>
      </c>
      <c r="H1339" s="76" t="str">
        <f>IF(AND(Main[[#This Row],[In Stock Date]]&lt;&gt;"",Main[[#This Row],[Revised Due Date]]&lt;&gt;""),Main[[#This Row],[In Stock Date]]-Main[[#This Row],[Revised Due Date]],"")</f>
        <v/>
      </c>
      <c r="I1339" s="72" t="s">
        <v>173</v>
      </c>
      <c r="J1339" s="72" t="s">
        <v>2003</v>
      </c>
      <c r="K1339" s="72" t="s">
        <v>1946</v>
      </c>
      <c r="L1339" s="74">
        <v>40835</v>
      </c>
      <c r="M1339" s="77">
        <f>IF(Main[[#This Row],[Tech Start Date]]&lt;1/1/1990,"",IF(Main[[#This Row],[Class]]="C",WORKDAY(Main[[#This Row],[Tech Start Date]],9),IF(Main[[#This Row],[Class]]="B", WORKDAY(Main[[#This Row],[Tech Start Date]],6),IF(Main[[#This Row],[Class]]="A",WORKDAY(Main[[#This Row],[Tech Start Date]],2),""))))</f>
        <v>40837</v>
      </c>
      <c r="N1339" s="77">
        <f>IF(Main[[#This Row],[Tech Start Date]]&lt;1/1/1990,"",IF(Main[[#This Row],[Class]]="C",WORKDAY(Main[[#This Row],[Tech Start Date]],19),IF(Main[[#This Row],[Class]]="B", WORKDAY(Main[[#This Row],[Tech Start Date]],12),IF(Main[[#This Row],[Class]]="A",WORKDAY(Main[[#This Row],[Tech Start Date]],4),""))))</f>
        <v>40841</v>
      </c>
      <c r="O1339" s="77">
        <f>IF(Main[[#This Row],[Tech Start Date]]&lt;1/1/1990,"",IF(Main[[#This Row],[Class]]="C",WORKDAY(Main[[#This Row],[Tech Start Date]],23),IF(Main[[#This Row],[Class]]="B", WORKDAY(Main[[#This Row],[Tech Start Date]],15),IF(Main[[#This Row],[Class]]="A",WORKDAY(Main[[#This Row],[Tech Start Date]],5),""))))</f>
        <v>40842</v>
      </c>
      <c r="P1339" s="77">
        <f>IF(Main[[#This Row],[Tech Start Date]]&lt;1/1/1990,"",IF(Main[[#This Row],[Class]]="C",WORKDAY(Main[[#This Row],[Tech Start Date]],28),IF(Main[[#This Row],[Class]]="B", WORKDAY(Main[[#This Row],[Tech Start Date]],19),IF(Main[[#This Row],[Class]]="A",WORKDAY(Main[[#This Row],[Tech Start Date]],9),""))))</f>
        <v>40848</v>
      </c>
      <c r="Q1339" s="74">
        <v>40954</v>
      </c>
      <c r="R1339" s="74">
        <v>40850</v>
      </c>
      <c r="S1339" s="72" t="s">
        <v>11</v>
      </c>
      <c r="T1339" s="80" t="s">
        <v>2690</v>
      </c>
      <c r="U1339" s="72" t="s">
        <v>14</v>
      </c>
      <c r="V1339" s="72" t="s">
        <v>1940</v>
      </c>
      <c r="W1339" s="72" t="s">
        <v>1941</v>
      </c>
      <c r="X1339" s="72" t="s">
        <v>560</v>
      </c>
      <c r="Y1339" s="108" t="s">
        <v>3110</v>
      </c>
      <c r="Z1339" s="108" t="s">
        <v>536</v>
      </c>
    </row>
    <row r="1340" spans="1:26" ht="18.600000000000001" customHeight="1">
      <c r="A1340" s="144" t="str">
        <f>IF(priority(Main[[#This Row],[Comments]])&lt;&gt;0, priority(Main[[#This Row],[Comments]]),"")</f>
        <v/>
      </c>
      <c r="B1340" s="91" t="s">
        <v>2692</v>
      </c>
      <c r="C1340" s="108" t="s">
        <v>4</v>
      </c>
      <c r="D1340" s="109" t="s">
        <v>2961</v>
      </c>
      <c r="E1340" s="110">
        <v>40848.357997685183</v>
      </c>
      <c r="F1340" s="110"/>
      <c r="G1340" s="111" t="str">
        <f>IF(stdProdLT(Main[[#This Row],[Comments]])=0.1,"N/A",IF(stdProdLT(Main[[#This Row],[Comments]])=0,"",stdProdLT(Main[[#This Row],[Comments]])))</f>
        <v/>
      </c>
      <c r="H1340" s="112" t="str">
        <f>IF(AND(Main[[#This Row],[In Stock Date]]&lt;&gt;"",Main[[#This Row],[Revised Due Date]]&lt;&gt;""),Main[[#This Row],[In Stock Date]]-Main[[#This Row],[Revised Due Date]],"")</f>
        <v/>
      </c>
      <c r="I1340" s="108" t="s">
        <v>2693</v>
      </c>
      <c r="J1340" s="108" t="s">
        <v>28</v>
      </c>
      <c r="K1340" s="147" t="s">
        <v>1949</v>
      </c>
      <c r="L1340" s="110">
        <v>40840</v>
      </c>
      <c r="M1340" s="113" t="str">
        <f>IF(Main[[#This Row],[Tech Start Date]]&lt;1/1/1990,"",IF(Main[[#This Row],[Class]]="C",WORKDAY(Main[[#This Row],[Tech Start Date]],9),IF(Main[[#This Row],[Class]]="B", WORKDAY(Main[[#This Row],[Tech Start Date]],6),IF(Main[[#This Row],[Class]]="A",WORKDAY(Main[[#This Row],[Tech Start Date]],2),""))))</f>
        <v/>
      </c>
      <c r="N1340" s="113" t="str">
        <f>IF(Main[[#This Row],[Tech Start Date]]&lt;1/1/1990,"",IF(Main[[#This Row],[Class]]="C",WORKDAY(Main[[#This Row],[Tech Start Date]],19),IF(Main[[#This Row],[Class]]="B", WORKDAY(Main[[#This Row],[Tech Start Date]],12),IF(Main[[#This Row],[Class]]="A",WORKDAY(Main[[#This Row],[Tech Start Date]],4),""))))</f>
        <v/>
      </c>
      <c r="O1340" s="113" t="str">
        <f>IF(Main[[#This Row],[Tech Start Date]]&lt;1/1/1990,"",IF(Main[[#This Row],[Class]]="C",WORKDAY(Main[[#This Row],[Tech Start Date]],23),IF(Main[[#This Row],[Class]]="B", WORKDAY(Main[[#This Row],[Tech Start Date]],15),IF(Main[[#This Row],[Class]]="A",WORKDAY(Main[[#This Row],[Tech Start Date]],5),""))))</f>
        <v/>
      </c>
      <c r="P1340" s="113" t="str">
        <f>IF(Main[[#This Row],[Tech Start Date]]&lt;1/1/1990,"",IF(Main[[#This Row],[Class]]="C",WORKDAY(Main[[#This Row],[Tech Start Date]],28),IF(Main[[#This Row],[Class]]="B", WORKDAY(Main[[#This Row],[Tech Start Date]],19),IF(Main[[#This Row],[Class]]="A",WORKDAY(Main[[#This Row],[Tech Start Date]],9),""))))</f>
        <v/>
      </c>
      <c r="Q1340" s="110">
        <v>40998</v>
      </c>
      <c r="R1340" s="110">
        <v>40998</v>
      </c>
      <c r="S1340" s="108" t="s">
        <v>17</v>
      </c>
      <c r="T1340" s="114" t="s">
        <v>4</v>
      </c>
      <c r="U1340" s="108" t="s">
        <v>29</v>
      </c>
      <c r="V1340" s="108" t="s">
        <v>1937</v>
      </c>
      <c r="W1340" s="108" t="s">
        <v>1942</v>
      </c>
      <c r="X1340" s="108" t="s">
        <v>891</v>
      </c>
      <c r="Y1340" s="108" t="s">
        <v>3167</v>
      </c>
      <c r="Z1340" s="108" t="s">
        <v>891</v>
      </c>
    </row>
    <row r="1341" spans="1:26" ht="18.600000000000001" customHeight="1">
      <c r="A1341" s="144" t="str">
        <f>IF(priority(Main[[#This Row],[Comments]])&lt;&gt;0, priority(Main[[#This Row],[Comments]]),"")</f>
        <v/>
      </c>
      <c r="B1341" s="91" t="s">
        <v>2694</v>
      </c>
      <c r="C1341" s="72" t="s">
        <v>2627</v>
      </c>
      <c r="D1341" s="73" t="s">
        <v>2936</v>
      </c>
      <c r="E1341" s="74">
        <v>40847.264097222222</v>
      </c>
      <c r="F1341" s="74">
        <v>40983</v>
      </c>
      <c r="G1341" s="75" t="str">
        <f>IF(stdProdLT(Main[[#This Row],[Comments]])=0.1,"N/A",IF(stdProdLT(Main[[#This Row],[Comments]])=0,"",stdProdLT(Main[[#This Row],[Comments]])))</f>
        <v>N/A</v>
      </c>
      <c r="H1341" s="76">
        <f>IF(AND(Main[[#This Row],[In Stock Date]]&lt;&gt;"",Main[[#This Row],[Revised Due Date]]&lt;&gt;""),Main[[#This Row],[In Stock Date]]-Main[[#This Row],[Revised Due Date]],"")</f>
        <v>41</v>
      </c>
      <c r="I1341" s="72" t="s">
        <v>927</v>
      </c>
      <c r="J1341" s="72" t="s">
        <v>28</v>
      </c>
      <c r="K1341" s="72" t="s">
        <v>1950</v>
      </c>
      <c r="L1341" s="74">
        <v>40848</v>
      </c>
      <c r="M1341" s="77">
        <f>IF(Main[[#This Row],[Tech Start Date]]&lt;1/1/1990,"",IF(Main[[#This Row],[Class]]="C",WORKDAY(Main[[#This Row],[Tech Start Date]],9),IF(Main[[#This Row],[Class]]="B", WORKDAY(Main[[#This Row],[Tech Start Date]],6),IF(Main[[#This Row],[Class]]="A",WORKDAY(Main[[#This Row],[Tech Start Date]],2),""))))</f>
        <v>40861</v>
      </c>
      <c r="N1341" s="77">
        <f>IF(Main[[#This Row],[Tech Start Date]]&lt;1/1/1990,"",IF(Main[[#This Row],[Class]]="C",WORKDAY(Main[[#This Row],[Tech Start Date]],19),IF(Main[[#This Row],[Class]]="B", WORKDAY(Main[[#This Row],[Tech Start Date]],12),IF(Main[[#This Row],[Class]]="A",WORKDAY(Main[[#This Row],[Tech Start Date]],4),""))))</f>
        <v>40875</v>
      </c>
      <c r="O1341" s="77">
        <f>IF(Main[[#This Row],[Tech Start Date]]&lt;1/1/1990,"",IF(Main[[#This Row],[Class]]="C",WORKDAY(Main[[#This Row],[Tech Start Date]],23),IF(Main[[#This Row],[Class]]="B", WORKDAY(Main[[#This Row],[Tech Start Date]],15),IF(Main[[#This Row],[Class]]="A",WORKDAY(Main[[#This Row],[Tech Start Date]],5),""))))</f>
        <v>40879</v>
      </c>
      <c r="P1341" s="77">
        <f>IF(Main[[#This Row],[Tech Start Date]]&lt;1/1/1990,"",IF(Main[[#This Row],[Class]]="C",WORKDAY(Main[[#This Row],[Tech Start Date]],28),IF(Main[[#This Row],[Class]]="B", WORKDAY(Main[[#This Row],[Tech Start Date]],19),IF(Main[[#This Row],[Class]]="A",WORKDAY(Main[[#This Row],[Tech Start Date]],9),""))))</f>
        <v>40886</v>
      </c>
      <c r="Q1341" s="74">
        <v>40885</v>
      </c>
      <c r="R1341" s="74">
        <v>40942</v>
      </c>
      <c r="S1341" s="72" t="s">
        <v>11</v>
      </c>
      <c r="T1341" s="80" t="s">
        <v>3467</v>
      </c>
      <c r="U1341" s="72" t="s">
        <v>540</v>
      </c>
      <c r="V1341" s="72" t="s">
        <v>1937</v>
      </c>
      <c r="W1341" s="72" t="s">
        <v>1945</v>
      </c>
      <c r="X1341" s="72" t="s">
        <v>3056</v>
      </c>
      <c r="Y1341" s="108" t="s">
        <v>3319</v>
      </c>
      <c r="Z1341" s="108" t="s">
        <v>129</v>
      </c>
    </row>
    <row r="1342" spans="1:26" ht="18.600000000000001" customHeight="1">
      <c r="A1342" s="145" t="str">
        <f>IF(priority(Main[[#This Row],[Comments]])&lt;&gt;0, priority(Main[[#This Row],[Comments]]),"")</f>
        <v/>
      </c>
      <c r="B1342" s="130" t="s">
        <v>2699</v>
      </c>
      <c r="C1342" s="108" t="s">
        <v>2700</v>
      </c>
      <c r="D1342" s="109" t="s">
        <v>2701</v>
      </c>
      <c r="E1342" s="110"/>
      <c r="F1342" s="110"/>
      <c r="G1342" s="111" t="str">
        <f>IF(stdProdLT(Main[[#This Row],[Comments]])=0.1,"N/A",IF(stdProdLT(Main[[#This Row],[Comments]])=0,"",stdProdLT(Main[[#This Row],[Comments]])))</f>
        <v/>
      </c>
      <c r="H1342" s="112" t="str">
        <f>IF(AND(Main[[#This Row],[In Stock Date]]&lt;&gt;"",Main[[#This Row],[Revised Due Date]]&lt;&gt;""),Main[[#This Row],[In Stock Date]]-Main[[#This Row],[Revised Due Date]],"")</f>
        <v/>
      </c>
      <c r="I1342" s="108" t="s">
        <v>2071</v>
      </c>
      <c r="J1342" s="108" t="s">
        <v>28</v>
      </c>
      <c r="K1342" s="108" t="s">
        <v>1946</v>
      </c>
      <c r="L1342" s="110">
        <v>40848</v>
      </c>
      <c r="M1342" s="113">
        <f>IF(Main[[#This Row],[Tech Start Date]]&lt;1/1/1990,"",IF(Main[[#This Row],[Class]]="C",WORKDAY(Main[[#This Row],[Tech Start Date]],9),IF(Main[[#This Row],[Class]]="B", WORKDAY(Main[[#This Row],[Tech Start Date]],6),IF(Main[[#This Row],[Class]]="A",WORKDAY(Main[[#This Row],[Tech Start Date]],2),""))))</f>
        <v>40850</v>
      </c>
      <c r="N1342" s="113">
        <f>IF(Main[[#This Row],[Tech Start Date]]&lt;1/1/1990,"",IF(Main[[#This Row],[Class]]="C",WORKDAY(Main[[#This Row],[Tech Start Date]],19),IF(Main[[#This Row],[Class]]="B", WORKDAY(Main[[#This Row],[Tech Start Date]],12),IF(Main[[#This Row],[Class]]="A",WORKDAY(Main[[#This Row],[Tech Start Date]],4),""))))</f>
        <v>40854</v>
      </c>
      <c r="O1342" s="113">
        <f>IF(Main[[#This Row],[Tech Start Date]]&lt;1/1/1990,"",IF(Main[[#This Row],[Class]]="C",WORKDAY(Main[[#This Row],[Tech Start Date]],23),IF(Main[[#This Row],[Class]]="B", WORKDAY(Main[[#This Row],[Tech Start Date]],15),IF(Main[[#This Row],[Class]]="A",WORKDAY(Main[[#This Row],[Tech Start Date]],5),""))))</f>
        <v>40855</v>
      </c>
      <c r="P1342" s="113">
        <f>IF(Main[[#This Row],[Tech Start Date]]&lt;1/1/1990,"",IF(Main[[#This Row],[Class]]="C",WORKDAY(Main[[#This Row],[Tech Start Date]],28),IF(Main[[#This Row],[Class]]="B", WORKDAY(Main[[#This Row],[Tech Start Date]],19),IF(Main[[#This Row],[Class]]="A",WORKDAY(Main[[#This Row],[Tech Start Date]],9),""))))</f>
        <v>40861</v>
      </c>
      <c r="Q1342" s="110">
        <v>40849</v>
      </c>
      <c r="R1342" s="110">
        <v>40863</v>
      </c>
      <c r="S1342" s="108" t="s">
        <v>11</v>
      </c>
      <c r="T1342" s="114" t="s">
        <v>4</v>
      </c>
      <c r="U1342" s="108" t="s">
        <v>14</v>
      </c>
      <c r="V1342" s="108" t="s">
        <v>1947</v>
      </c>
      <c r="W1342" s="108" t="s">
        <v>1945</v>
      </c>
      <c r="X1342" s="108" t="s">
        <v>2996</v>
      </c>
      <c r="Y1342" s="131" t="s">
        <v>3135</v>
      </c>
      <c r="Z1342" s="131" t="s">
        <v>536</v>
      </c>
    </row>
    <row r="1343" spans="1:26" ht="18.600000000000001" customHeight="1">
      <c r="A1343" s="144" t="str">
        <f>IF(priority(Main[[#This Row],[Comments]])&lt;&gt;0, priority(Main[[#This Row],[Comments]]),"")</f>
        <v/>
      </c>
      <c r="B1343" s="91" t="s">
        <v>2708</v>
      </c>
      <c r="C1343" s="72" t="s">
        <v>4</v>
      </c>
      <c r="D1343" s="73" t="s">
        <v>2709</v>
      </c>
      <c r="E1343" s="74">
        <v>40848.726550925923</v>
      </c>
      <c r="F1343" s="74"/>
      <c r="G1343" s="75" t="str">
        <f>IF(stdProdLT(Main[[#This Row],[Comments]])=0.1,"N/A",IF(stdProdLT(Main[[#This Row],[Comments]])=0,"",stdProdLT(Main[[#This Row],[Comments]])))</f>
        <v/>
      </c>
      <c r="H1343" s="76" t="str">
        <f>IF(AND(Main[[#This Row],[In Stock Date]]&lt;&gt;"",Main[[#This Row],[Revised Due Date]]&lt;&gt;""),Main[[#This Row],[In Stock Date]]-Main[[#This Row],[Revised Due Date]],"")</f>
        <v/>
      </c>
      <c r="I1343" s="72" t="s">
        <v>69</v>
      </c>
      <c r="J1343" s="72" t="s">
        <v>28</v>
      </c>
      <c r="K1343" s="81" t="s">
        <v>1946</v>
      </c>
      <c r="L1343" s="74">
        <v>40849</v>
      </c>
      <c r="M1343" s="77">
        <f>IF(Main[[#This Row],[Tech Start Date]]&lt;1/1/1990,"",IF(Main[[#This Row],[Class]]="C",WORKDAY(Main[[#This Row],[Tech Start Date]],9),IF(Main[[#This Row],[Class]]="B", WORKDAY(Main[[#This Row],[Tech Start Date]],6),IF(Main[[#This Row],[Class]]="A",WORKDAY(Main[[#This Row],[Tech Start Date]],2),""))))</f>
        <v>40851</v>
      </c>
      <c r="N1343" s="77">
        <f>IF(Main[[#This Row],[Tech Start Date]]&lt;1/1/1990,"",IF(Main[[#This Row],[Class]]="C",WORKDAY(Main[[#This Row],[Tech Start Date]],19),IF(Main[[#This Row],[Class]]="B", WORKDAY(Main[[#This Row],[Tech Start Date]],12),IF(Main[[#This Row],[Class]]="A",WORKDAY(Main[[#This Row],[Tech Start Date]],4),""))))</f>
        <v>40855</v>
      </c>
      <c r="O1343" s="77">
        <f>IF(Main[[#This Row],[Tech Start Date]]&lt;1/1/1990,"",IF(Main[[#This Row],[Class]]="C",WORKDAY(Main[[#This Row],[Tech Start Date]],23),IF(Main[[#This Row],[Class]]="B", WORKDAY(Main[[#This Row],[Tech Start Date]],15),IF(Main[[#This Row],[Class]]="A",WORKDAY(Main[[#This Row],[Tech Start Date]],5),""))))</f>
        <v>40856</v>
      </c>
      <c r="P1343" s="77">
        <f>IF(Main[[#This Row],[Tech Start Date]]&lt;1/1/1990,"",IF(Main[[#This Row],[Class]]="C",WORKDAY(Main[[#This Row],[Tech Start Date]],28),IF(Main[[#This Row],[Class]]="B", WORKDAY(Main[[#This Row],[Tech Start Date]],19),IF(Main[[#This Row],[Class]]="A",WORKDAY(Main[[#This Row],[Tech Start Date]],9),""))))</f>
        <v>40862</v>
      </c>
      <c r="Q1343" s="74"/>
      <c r="R1343" s="74">
        <v>40864</v>
      </c>
      <c r="S1343" s="72" t="s">
        <v>6</v>
      </c>
      <c r="T1343" s="80" t="s">
        <v>4</v>
      </c>
      <c r="U1343" s="72" t="s">
        <v>29</v>
      </c>
      <c r="V1343" s="72" t="s">
        <v>1947</v>
      </c>
      <c r="W1343" s="72" t="s">
        <v>1951</v>
      </c>
      <c r="X1343" s="72" t="s">
        <v>2993</v>
      </c>
      <c r="Y1343" s="108" t="s">
        <v>3129</v>
      </c>
      <c r="Z1343" s="108" t="s">
        <v>3017</v>
      </c>
    </row>
    <row r="1344" spans="1:26" ht="18.600000000000001" customHeight="1">
      <c r="A1344" s="145" t="str">
        <f>IF(priority(Main[[#This Row],[Comments]])&lt;&gt;0, priority(Main[[#This Row],[Comments]]),"")</f>
        <v/>
      </c>
      <c r="B1344" s="130" t="s">
        <v>1696</v>
      </c>
      <c r="C1344" s="72" t="s">
        <v>4</v>
      </c>
      <c r="D1344" s="73" t="s">
        <v>2713</v>
      </c>
      <c r="E1344" s="74">
        <v>40647.529861111114</v>
      </c>
      <c r="F1344" s="74"/>
      <c r="G1344" s="75" t="str">
        <f>IF(stdProdLT(Main[[#This Row],[Comments]])=0.1,"N/A",IF(stdProdLT(Main[[#This Row],[Comments]])=0,"",stdProdLT(Main[[#This Row],[Comments]])))</f>
        <v/>
      </c>
      <c r="H1344" s="76" t="str">
        <f>IF(AND(Main[[#This Row],[In Stock Date]]&lt;&gt;"",Main[[#This Row],[Revised Due Date]]&lt;&gt;""),Main[[#This Row],[In Stock Date]]-Main[[#This Row],[Revised Due Date]],"")</f>
        <v/>
      </c>
      <c r="I1344" s="72" t="s">
        <v>891</v>
      </c>
      <c r="J1344" s="72" t="s">
        <v>4</v>
      </c>
      <c r="K1344" s="72" t="s">
        <v>1946</v>
      </c>
      <c r="L1344" s="74">
        <v>40856</v>
      </c>
      <c r="M1344" s="77">
        <f>IF(Main[[#This Row],[Tech Start Date]]&lt;1/1/1990,"",IF(Main[[#This Row],[Class]]="C",WORKDAY(Main[[#This Row],[Tech Start Date]],9),IF(Main[[#This Row],[Class]]="B", WORKDAY(Main[[#This Row],[Tech Start Date]],6),IF(Main[[#This Row],[Class]]="A",WORKDAY(Main[[#This Row],[Tech Start Date]],2),""))))</f>
        <v>40858</v>
      </c>
      <c r="N1344" s="77">
        <f>IF(Main[[#This Row],[Tech Start Date]]&lt;1/1/1990,"",IF(Main[[#This Row],[Class]]="C",WORKDAY(Main[[#This Row],[Tech Start Date]],19),IF(Main[[#This Row],[Class]]="B", WORKDAY(Main[[#This Row],[Tech Start Date]],12),IF(Main[[#This Row],[Class]]="A",WORKDAY(Main[[#This Row],[Tech Start Date]],4),""))))</f>
        <v>40862</v>
      </c>
      <c r="O1344" s="77">
        <f>IF(Main[[#This Row],[Tech Start Date]]&lt;1/1/1990,"",IF(Main[[#This Row],[Class]]="C",WORKDAY(Main[[#This Row],[Tech Start Date]],23),IF(Main[[#This Row],[Class]]="B", WORKDAY(Main[[#This Row],[Tech Start Date]],15),IF(Main[[#This Row],[Class]]="A",WORKDAY(Main[[#This Row],[Tech Start Date]],5),""))))</f>
        <v>40863</v>
      </c>
      <c r="P1344" s="77">
        <f>IF(Main[[#This Row],[Tech Start Date]]&lt;1/1/1990,"",IF(Main[[#This Row],[Class]]="C",WORKDAY(Main[[#This Row],[Tech Start Date]],28),IF(Main[[#This Row],[Class]]="B", WORKDAY(Main[[#This Row],[Tech Start Date]],19),IF(Main[[#This Row],[Class]]="A",WORKDAY(Main[[#This Row],[Tech Start Date]],9),""))))</f>
        <v>40869</v>
      </c>
      <c r="Q1344" s="74">
        <v>40877</v>
      </c>
      <c r="R1344" s="74">
        <v>40883</v>
      </c>
      <c r="S1344" s="72" t="s">
        <v>6</v>
      </c>
      <c r="T1344" s="80" t="s">
        <v>2714</v>
      </c>
      <c r="U1344" s="72" t="s">
        <v>29</v>
      </c>
      <c r="V1344" s="72" t="s">
        <v>1937</v>
      </c>
      <c r="W1344" s="72" t="s">
        <v>1939</v>
      </c>
      <c r="X1344" s="72" t="s">
        <v>937</v>
      </c>
      <c r="Y1344" s="131" t="s">
        <v>3140</v>
      </c>
      <c r="Z1344" s="131" t="s">
        <v>129</v>
      </c>
    </row>
    <row r="1345" spans="1:26" ht="18.600000000000001" customHeight="1">
      <c r="A1345" s="145" t="str">
        <f>IF(priority(Main[[#This Row],[Comments]])&lt;&gt;0, priority(Main[[#This Row],[Comments]]),"")</f>
        <v/>
      </c>
      <c r="B1345" s="130" t="s">
        <v>2715</v>
      </c>
      <c r="C1345" s="72" t="s">
        <v>4</v>
      </c>
      <c r="D1345" s="73" t="s">
        <v>2716</v>
      </c>
      <c r="E1345" s="74">
        <v>40864.413506944446</v>
      </c>
      <c r="F1345" s="74"/>
      <c r="G1345" s="75" t="str">
        <f>IF(stdProdLT(Main[[#This Row],[Comments]])=0.1,"N/A",IF(stdProdLT(Main[[#This Row],[Comments]])=0,"",stdProdLT(Main[[#This Row],[Comments]])))</f>
        <v/>
      </c>
      <c r="H1345" s="76" t="str">
        <f>IF(AND(Main[[#This Row],[In Stock Date]]&lt;&gt;"",Main[[#This Row],[Revised Due Date]]&lt;&gt;""),Main[[#This Row],[In Stock Date]]-Main[[#This Row],[Revised Due Date]],"")</f>
        <v/>
      </c>
      <c r="I1345" s="72" t="s">
        <v>957</v>
      </c>
      <c r="J1345" s="72" t="s">
        <v>28</v>
      </c>
      <c r="K1345" s="72" t="s">
        <v>1946</v>
      </c>
      <c r="L1345" s="74">
        <v>40864</v>
      </c>
      <c r="M1345" s="77">
        <f>IF(Main[[#This Row],[Tech Start Date]]&lt;1/1/1990,"",IF(Main[[#This Row],[Class]]="C",WORKDAY(Main[[#This Row],[Tech Start Date]],9),IF(Main[[#This Row],[Class]]="B", WORKDAY(Main[[#This Row],[Tech Start Date]],6),IF(Main[[#This Row],[Class]]="A",WORKDAY(Main[[#This Row],[Tech Start Date]],2),""))))</f>
        <v>40868</v>
      </c>
      <c r="N1345" s="77">
        <f>IF(Main[[#This Row],[Tech Start Date]]&lt;1/1/1990,"",IF(Main[[#This Row],[Class]]="C",WORKDAY(Main[[#This Row],[Tech Start Date]],19),IF(Main[[#This Row],[Class]]="B", WORKDAY(Main[[#This Row],[Tech Start Date]],12),IF(Main[[#This Row],[Class]]="A",WORKDAY(Main[[#This Row],[Tech Start Date]],4),""))))</f>
        <v>40870</v>
      </c>
      <c r="O1345" s="77">
        <f>IF(Main[[#This Row],[Tech Start Date]]&lt;1/1/1990,"",IF(Main[[#This Row],[Class]]="C",WORKDAY(Main[[#This Row],[Tech Start Date]],23),IF(Main[[#This Row],[Class]]="B", WORKDAY(Main[[#This Row],[Tech Start Date]],15),IF(Main[[#This Row],[Class]]="A",WORKDAY(Main[[#This Row],[Tech Start Date]],5),""))))</f>
        <v>40871</v>
      </c>
      <c r="P1345" s="77">
        <f>IF(Main[[#This Row],[Tech Start Date]]&lt;1/1/1990,"",IF(Main[[#This Row],[Class]]="C",WORKDAY(Main[[#This Row],[Tech Start Date]],28),IF(Main[[#This Row],[Class]]="B", WORKDAY(Main[[#This Row],[Tech Start Date]],19),IF(Main[[#This Row],[Class]]="A",WORKDAY(Main[[#This Row],[Tech Start Date]],9),""))))</f>
        <v>40877</v>
      </c>
      <c r="Q1345" s="74"/>
      <c r="R1345" s="74">
        <v>40877</v>
      </c>
      <c r="S1345" s="72" t="s">
        <v>6</v>
      </c>
      <c r="T1345" s="80" t="s">
        <v>4</v>
      </c>
      <c r="U1345" s="72" t="s">
        <v>29</v>
      </c>
      <c r="V1345" s="72" t="s">
        <v>1938</v>
      </c>
      <c r="W1345" s="72" t="s">
        <v>1941</v>
      </c>
      <c r="X1345" s="72" t="s">
        <v>957</v>
      </c>
      <c r="Y1345" s="131" t="s">
        <v>3153</v>
      </c>
      <c r="Z1345" s="131" t="s">
        <v>2080</v>
      </c>
    </row>
    <row r="1346" spans="1:26" ht="18.600000000000001" customHeight="1">
      <c r="A1346" s="145" t="str">
        <f>IF(priority(Main[[#This Row],[Comments]])&lt;&gt;0, priority(Main[[#This Row],[Comments]]),"")</f>
        <v/>
      </c>
      <c r="B1346" s="130" t="s">
        <v>2717</v>
      </c>
      <c r="C1346" s="108" t="s">
        <v>72</v>
      </c>
      <c r="D1346" s="109" t="s">
        <v>2718</v>
      </c>
      <c r="E1346" s="110"/>
      <c r="F1346" s="110"/>
      <c r="G1346" s="111" t="str">
        <f>IF(stdProdLT(Main[[#This Row],[Comments]])=0.1,"N/A",IF(stdProdLT(Main[[#This Row],[Comments]])=0,"",stdProdLT(Main[[#This Row],[Comments]])))</f>
        <v/>
      </c>
      <c r="H1346" s="112" t="str">
        <f>IF(AND(Main[[#This Row],[In Stock Date]]&lt;&gt;"",Main[[#This Row],[Revised Due Date]]&lt;&gt;""),Main[[#This Row],[In Stock Date]]-Main[[#This Row],[Revised Due Date]],"")</f>
        <v/>
      </c>
      <c r="I1346" s="108" t="s">
        <v>2691</v>
      </c>
      <c r="J1346" s="108" t="s">
        <v>28</v>
      </c>
      <c r="K1346" s="108" t="s">
        <v>1946</v>
      </c>
      <c r="L1346" s="110">
        <v>40869</v>
      </c>
      <c r="M1346" s="113">
        <f>IF(Main[[#This Row],[Tech Start Date]]&lt;1/1/1990,"",IF(Main[[#This Row],[Class]]="C",WORKDAY(Main[[#This Row],[Tech Start Date]],9),IF(Main[[#This Row],[Class]]="B", WORKDAY(Main[[#This Row],[Tech Start Date]],6),IF(Main[[#This Row],[Class]]="A",WORKDAY(Main[[#This Row],[Tech Start Date]],2),""))))</f>
        <v>40871</v>
      </c>
      <c r="N1346" s="113">
        <f>IF(Main[[#This Row],[Tech Start Date]]&lt;1/1/1990,"",IF(Main[[#This Row],[Class]]="C",WORKDAY(Main[[#This Row],[Tech Start Date]],19),IF(Main[[#This Row],[Class]]="B", WORKDAY(Main[[#This Row],[Tech Start Date]],12),IF(Main[[#This Row],[Class]]="A",WORKDAY(Main[[#This Row],[Tech Start Date]],4),""))))</f>
        <v>40875</v>
      </c>
      <c r="O1346" s="113">
        <f>IF(Main[[#This Row],[Tech Start Date]]&lt;1/1/1990,"",IF(Main[[#This Row],[Class]]="C",WORKDAY(Main[[#This Row],[Tech Start Date]],23),IF(Main[[#This Row],[Class]]="B", WORKDAY(Main[[#This Row],[Tech Start Date]],15),IF(Main[[#This Row],[Class]]="A",WORKDAY(Main[[#This Row],[Tech Start Date]],5),""))))</f>
        <v>40876</v>
      </c>
      <c r="P1346" s="113">
        <f>IF(Main[[#This Row],[Tech Start Date]]&lt;1/1/1990,"",IF(Main[[#This Row],[Class]]="C",WORKDAY(Main[[#This Row],[Tech Start Date]],28),IF(Main[[#This Row],[Class]]="B", WORKDAY(Main[[#This Row],[Tech Start Date]],19),IF(Main[[#This Row],[Class]]="A",WORKDAY(Main[[#This Row],[Tech Start Date]],9),""))))</f>
        <v>40882</v>
      </c>
      <c r="Q1346" s="110">
        <v>40882</v>
      </c>
      <c r="R1346" s="110">
        <v>40882</v>
      </c>
      <c r="S1346" s="108" t="s">
        <v>17</v>
      </c>
      <c r="T1346" s="114" t="s">
        <v>4</v>
      </c>
      <c r="U1346" s="108" t="s">
        <v>14</v>
      </c>
      <c r="V1346" s="108" t="s">
        <v>1938</v>
      </c>
      <c r="W1346" s="108" t="s">
        <v>1939</v>
      </c>
      <c r="X1346" s="108" t="s">
        <v>3042</v>
      </c>
      <c r="Y1346" s="131" t="s">
        <v>3205</v>
      </c>
      <c r="Z1346" s="131" t="s">
        <v>2080</v>
      </c>
    </row>
    <row r="1347" spans="1:26" ht="18.600000000000001" customHeight="1">
      <c r="A1347" s="145" t="str">
        <f>IF(priority(Main[[#This Row],[Comments]])&lt;&gt;0, priority(Main[[#This Row],[Comments]]),"")</f>
        <v/>
      </c>
      <c r="B1347" s="130" t="s">
        <v>2722</v>
      </c>
      <c r="C1347" s="72" t="s">
        <v>72</v>
      </c>
      <c r="D1347" s="73" t="s">
        <v>2738</v>
      </c>
      <c r="E1347" s="74"/>
      <c r="F1347" s="74"/>
      <c r="G1347" s="75" t="str">
        <f>IF(stdProdLT(Main[[#This Row],[Comments]])=0.1,"N/A",IF(stdProdLT(Main[[#This Row],[Comments]])=0,"",stdProdLT(Main[[#This Row],[Comments]])))</f>
        <v/>
      </c>
      <c r="H1347" s="76" t="str">
        <f>IF(AND(Main[[#This Row],[In Stock Date]]&lt;&gt;"",Main[[#This Row],[Revised Due Date]]&lt;&gt;""),Main[[#This Row],[In Stock Date]]-Main[[#This Row],[Revised Due Date]],"")</f>
        <v/>
      </c>
      <c r="I1347" s="72" t="s">
        <v>2283</v>
      </c>
      <c r="J1347" s="72" t="s">
        <v>28</v>
      </c>
      <c r="K1347" s="72" t="s">
        <v>1946</v>
      </c>
      <c r="L1347" s="74">
        <v>40869</v>
      </c>
      <c r="M1347" s="77">
        <f>IF(Main[[#This Row],[Tech Start Date]]&lt;1/1/1990,"",IF(Main[[#This Row],[Class]]="C",WORKDAY(Main[[#This Row],[Tech Start Date]],9),IF(Main[[#This Row],[Class]]="B", WORKDAY(Main[[#This Row],[Tech Start Date]],6),IF(Main[[#This Row],[Class]]="A",WORKDAY(Main[[#This Row],[Tech Start Date]],2),""))))</f>
        <v>40871</v>
      </c>
      <c r="N1347" s="77">
        <f>IF(Main[[#This Row],[Tech Start Date]]&lt;1/1/1990,"",IF(Main[[#This Row],[Class]]="C",WORKDAY(Main[[#This Row],[Tech Start Date]],19),IF(Main[[#This Row],[Class]]="B", WORKDAY(Main[[#This Row],[Tech Start Date]],12),IF(Main[[#This Row],[Class]]="A",WORKDAY(Main[[#This Row],[Tech Start Date]],4),""))))</f>
        <v>40875</v>
      </c>
      <c r="O1347" s="77">
        <f>IF(Main[[#This Row],[Tech Start Date]]&lt;1/1/1990,"",IF(Main[[#This Row],[Class]]="C",WORKDAY(Main[[#This Row],[Tech Start Date]],23),IF(Main[[#This Row],[Class]]="B", WORKDAY(Main[[#This Row],[Tech Start Date]],15),IF(Main[[#This Row],[Class]]="A",WORKDAY(Main[[#This Row],[Tech Start Date]],5),""))))</f>
        <v>40876</v>
      </c>
      <c r="P1347" s="77">
        <f>IF(Main[[#This Row],[Tech Start Date]]&lt;1/1/1990,"",IF(Main[[#This Row],[Class]]="C",WORKDAY(Main[[#This Row],[Tech Start Date]],28),IF(Main[[#This Row],[Class]]="B", WORKDAY(Main[[#This Row],[Tech Start Date]],19),IF(Main[[#This Row],[Class]]="A",WORKDAY(Main[[#This Row],[Tech Start Date]],9),""))))</f>
        <v>40882</v>
      </c>
      <c r="Q1347" s="74">
        <v>40882</v>
      </c>
      <c r="R1347" s="74"/>
      <c r="S1347" s="72" t="s">
        <v>11</v>
      </c>
      <c r="T1347" s="80" t="s">
        <v>4</v>
      </c>
      <c r="U1347" s="72" t="s">
        <v>14</v>
      </c>
      <c r="V1347" s="72" t="s">
        <v>1938</v>
      </c>
      <c r="W1347" s="72" t="s">
        <v>1939</v>
      </c>
      <c r="X1347" s="72" t="s">
        <v>3042</v>
      </c>
      <c r="Y1347" s="131" t="s">
        <v>3205</v>
      </c>
      <c r="Z1347" s="131" t="s">
        <v>2080</v>
      </c>
    </row>
    <row r="1348" spans="1:26" ht="18.600000000000001" customHeight="1">
      <c r="A1348" s="145" t="str">
        <f>IF(priority(Main[[#This Row],[Comments]])&lt;&gt;0, priority(Main[[#This Row],[Comments]]),"")</f>
        <v/>
      </c>
      <c r="B1348" s="130" t="s">
        <v>2720</v>
      </c>
      <c r="C1348" s="72" t="s">
        <v>72</v>
      </c>
      <c r="D1348" s="73" t="s">
        <v>2721</v>
      </c>
      <c r="E1348" s="74"/>
      <c r="F1348" s="74"/>
      <c r="G1348" s="75" t="str">
        <f>IF(stdProdLT(Main[[#This Row],[Comments]])=0.1,"N/A",IF(stdProdLT(Main[[#This Row],[Comments]])=0,"",stdProdLT(Main[[#This Row],[Comments]])))</f>
        <v/>
      </c>
      <c r="H1348" s="76" t="str">
        <f>IF(AND(Main[[#This Row],[In Stock Date]]&lt;&gt;"",Main[[#This Row],[Revised Due Date]]&lt;&gt;""),Main[[#This Row],[In Stock Date]]-Main[[#This Row],[Revised Due Date]],"")</f>
        <v/>
      </c>
      <c r="I1348" s="72" t="s">
        <v>2691</v>
      </c>
      <c r="J1348" s="72" t="s">
        <v>28</v>
      </c>
      <c r="K1348" s="72" t="s">
        <v>1946</v>
      </c>
      <c r="L1348" s="74">
        <v>40869</v>
      </c>
      <c r="M1348" s="77">
        <f>IF(Main[[#This Row],[Tech Start Date]]&lt;1/1/1990,"",IF(Main[[#This Row],[Class]]="C",WORKDAY(Main[[#This Row],[Tech Start Date]],9),IF(Main[[#This Row],[Class]]="B", WORKDAY(Main[[#This Row],[Tech Start Date]],6),IF(Main[[#This Row],[Class]]="A",WORKDAY(Main[[#This Row],[Tech Start Date]],2),""))))</f>
        <v>40871</v>
      </c>
      <c r="N1348" s="77">
        <f>IF(Main[[#This Row],[Tech Start Date]]&lt;1/1/1990,"",IF(Main[[#This Row],[Class]]="C",WORKDAY(Main[[#This Row],[Tech Start Date]],19),IF(Main[[#This Row],[Class]]="B", WORKDAY(Main[[#This Row],[Tech Start Date]],12),IF(Main[[#This Row],[Class]]="A",WORKDAY(Main[[#This Row],[Tech Start Date]],4),""))))</f>
        <v>40875</v>
      </c>
      <c r="O1348" s="77">
        <f>IF(Main[[#This Row],[Tech Start Date]]&lt;1/1/1990,"",IF(Main[[#This Row],[Class]]="C",WORKDAY(Main[[#This Row],[Tech Start Date]],23),IF(Main[[#This Row],[Class]]="B", WORKDAY(Main[[#This Row],[Tech Start Date]],15),IF(Main[[#This Row],[Class]]="A",WORKDAY(Main[[#This Row],[Tech Start Date]],5),""))))</f>
        <v>40876</v>
      </c>
      <c r="P1348" s="77">
        <f>IF(Main[[#This Row],[Tech Start Date]]&lt;1/1/1990,"",IF(Main[[#This Row],[Class]]="C",WORKDAY(Main[[#This Row],[Tech Start Date]],28),IF(Main[[#This Row],[Class]]="B", WORKDAY(Main[[#This Row],[Tech Start Date]],19),IF(Main[[#This Row],[Class]]="A",WORKDAY(Main[[#This Row],[Tech Start Date]],9),""))))</f>
        <v>40882</v>
      </c>
      <c r="Q1348" s="74">
        <v>40882</v>
      </c>
      <c r="R1348" s="74">
        <v>40882</v>
      </c>
      <c r="S1348" s="72" t="s">
        <v>11</v>
      </c>
      <c r="T1348" s="80" t="s">
        <v>4</v>
      </c>
      <c r="U1348" s="72" t="s">
        <v>14</v>
      </c>
      <c r="V1348" s="72" t="s">
        <v>1938</v>
      </c>
      <c r="W1348" s="72" t="s">
        <v>1939</v>
      </c>
      <c r="X1348" s="72" t="s">
        <v>3042</v>
      </c>
      <c r="Y1348" s="131" t="s">
        <v>3205</v>
      </c>
      <c r="Z1348" s="131" t="s">
        <v>2080</v>
      </c>
    </row>
    <row r="1349" spans="1:26" ht="18.600000000000001" customHeight="1">
      <c r="A1349" s="145" t="str">
        <f>IF(priority(Main[[#This Row],[Comments]])&lt;&gt;0, priority(Main[[#This Row],[Comments]]),"")</f>
        <v/>
      </c>
      <c r="B1349" s="130" t="s">
        <v>1245</v>
      </c>
      <c r="C1349" s="72" t="s">
        <v>33</v>
      </c>
      <c r="D1349" s="73" t="s">
        <v>3399</v>
      </c>
      <c r="E1349" s="74">
        <v>40603.336435185185</v>
      </c>
      <c r="F1349" s="74">
        <v>40632</v>
      </c>
      <c r="G1349" s="75" t="str">
        <f>IF(stdProdLT(Main[[#This Row],[Comments]])=0.1,"N/A",IF(stdProdLT(Main[[#This Row],[Comments]])=0,"",stdProdLT(Main[[#This Row],[Comments]])))</f>
        <v/>
      </c>
      <c r="H1349" s="76">
        <f>IF(AND(Main[[#This Row],[In Stock Date]]&lt;&gt;"",Main[[#This Row],[Revised Due Date]]&lt;&gt;""),Main[[#This Row],[In Stock Date]]-Main[[#This Row],[Revised Due Date]],"")</f>
        <v>-336</v>
      </c>
      <c r="I1349" s="72" t="s">
        <v>903</v>
      </c>
      <c r="J1349" s="72" t="s">
        <v>28</v>
      </c>
      <c r="K1349" s="72" t="s">
        <v>1949</v>
      </c>
      <c r="L1349" s="74">
        <v>40878</v>
      </c>
      <c r="M1349" s="77" t="str">
        <f>IF(Main[[#This Row],[Tech Start Date]]&lt;1/1/1990,"",IF(Main[[#This Row],[Class]]="C",WORKDAY(Main[[#This Row],[Tech Start Date]],9),IF(Main[[#This Row],[Class]]="B", WORKDAY(Main[[#This Row],[Tech Start Date]],6),IF(Main[[#This Row],[Class]]="A",WORKDAY(Main[[#This Row],[Tech Start Date]],2),""))))</f>
        <v/>
      </c>
      <c r="N1349" s="77" t="str">
        <f>IF(Main[[#This Row],[Tech Start Date]]&lt;1/1/1990,"",IF(Main[[#This Row],[Class]]="C",WORKDAY(Main[[#This Row],[Tech Start Date]],19),IF(Main[[#This Row],[Class]]="B", WORKDAY(Main[[#This Row],[Tech Start Date]],12),IF(Main[[#This Row],[Class]]="A",WORKDAY(Main[[#This Row],[Tech Start Date]],4),""))))</f>
        <v/>
      </c>
      <c r="O1349" s="77" t="str">
        <f>IF(Main[[#This Row],[Tech Start Date]]&lt;1/1/1990,"",IF(Main[[#This Row],[Class]]="C",WORKDAY(Main[[#This Row],[Tech Start Date]],23),IF(Main[[#This Row],[Class]]="B", WORKDAY(Main[[#This Row],[Tech Start Date]],15),IF(Main[[#This Row],[Class]]="A",WORKDAY(Main[[#This Row],[Tech Start Date]],5),""))))</f>
        <v/>
      </c>
      <c r="P1349" s="77" t="str">
        <f>IF(Main[[#This Row],[Tech Start Date]]&lt;1/1/1990,"",IF(Main[[#This Row],[Class]]="C",WORKDAY(Main[[#This Row],[Tech Start Date]],28),IF(Main[[#This Row],[Class]]="B", WORKDAY(Main[[#This Row],[Tech Start Date]],19),IF(Main[[#This Row],[Class]]="A",WORKDAY(Main[[#This Row],[Tech Start Date]],9),""))))</f>
        <v/>
      </c>
      <c r="Q1349" s="74">
        <v>40612</v>
      </c>
      <c r="R1349" s="74">
        <v>40968</v>
      </c>
      <c r="S1349" s="72" t="s">
        <v>17</v>
      </c>
      <c r="T1349" s="80" t="s">
        <v>4</v>
      </c>
      <c r="U1349" s="72" t="s">
        <v>29</v>
      </c>
      <c r="V1349" s="72" t="s">
        <v>1937</v>
      </c>
      <c r="W1349" s="72" t="s">
        <v>1942</v>
      </c>
      <c r="X1349" s="72" t="s">
        <v>3027</v>
      </c>
      <c r="Y1349" s="131" t="s">
        <v>3179</v>
      </c>
      <c r="Z1349" s="131" t="s">
        <v>891</v>
      </c>
    </row>
    <row r="1350" spans="1:26" ht="18.600000000000001" customHeight="1">
      <c r="A1350" s="145" t="str">
        <f>IF(priority(Main[[#This Row],[Comments]])&lt;&gt;0, priority(Main[[#This Row],[Comments]]),"")</f>
        <v/>
      </c>
      <c r="B1350" s="130" t="s">
        <v>2755</v>
      </c>
      <c r="C1350" s="72" t="s">
        <v>2756</v>
      </c>
      <c r="D1350" s="73" t="s">
        <v>3531</v>
      </c>
      <c r="E1350" s="74">
        <v>40882.540486111109</v>
      </c>
      <c r="F1350" s="74">
        <v>40892</v>
      </c>
      <c r="G1350" s="75" t="str">
        <f>IF(stdProdLT(Main[[#This Row],[Comments]])=0.1,"N/A",IF(stdProdLT(Main[[#This Row],[Comments]])=0,"",stdProdLT(Main[[#This Row],[Comments]])))</f>
        <v/>
      </c>
      <c r="H1350" s="76">
        <f>IF(AND(Main[[#This Row],[In Stock Date]]&lt;&gt;"",Main[[#This Row],[Revised Due Date]]&lt;&gt;""),Main[[#This Row],[In Stock Date]]-Main[[#This Row],[Revised Due Date]],"")</f>
        <v>0</v>
      </c>
      <c r="I1350" s="72" t="s">
        <v>956</v>
      </c>
      <c r="J1350" s="72" t="s">
        <v>21</v>
      </c>
      <c r="K1350" s="72" t="s">
        <v>1946</v>
      </c>
      <c r="L1350" s="74">
        <v>40882</v>
      </c>
      <c r="M1350" s="77">
        <f>IF(Main[[#This Row],[Tech Start Date]]&lt;1/1/1990,"",IF(Main[[#This Row],[Class]]="C",WORKDAY(Main[[#This Row],[Tech Start Date]],9),IF(Main[[#This Row],[Class]]="B", WORKDAY(Main[[#This Row],[Tech Start Date]],6),IF(Main[[#This Row],[Class]]="A",WORKDAY(Main[[#This Row],[Tech Start Date]],2),""))))</f>
        <v>40884</v>
      </c>
      <c r="N1350" s="77">
        <f>IF(Main[[#This Row],[Tech Start Date]]&lt;1/1/1990,"",IF(Main[[#This Row],[Class]]="C",WORKDAY(Main[[#This Row],[Tech Start Date]],19),IF(Main[[#This Row],[Class]]="B", WORKDAY(Main[[#This Row],[Tech Start Date]],12),IF(Main[[#This Row],[Class]]="A",WORKDAY(Main[[#This Row],[Tech Start Date]],4),""))))</f>
        <v>40886</v>
      </c>
      <c r="O1350" s="77">
        <f>IF(Main[[#This Row],[Tech Start Date]]&lt;1/1/1990,"",IF(Main[[#This Row],[Class]]="C",WORKDAY(Main[[#This Row],[Tech Start Date]],23),IF(Main[[#This Row],[Class]]="B", WORKDAY(Main[[#This Row],[Tech Start Date]],15),IF(Main[[#This Row],[Class]]="A",WORKDAY(Main[[#This Row],[Tech Start Date]],5),""))))</f>
        <v>40889</v>
      </c>
      <c r="P1350" s="77">
        <f>IF(Main[[#This Row],[Tech Start Date]]&lt;1/1/1990,"",IF(Main[[#This Row],[Class]]="C",WORKDAY(Main[[#This Row],[Tech Start Date]],28),IF(Main[[#This Row],[Class]]="B", WORKDAY(Main[[#This Row],[Tech Start Date]],19),IF(Main[[#This Row],[Class]]="A",WORKDAY(Main[[#This Row],[Tech Start Date]],9),""))))</f>
        <v>40893</v>
      </c>
      <c r="Q1350" s="74"/>
      <c r="R1350" s="74">
        <v>40892</v>
      </c>
      <c r="S1350" s="72" t="s">
        <v>6</v>
      </c>
      <c r="T1350" s="80" t="s">
        <v>4</v>
      </c>
      <c r="U1350" s="72" t="s">
        <v>29</v>
      </c>
      <c r="V1350" s="72" t="s">
        <v>1938</v>
      </c>
      <c r="W1350" s="72" t="s">
        <v>1945</v>
      </c>
      <c r="X1350" s="72" t="s">
        <v>50</v>
      </c>
      <c r="Y1350" s="131" t="s">
        <v>3321</v>
      </c>
      <c r="Z1350" s="131" t="s">
        <v>311</v>
      </c>
    </row>
    <row r="1351" spans="1:26" ht="18.600000000000001" customHeight="1">
      <c r="A1351" s="145" t="str">
        <f>IF(priority(Main[[#This Row],[Comments]])&lt;&gt;0, priority(Main[[#This Row],[Comments]]),"")</f>
        <v/>
      </c>
      <c r="B1351" s="130" t="s">
        <v>2943</v>
      </c>
      <c r="C1351" s="72" t="s">
        <v>33</v>
      </c>
      <c r="D1351" s="73" t="s">
        <v>2962</v>
      </c>
      <c r="E1351" s="74">
        <v>40897.00240740741</v>
      </c>
      <c r="F1351" s="74">
        <v>40938</v>
      </c>
      <c r="G1351" s="75">
        <f>IF(stdProdLT(Main[[#This Row],[Comments]])=0.1,"N/A",IF(stdProdLT(Main[[#This Row],[Comments]])=0,"",stdProdLT(Main[[#This Row],[Comments]])))</f>
        <v>126</v>
      </c>
      <c r="H1351" s="76">
        <f>IF(AND(Main[[#This Row],[In Stock Date]]&lt;&gt;"",Main[[#This Row],[Revised Due Date]]&lt;&gt;""),Main[[#This Row],[In Stock Date]]-Main[[#This Row],[Revised Due Date]],"")</f>
        <v>-17</v>
      </c>
      <c r="I1351" s="72" t="s">
        <v>985</v>
      </c>
      <c r="J1351" s="72" t="s">
        <v>28</v>
      </c>
      <c r="K1351" s="72" t="s">
        <v>1944</v>
      </c>
      <c r="L1351" s="74">
        <v>40889</v>
      </c>
      <c r="M1351" s="77">
        <f>IF(Main[[#This Row],[Tech Start Date]]&lt;1/1/1990,"",IF(Main[[#This Row],[Class]]="C",WORKDAY(Main[[#This Row],[Tech Start Date]],9),IF(Main[[#This Row],[Class]]="B", WORKDAY(Main[[#This Row],[Tech Start Date]],6),IF(Main[[#This Row],[Class]]="A",WORKDAY(Main[[#This Row],[Tech Start Date]],2),""))))</f>
        <v>40897</v>
      </c>
      <c r="N1351" s="77">
        <f>IF(Main[[#This Row],[Tech Start Date]]&lt;1/1/1990,"",IF(Main[[#This Row],[Class]]="C",WORKDAY(Main[[#This Row],[Tech Start Date]],19),IF(Main[[#This Row],[Class]]="B", WORKDAY(Main[[#This Row],[Tech Start Date]],12),IF(Main[[#This Row],[Class]]="A",WORKDAY(Main[[#This Row],[Tech Start Date]],4),""))))</f>
        <v>40905</v>
      </c>
      <c r="O1351" s="77">
        <f>IF(Main[[#This Row],[Tech Start Date]]&lt;1/1/1990,"",IF(Main[[#This Row],[Class]]="C",WORKDAY(Main[[#This Row],[Tech Start Date]],23),IF(Main[[#This Row],[Class]]="B", WORKDAY(Main[[#This Row],[Tech Start Date]],15),IF(Main[[#This Row],[Class]]="A",WORKDAY(Main[[#This Row],[Tech Start Date]],5),""))))</f>
        <v>40910</v>
      </c>
      <c r="P1351" s="77">
        <f>IF(Main[[#This Row],[Tech Start Date]]&lt;1/1/1990,"",IF(Main[[#This Row],[Class]]="C",WORKDAY(Main[[#This Row],[Tech Start Date]],28),IF(Main[[#This Row],[Class]]="B", WORKDAY(Main[[#This Row],[Tech Start Date]],19),IF(Main[[#This Row],[Class]]="A",WORKDAY(Main[[#This Row],[Tech Start Date]],9),""))))</f>
        <v>40914</v>
      </c>
      <c r="Q1351" s="74"/>
      <c r="R1351" s="74">
        <v>40955</v>
      </c>
      <c r="S1351" s="72" t="s">
        <v>11</v>
      </c>
      <c r="T1351" s="80" t="s">
        <v>3472</v>
      </c>
      <c r="U1351" s="72" t="s">
        <v>29</v>
      </c>
      <c r="V1351" s="72" t="s">
        <v>1937</v>
      </c>
      <c r="W1351" s="72" t="s">
        <v>1945</v>
      </c>
      <c r="X1351" s="72" t="s">
        <v>3027</v>
      </c>
      <c r="Y1351" s="131" t="s">
        <v>3179</v>
      </c>
      <c r="Z1351" s="131" t="s">
        <v>891</v>
      </c>
    </row>
    <row r="1352" spans="1:26" ht="18.600000000000001" customHeight="1">
      <c r="A1352" s="145" t="str">
        <f>IF(priority(Main[[#This Row],[Comments]])&lt;&gt;0, priority(Main[[#This Row],[Comments]]),"")</f>
        <v/>
      </c>
      <c r="B1352" s="130" t="s">
        <v>2949</v>
      </c>
      <c r="C1352" s="108" t="s">
        <v>3425</v>
      </c>
      <c r="D1352" s="109" t="s">
        <v>2950</v>
      </c>
      <c r="E1352" s="110">
        <v>40890.878703703704</v>
      </c>
      <c r="F1352" s="110"/>
      <c r="G1352" s="111">
        <f>IF(stdProdLT(Main[[#This Row],[Comments]])=0.1,"N/A",IF(stdProdLT(Main[[#This Row],[Comments]])=0,"",stdProdLT(Main[[#This Row],[Comments]])))</f>
        <v>140</v>
      </c>
      <c r="H1352" s="112" t="str">
        <f>IF(AND(Main[[#This Row],[In Stock Date]]&lt;&gt;"",Main[[#This Row],[Revised Due Date]]&lt;&gt;""),Main[[#This Row],[In Stock Date]]-Main[[#This Row],[Revised Due Date]],"")</f>
        <v/>
      </c>
      <c r="I1352" s="108" t="s">
        <v>777</v>
      </c>
      <c r="J1352" s="108" t="s">
        <v>21</v>
      </c>
      <c r="K1352" s="108" t="s">
        <v>1944</v>
      </c>
      <c r="L1352" s="110">
        <v>40904</v>
      </c>
      <c r="M1352" s="113">
        <f>IF(Main[[#This Row],[Tech Start Date]]&lt;1/1/1990,"",IF(Main[[#This Row],[Class]]="C",WORKDAY(Main[[#This Row],[Tech Start Date]],9),IF(Main[[#This Row],[Class]]="B", WORKDAY(Main[[#This Row],[Tech Start Date]],6),IF(Main[[#This Row],[Class]]="A",WORKDAY(Main[[#This Row],[Tech Start Date]],2),""))))</f>
        <v>40912</v>
      </c>
      <c r="N1352" s="113">
        <f>IF(Main[[#This Row],[Tech Start Date]]&lt;1/1/1990,"",IF(Main[[#This Row],[Class]]="C",WORKDAY(Main[[#This Row],[Tech Start Date]],19),IF(Main[[#This Row],[Class]]="B", WORKDAY(Main[[#This Row],[Tech Start Date]],12),IF(Main[[#This Row],[Class]]="A",WORKDAY(Main[[#This Row],[Tech Start Date]],4),""))))</f>
        <v>40920</v>
      </c>
      <c r="O1352" s="113">
        <f>IF(Main[[#This Row],[Tech Start Date]]&lt;1/1/1990,"",IF(Main[[#This Row],[Class]]="C",WORKDAY(Main[[#This Row],[Tech Start Date]],23),IF(Main[[#This Row],[Class]]="B", WORKDAY(Main[[#This Row],[Tech Start Date]],15),IF(Main[[#This Row],[Class]]="A",WORKDAY(Main[[#This Row],[Tech Start Date]],5),""))))</f>
        <v>40925</v>
      </c>
      <c r="P1352" s="113">
        <f>IF(Main[[#This Row],[Tech Start Date]]&lt;1/1/1990,"",IF(Main[[#This Row],[Class]]="C",WORKDAY(Main[[#This Row],[Tech Start Date]],28),IF(Main[[#This Row],[Class]]="B", WORKDAY(Main[[#This Row],[Tech Start Date]],19),IF(Main[[#This Row],[Class]]="A",WORKDAY(Main[[#This Row],[Tech Start Date]],9),""))))</f>
        <v>40931</v>
      </c>
      <c r="Q1352" s="110">
        <v>40892</v>
      </c>
      <c r="R1352" s="110">
        <v>40939</v>
      </c>
      <c r="S1352" s="108" t="s">
        <v>11</v>
      </c>
      <c r="T1352" s="114" t="s">
        <v>3363</v>
      </c>
      <c r="U1352" s="108" t="s">
        <v>29</v>
      </c>
      <c r="V1352" s="108" t="s">
        <v>1940</v>
      </c>
      <c r="W1352" s="108" t="s">
        <v>1939</v>
      </c>
      <c r="X1352" s="108" t="s">
        <v>3077</v>
      </c>
      <c r="Y1352" s="131" t="s">
        <v>4</v>
      </c>
      <c r="Z1352" s="131" t="s">
        <v>536</v>
      </c>
    </row>
    <row r="1353" spans="1:26" ht="18.600000000000001" customHeight="1">
      <c r="A1353" s="145" t="str">
        <f>IF(priority(Main[[#This Row],[Comments]])&lt;&gt;0, priority(Main[[#This Row],[Comments]]),"")</f>
        <v/>
      </c>
      <c r="B1353" s="130" t="s">
        <v>2946</v>
      </c>
      <c r="C1353" s="72" t="s">
        <v>3425</v>
      </c>
      <c r="D1353" s="73" t="s">
        <v>2947</v>
      </c>
      <c r="E1353" s="74">
        <v>40890.87877314815</v>
      </c>
      <c r="F1353" s="74"/>
      <c r="G1353" s="75">
        <f>IF(stdProdLT(Main[[#This Row],[Comments]])=0.1,"N/A",IF(stdProdLT(Main[[#This Row],[Comments]])=0,"",stdProdLT(Main[[#This Row],[Comments]])))</f>
        <v>154</v>
      </c>
      <c r="H1353" s="76" t="str">
        <f>IF(AND(Main[[#This Row],[In Stock Date]]&lt;&gt;"",Main[[#This Row],[Revised Due Date]]&lt;&gt;""),Main[[#This Row],[In Stock Date]]-Main[[#This Row],[Revised Due Date]],"")</f>
        <v/>
      </c>
      <c r="I1353" s="72" t="s">
        <v>777</v>
      </c>
      <c r="J1353" s="72" t="s">
        <v>21</v>
      </c>
      <c r="K1353" s="72" t="s">
        <v>1946</v>
      </c>
      <c r="L1353" s="74">
        <v>40904</v>
      </c>
      <c r="M1353" s="77">
        <f>IF(Main[[#This Row],[Tech Start Date]]&lt;1/1/1990,"",IF(Main[[#This Row],[Class]]="C",WORKDAY(Main[[#This Row],[Tech Start Date]],9),IF(Main[[#This Row],[Class]]="B", WORKDAY(Main[[#This Row],[Tech Start Date]],6),IF(Main[[#This Row],[Class]]="A",WORKDAY(Main[[#This Row],[Tech Start Date]],2),""))))</f>
        <v>40906</v>
      </c>
      <c r="N1353" s="77">
        <f>IF(Main[[#This Row],[Tech Start Date]]&lt;1/1/1990,"",IF(Main[[#This Row],[Class]]="C",WORKDAY(Main[[#This Row],[Tech Start Date]],19),IF(Main[[#This Row],[Class]]="B", WORKDAY(Main[[#This Row],[Tech Start Date]],12),IF(Main[[#This Row],[Class]]="A",WORKDAY(Main[[#This Row],[Tech Start Date]],4),""))))</f>
        <v>40910</v>
      </c>
      <c r="O1353" s="77">
        <f>IF(Main[[#This Row],[Tech Start Date]]&lt;1/1/1990,"",IF(Main[[#This Row],[Class]]="C",WORKDAY(Main[[#This Row],[Tech Start Date]],23),IF(Main[[#This Row],[Class]]="B", WORKDAY(Main[[#This Row],[Tech Start Date]],15),IF(Main[[#This Row],[Class]]="A",WORKDAY(Main[[#This Row],[Tech Start Date]],5),""))))</f>
        <v>40911</v>
      </c>
      <c r="P1353" s="77">
        <f>IF(Main[[#This Row],[Tech Start Date]]&lt;1/1/1990,"",IF(Main[[#This Row],[Class]]="C",WORKDAY(Main[[#This Row],[Tech Start Date]],28),IF(Main[[#This Row],[Class]]="B", WORKDAY(Main[[#This Row],[Tech Start Date]],19),IF(Main[[#This Row],[Class]]="A",WORKDAY(Main[[#This Row],[Tech Start Date]],9),""))))</f>
        <v>40917</v>
      </c>
      <c r="Q1353" s="74">
        <v>40892</v>
      </c>
      <c r="R1353" s="74">
        <v>40939</v>
      </c>
      <c r="S1353" s="72" t="s">
        <v>11</v>
      </c>
      <c r="T1353" s="80" t="s">
        <v>2948</v>
      </c>
      <c r="U1353" s="72" t="s">
        <v>29</v>
      </c>
      <c r="V1353" s="72" t="s">
        <v>1940</v>
      </c>
      <c r="W1353" s="72" t="s">
        <v>1939</v>
      </c>
      <c r="X1353" s="72" t="s">
        <v>3077</v>
      </c>
      <c r="Y1353" s="131" t="s">
        <v>4</v>
      </c>
      <c r="Z1353" s="131" t="s">
        <v>536</v>
      </c>
    </row>
    <row r="1354" spans="1:26" ht="18.600000000000001" customHeight="1">
      <c r="A1354" s="145" t="str">
        <f>IF(priority(Main[[#This Row],[Comments]])&lt;&gt;0, priority(Main[[#This Row],[Comments]]),"")</f>
        <v/>
      </c>
      <c r="B1354" s="130" t="s">
        <v>3493</v>
      </c>
      <c r="C1354" s="72" t="s">
        <v>3494</v>
      </c>
      <c r="D1354" s="73" t="s">
        <v>3522</v>
      </c>
      <c r="E1354" s="74">
        <v>40925.405381944445</v>
      </c>
      <c r="F1354" s="74">
        <v>40927</v>
      </c>
      <c r="G1354" s="75" t="str">
        <f>IF(stdProdLT(Main[[#This Row],[Comments]])=0.1,"N/A",IF(stdProdLT(Main[[#This Row],[Comments]])=0,"",stdProdLT(Main[[#This Row],[Comments]])))</f>
        <v>N/A</v>
      </c>
      <c r="H1354" s="76">
        <f>IF(AND(Main[[#This Row],[In Stock Date]]&lt;&gt;"",Main[[#This Row],[Revised Due Date]]&lt;&gt;""),Main[[#This Row],[In Stock Date]]-Main[[#This Row],[Revised Due Date]],"")</f>
        <v>-1</v>
      </c>
      <c r="I1354" s="72" t="s">
        <v>927</v>
      </c>
      <c r="J1354" s="72" t="s">
        <v>52</v>
      </c>
      <c r="K1354" s="81" t="s">
        <v>1946</v>
      </c>
      <c r="L1354" s="74">
        <v>40925</v>
      </c>
      <c r="M1354" s="77">
        <f>IF(Main[[#This Row],[Tech Start Date]]&lt;1/1/1990,"",IF(Main[[#This Row],[Class]]="C",WORKDAY(Main[[#This Row],[Tech Start Date]],9),IF(Main[[#This Row],[Class]]="B", WORKDAY(Main[[#This Row],[Tech Start Date]],6),IF(Main[[#This Row],[Class]]="A",WORKDAY(Main[[#This Row],[Tech Start Date]],2),""))))</f>
        <v>40927</v>
      </c>
      <c r="N1354" s="77">
        <f>IF(Main[[#This Row],[Tech Start Date]]&lt;1/1/1990,"",IF(Main[[#This Row],[Class]]="C",WORKDAY(Main[[#This Row],[Tech Start Date]],19),IF(Main[[#This Row],[Class]]="B", WORKDAY(Main[[#This Row],[Tech Start Date]],12),IF(Main[[#This Row],[Class]]="A",WORKDAY(Main[[#This Row],[Tech Start Date]],4),""))))</f>
        <v>40931</v>
      </c>
      <c r="O1354" s="77">
        <f>IF(Main[[#This Row],[Tech Start Date]]&lt;1/1/1990,"",IF(Main[[#This Row],[Class]]="C",WORKDAY(Main[[#This Row],[Tech Start Date]],23),IF(Main[[#This Row],[Class]]="B", WORKDAY(Main[[#This Row],[Tech Start Date]],15),IF(Main[[#This Row],[Class]]="A",WORKDAY(Main[[#This Row],[Tech Start Date]],5),""))))</f>
        <v>40932</v>
      </c>
      <c r="P1354" s="77">
        <f>IF(Main[[#This Row],[Tech Start Date]]&lt;1/1/1990,"",IF(Main[[#This Row],[Class]]="C",WORKDAY(Main[[#This Row],[Tech Start Date]],28),IF(Main[[#This Row],[Class]]="B", WORKDAY(Main[[#This Row],[Tech Start Date]],19),IF(Main[[#This Row],[Class]]="A",WORKDAY(Main[[#This Row],[Tech Start Date]],9),""))))</f>
        <v>40938</v>
      </c>
      <c r="Q1354" s="74"/>
      <c r="R1354" s="74">
        <v>40928</v>
      </c>
      <c r="S1354" s="72" t="s">
        <v>11</v>
      </c>
      <c r="T1354" s="80" t="s">
        <v>3501</v>
      </c>
      <c r="U1354" s="72" t="s">
        <v>29</v>
      </c>
      <c r="V1354" s="72" t="s">
        <v>1937</v>
      </c>
      <c r="W1354" s="72" t="s">
        <v>1939</v>
      </c>
      <c r="X1354" s="72" t="s">
        <v>2969</v>
      </c>
      <c r="Y1354" s="131" t="s">
        <v>3291</v>
      </c>
      <c r="Z1354" s="131" t="s">
        <v>129</v>
      </c>
    </row>
    <row r="1355" spans="1:26" ht="18.600000000000001" customHeight="1">
      <c r="A1355" s="145" t="str">
        <f>IF(priority(Main[[#This Row],[Comments]])&lt;&gt;0, priority(Main[[#This Row],[Comments]]),"")</f>
        <v/>
      </c>
      <c r="B1355" s="130" t="s">
        <v>3489</v>
      </c>
      <c r="C1355" s="72" t="s">
        <v>3494</v>
      </c>
      <c r="D1355" s="73" t="s">
        <v>3587</v>
      </c>
      <c r="E1355" s="74">
        <v>40925.579282407409</v>
      </c>
      <c r="F1355" s="74">
        <v>40928</v>
      </c>
      <c r="G1355" s="75" t="str">
        <f>IF(stdProdLT(Main[[#This Row],[Comments]])=0.1,"N/A",IF(stdProdLT(Main[[#This Row],[Comments]])=0,"",stdProdLT(Main[[#This Row],[Comments]])))</f>
        <v>N/A</v>
      </c>
      <c r="H1355" s="76">
        <f>IF(AND(Main[[#This Row],[In Stock Date]]&lt;&gt;"",Main[[#This Row],[Revised Due Date]]&lt;&gt;""),Main[[#This Row],[In Stock Date]]-Main[[#This Row],[Revised Due Date]],"")</f>
        <v>0</v>
      </c>
      <c r="I1355" s="72" t="s">
        <v>927</v>
      </c>
      <c r="J1355" s="72" t="s">
        <v>52</v>
      </c>
      <c r="K1355" s="81" t="s">
        <v>1944</v>
      </c>
      <c r="L1355" s="74">
        <v>40925</v>
      </c>
      <c r="M1355" s="77">
        <f>IF(Main[[#This Row],[Tech Start Date]]&lt;1/1/1990,"",IF(Main[[#This Row],[Class]]="C",WORKDAY(Main[[#This Row],[Tech Start Date]],9),IF(Main[[#This Row],[Class]]="B", WORKDAY(Main[[#This Row],[Tech Start Date]],6),IF(Main[[#This Row],[Class]]="A",WORKDAY(Main[[#This Row],[Tech Start Date]],2),""))))</f>
        <v>40933</v>
      </c>
      <c r="N1355" s="77">
        <f>IF(Main[[#This Row],[Tech Start Date]]&lt;1/1/1990,"",IF(Main[[#This Row],[Class]]="C",WORKDAY(Main[[#This Row],[Tech Start Date]],19),IF(Main[[#This Row],[Class]]="B", WORKDAY(Main[[#This Row],[Tech Start Date]],12),IF(Main[[#This Row],[Class]]="A",WORKDAY(Main[[#This Row],[Tech Start Date]],4),""))))</f>
        <v>40941</v>
      </c>
      <c r="O1355" s="77">
        <f>IF(Main[[#This Row],[Tech Start Date]]&lt;1/1/1990,"",IF(Main[[#This Row],[Class]]="C",WORKDAY(Main[[#This Row],[Tech Start Date]],23),IF(Main[[#This Row],[Class]]="B", WORKDAY(Main[[#This Row],[Tech Start Date]],15),IF(Main[[#This Row],[Class]]="A",WORKDAY(Main[[#This Row],[Tech Start Date]],5),""))))</f>
        <v>40946</v>
      </c>
      <c r="P1355" s="77">
        <f>IF(Main[[#This Row],[Tech Start Date]]&lt;1/1/1990,"",IF(Main[[#This Row],[Class]]="C",WORKDAY(Main[[#This Row],[Tech Start Date]],28),IF(Main[[#This Row],[Class]]="B", WORKDAY(Main[[#This Row],[Tech Start Date]],19),IF(Main[[#This Row],[Class]]="A",WORKDAY(Main[[#This Row],[Tech Start Date]],9),""))))</f>
        <v>40952</v>
      </c>
      <c r="Q1355" s="74"/>
      <c r="R1355" s="74">
        <v>40928</v>
      </c>
      <c r="S1355" s="72" t="s">
        <v>11</v>
      </c>
      <c r="T1355" s="80" t="s">
        <v>3562</v>
      </c>
      <c r="U1355" s="72" t="s">
        <v>29</v>
      </c>
      <c r="V1355" s="72" t="s">
        <v>1937</v>
      </c>
      <c r="W1355" s="72" t="s">
        <v>1939</v>
      </c>
      <c r="X1355" s="72" t="s">
        <v>2991</v>
      </c>
      <c r="Y1355" s="131" t="s">
        <v>3128</v>
      </c>
      <c r="Z1355" s="131" t="s">
        <v>129</v>
      </c>
    </row>
    <row r="1356" spans="1:26" ht="18.600000000000001" customHeight="1">
      <c r="A1356" s="145" t="str">
        <f>IF(priority(Main[[#This Row],[Comments]])&lt;&gt;0, priority(Main[[#This Row],[Comments]]),"")</f>
        <v/>
      </c>
      <c r="B1356" s="130" t="s">
        <v>3524</v>
      </c>
      <c r="C1356" s="108" t="s">
        <v>3539</v>
      </c>
      <c r="D1356" s="109" t="s">
        <v>3588</v>
      </c>
      <c r="E1356" s="110">
        <v>40926.516226851854</v>
      </c>
      <c r="F1356" s="110">
        <v>40933</v>
      </c>
      <c r="G1356" s="111" t="str">
        <f>IF(stdProdLT(Main[[#This Row],[Comments]])=0.1,"N/A",IF(stdProdLT(Main[[#This Row],[Comments]])=0,"",stdProdLT(Main[[#This Row],[Comments]])))</f>
        <v>N/A</v>
      </c>
      <c r="H1356" s="112">
        <f>IF(AND(Main[[#This Row],[In Stock Date]]&lt;&gt;"",Main[[#This Row],[Revised Due Date]]&lt;&gt;""),Main[[#This Row],[In Stock Date]]-Main[[#This Row],[Revised Due Date]],"")</f>
        <v>0</v>
      </c>
      <c r="I1356" s="108" t="s">
        <v>2239</v>
      </c>
      <c r="J1356" s="108" t="s">
        <v>75</v>
      </c>
      <c r="K1356" s="108" t="s">
        <v>1946</v>
      </c>
      <c r="L1356" s="110">
        <v>40926</v>
      </c>
      <c r="M1356" s="113">
        <f>IF(Main[[#This Row],[Tech Start Date]]&lt;1/1/1990,"",IF(Main[[#This Row],[Class]]="C",WORKDAY(Main[[#This Row],[Tech Start Date]],9),IF(Main[[#This Row],[Class]]="B", WORKDAY(Main[[#This Row],[Tech Start Date]],6),IF(Main[[#This Row],[Class]]="A",WORKDAY(Main[[#This Row],[Tech Start Date]],2),""))))</f>
        <v>40928</v>
      </c>
      <c r="N1356" s="113">
        <f>IF(Main[[#This Row],[Tech Start Date]]&lt;1/1/1990,"",IF(Main[[#This Row],[Class]]="C",WORKDAY(Main[[#This Row],[Tech Start Date]],19),IF(Main[[#This Row],[Class]]="B", WORKDAY(Main[[#This Row],[Tech Start Date]],12),IF(Main[[#This Row],[Class]]="A",WORKDAY(Main[[#This Row],[Tech Start Date]],4),""))))</f>
        <v>40932</v>
      </c>
      <c r="O1356" s="113">
        <f>IF(Main[[#This Row],[Tech Start Date]]&lt;1/1/1990,"",IF(Main[[#This Row],[Class]]="C",WORKDAY(Main[[#This Row],[Tech Start Date]],23),IF(Main[[#This Row],[Class]]="B", WORKDAY(Main[[#This Row],[Tech Start Date]],15),IF(Main[[#This Row],[Class]]="A",WORKDAY(Main[[#This Row],[Tech Start Date]],5),""))))</f>
        <v>40933</v>
      </c>
      <c r="P1356" s="113">
        <f>IF(Main[[#This Row],[Tech Start Date]]&lt;1/1/1990,"",IF(Main[[#This Row],[Class]]="C",WORKDAY(Main[[#This Row],[Tech Start Date]],28),IF(Main[[#This Row],[Class]]="B", WORKDAY(Main[[#This Row],[Tech Start Date]],19),IF(Main[[#This Row],[Class]]="A",WORKDAY(Main[[#This Row],[Tech Start Date]],9),""))))</f>
        <v>40939</v>
      </c>
      <c r="Q1356" s="110">
        <v>40933</v>
      </c>
      <c r="R1356" s="110">
        <v>40933</v>
      </c>
      <c r="S1356" s="108" t="s">
        <v>11</v>
      </c>
      <c r="T1356" s="114" t="s">
        <v>3501</v>
      </c>
      <c r="U1356" s="108" t="s">
        <v>29</v>
      </c>
      <c r="V1356" s="108" t="s">
        <v>1940</v>
      </c>
      <c r="W1356" s="108" t="s">
        <v>1945</v>
      </c>
      <c r="X1356" s="108" t="s">
        <v>50</v>
      </c>
      <c r="Y1356" s="131" t="s">
        <v>3525</v>
      </c>
      <c r="Z1356" s="131" t="s">
        <v>536</v>
      </c>
    </row>
    <row r="1357" spans="1:26" ht="18.600000000000001" customHeight="1">
      <c r="A1357" s="145" t="str">
        <f>IF(priority(Main[[#This Row],[Comments]])&lt;&gt;0, priority(Main[[#This Row],[Comments]]),"")</f>
        <v/>
      </c>
      <c r="B1357" s="117" t="s">
        <v>3540</v>
      </c>
      <c r="C1357" s="118" t="s">
        <v>3541</v>
      </c>
      <c r="D1357" s="119" t="s">
        <v>3542</v>
      </c>
      <c r="E1357" s="120">
        <v>40926.724259259259</v>
      </c>
      <c r="F1357" s="120">
        <v>40928</v>
      </c>
      <c r="G1357" s="121" t="str">
        <f>IF(stdProdLT(Main[[#This Row],[Comments]])=0.1,"N/A",IF(stdProdLT(Main[[#This Row],[Comments]])=0,"",stdProdLT(Main[[#This Row],[Comments]])))</f>
        <v/>
      </c>
      <c r="H1357" s="122">
        <f>IF(AND(Main[[#This Row],[In Stock Date]]&lt;&gt;"",Main[[#This Row],[Revised Due Date]]&lt;&gt;""),Main[[#This Row],[In Stock Date]]-Main[[#This Row],[Revised Due Date]],"")</f>
        <v>0</v>
      </c>
      <c r="I1357" s="118" t="s">
        <v>311</v>
      </c>
      <c r="J1357" s="118" t="s">
        <v>75</v>
      </c>
      <c r="K1357" s="118" t="s">
        <v>1946</v>
      </c>
      <c r="L1357" s="120">
        <v>40927</v>
      </c>
      <c r="M1357" s="123">
        <f>IF(Main[[#This Row],[Tech Start Date]]&lt;1/1/1990,"",IF(Main[[#This Row],[Class]]="C",WORKDAY(Main[[#This Row],[Tech Start Date]],9),IF(Main[[#This Row],[Class]]="B", WORKDAY(Main[[#This Row],[Tech Start Date]],6),IF(Main[[#This Row],[Class]]="A",WORKDAY(Main[[#This Row],[Tech Start Date]],2),""))))</f>
        <v>40931</v>
      </c>
      <c r="N1357" s="123">
        <f>IF(Main[[#This Row],[Tech Start Date]]&lt;1/1/1990,"",IF(Main[[#This Row],[Class]]="C",WORKDAY(Main[[#This Row],[Tech Start Date]],19),IF(Main[[#This Row],[Class]]="B", WORKDAY(Main[[#This Row],[Tech Start Date]],12),IF(Main[[#This Row],[Class]]="A",WORKDAY(Main[[#This Row],[Tech Start Date]],4),""))))</f>
        <v>40933</v>
      </c>
      <c r="O1357" s="123">
        <f>IF(Main[[#This Row],[Tech Start Date]]&lt;1/1/1990,"",IF(Main[[#This Row],[Class]]="C",WORKDAY(Main[[#This Row],[Tech Start Date]],23),IF(Main[[#This Row],[Class]]="B", WORKDAY(Main[[#This Row],[Tech Start Date]],15),IF(Main[[#This Row],[Class]]="A",WORKDAY(Main[[#This Row],[Tech Start Date]],5),""))))</f>
        <v>40934</v>
      </c>
      <c r="P1357" s="123">
        <f>IF(Main[[#This Row],[Tech Start Date]]&lt;1/1/1990,"",IF(Main[[#This Row],[Class]]="C",WORKDAY(Main[[#This Row],[Tech Start Date]],28),IF(Main[[#This Row],[Class]]="B", WORKDAY(Main[[#This Row],[Tech Start Date]],19),IF(Main[[#This Row],[Class]]="A",WORKDAY(Main[[#This Row],[Tech Start Date]],9),""))))</f>
        <v>40940</v>
      </c>
      <c r="Q1357" s="120"/>
      <c r="R1357" s="120">
        <v>40928</v>
      </c>
      <c r="S1357" s="118" t="s">
        <v>11</v>
      </c>
      <c r="T1357" s="124" t="s">
        <v>4</v>
      </c>
      <c r="U1357" s="118" t="s">
        <v>29</v>
      </c>
      <c r="V1357" s="118" t="s">
        <v>1937</v>
      </c>
      <c r="W1357" s="118" t="s">
        <v>1948</v>
      </c>
      <c r="X1357" s="118" t="s">
        <v>2991</v>
      </c>
      <c r="Y1357" s="125" t="s">
        <v>3128</v>
      </c>
      <c r="Z1357" s="125" t="s">
        <v>129</v>
      </c>
    </row>
  </sheetData>
  <sheetProtection formatCells="0" formatColumns="0" formatRows="0" insertColumns="0" insertRows="0" insertHyperlinks="0" deleteColumns="0" deleteRows="0" selectLockedCells="1" sort="0" autoFilter="0" pivotTables="0"/>
  <dataConsolidate/>
  <mergeCells count="4">
    <mergeCell ref="AA5:AH5"/>
    <mergeCell ref="A1:B1"/>
    <mergeCell ref="C2:C4"/>
    <mergeCell ref="A2:B4"/>
  </mergeCells>
  <conditionalFormatting sqref="B6:B1357">
    <cfRule type="expression" dxfId="70" priority="19">
      <formula>atat($T6)=1</formula>
    </cfRule>
  </conditionalFormatting>
  <conditionalFormatting sqref="M6:P1357">
    <cfRule type="colorScale" priority="13">
      <colorScale>
        <cfvo type="num" val="TODAY()"/>
        <cfvo type="num" val="TODAY()+2"/>
        <cfvo type="num" val="TODAY()+4"/>
        <color rgb="FFD36767"/>
        <color rgb="FFFFFFD1"/>
        <color rgb="FFC0E391"/>
      </colorScale>
    </cfRule>
  </conditionalFormatting>
  <conditionalFormatting sqref="C6:R1048576">
    <cfRule type="expression" dxfId="69" priority="1451">
      <formula>OR($J6="Document Control", $J6="Quality")</formula>
    </cfRule>
  </conditionalFormatting>
  <conditionalFormatting sqref="C6:U1048576">
    <cfRule type="expression" dxfId="68" priority="1636">
      <formula>OR($U6="Design Hold", $U6="Define Requirements")</formula>
    </cfRule>
  </conditionalFormatting>
  <conditionalFormatting sqref="H6:H1357">
    <cfRule type="expression" priority="1" stopIfTrue="1">
      <formula>OR($G6="",$G6="N/A",$H6="")</formula>
    </cfRule>
    <cfRule type="cellIs" dxfId="67" priority="9" operator="greaterThan">
      <formula>$G6</formula>
    </cfRule>
  </conditionalFormatting>
  <conditionalFormatting sqref="H6:H1357">
    <cfRule type="cellIs" dxfId="66" priority="610" operator="between">
      <formula>$G6-7</formula>
      <formula>$G6</formula>
    </cfRule>
  </conditionalFormatting>
  <conditionalFormatting sqref="H5:H1355 H1357">
    <cfRule type="cellIs" dxfId="65" priority="2" operator="lessThan">
      <formula>$G6-7</formula>
    </cfRule>
  </conditionalFormatting>
  <conditionalFormatting sqref="H1356">
    <cfRule type="cellIs" dxfId="64" priority="1705" operator="lessThan">
      <formula>#REF!-7</formula>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9980" r:id="rId5" name="softSht">
          <controlPr defaultSize="0" print="0" autoLine="0" r:id="rId6">
            <anchor moveWithCells="1">
              <from>
                <xdr:col>3</xdr:col>
                <xdr:colOff>2476500</xdr:colOff>
                <xdr:row>2</xdr:row>
                <xdr:rowOff>533400</xdr:rowOff>
              </from>
              <to>
                <xdr:col>3</xdr:col>
                <xdr:colOff>2790825</xdr:colOff>
                <xdr:row>2</xdr:row>
                <xdr:rowOff>857250</xdr:rowOff>
              </to>
            </anchor>
          </controlPr>
        </control>
      </mc:Choice>
      <mc:Fallback>
        <control shapeId="9980" r:id="rId5" name="softSht"/>
      </mc:Fallback>
    </mc:AlternateContent>
    <mc:AlternateContent xmlns:mc="http://schemas.openxmlformats.org/markup-compatibility/2006">
      <mc:Choice Requires="x14">
        <control shapeId="9979" r:id="rId7" name="diSht">
          <controlPr defaultSize="0" print="0" autoLine="0" r:id="rId6">
            <anchor moveWithCells="1">
              <from>
                <xdr:col>3</xdr:col>
                <xdr:colOff>2476500</xdr:colOff>
                <xdr:row>2</xdr:row>
                <xdr:rowOff>142875</xdr:rowOff>
              </from>
              <to>
                <xdr:col>3</xdr:col>
                <xdr:colOff>2790825</xdr:colOff>
                <xdr:row>2</xdr:row>
                <xdr:rowOff>466725</xdr:rowOff>
              </to>
            </anchor>
          </controlPr>
        </control>
      </mc:Choice>
      <mc:Fallback>
        <control shapeId="9979" r:id="rId7" name="diSht"/>
      </mc:Fallback>
    </mc:AlternateContent>
    <mc:AlternateContent xmlns:mc="http://schemas.openxmlformats.org/markup-compatibility/2006">
      <mc:Choice Requires="x14">
        <control shapeId="9978" r:id="rId8" name="fcSht">
          <controlPr defaultSize="0" print="0" autoLine="0" r:id="rId6">
            <anchor moveWithCells="1">
              <from>
                <xdr:col>3</xdr:col>
                <xdr:colOff>2476500</xdr:colOff>
                <xdr:row>1</xdr:row>
                <xdr:rowOff>581025</xdr:rowOff>
              </from>
              <to>
                <xdr:col>3</xdr:col>
                <xdr:colOff>2790825</xdr:colOff>
                <xdr:row>2</xdr:row>
                <xdr:rowOff>85725</xdr:rowOff>
              </to>
            </anchor>
          </controlPr>
        </control>
      </mc:Choice>
      <mc:Fallback>
        <control shapeId="9978" r:id="rId8" name="fcSht"/>
      </mc:Fallback>
    </mc:AlternateContent>
    <mc:AlternateContent xmlns:mc="http://schemas.openxmlformats.org/markup-compatibility/2006">
      <mc:Choice Requires="x14">
        <control shapeId="9976" r:id="rId9" name="pmSht">
          <controlPr defaultSize="0" print="0" autoLine="0" r:id="rId6">
            <anchor moveWithCells="1">
              <from>
                <xdr:col>3</xdr:col>
                <xdr:colOff>2476500</xdr:colOff>
                <xdr:row>1</xdr:row>
                <xdr:rowOff>200025</xdr:rowOff>
              </from>
              <to>
                <xdr:col>3</xdr:col>
                <xdr:colOff>2790825</xdr:colOff>
                <xdr:row>1</xdr:row>
                <xdr:rowOff>523875</xdr:rowOff>
              </to>
            </anchor>
          </controlPr>
        </control>
      </mc:Choice>
      <mc:Fallback>
        <control shapeId="9976" r:id="rId9" name="pmSht"/>
      </mc:Fallback>
    </mc:AlternateContent>
    <mc:AlternateContent xmlns:mc="http://schemas.openxmlformats.org/markup-compatibility/2006">
      <mc:Choice Requires="x14">
        <control shapeId="9975" r:id="rId10" name="fullScreenMode">
          <controlPr defaultSize="0" print="0" autoLine="0" r:id="rId11">
            <anchor moveWithCells="1">
              <from>
                <xdr:col>2</xdr:col>
                <xdr:colOff>200025</xdr:colOff>
                <xdr:row>1</xdr:row>
                <xdr:rowOff>28575</xdr:rowOff>
              </from>
              <to>
                <xdr:col>2</xdr:col>
                <xdr:colOff>1590675</xdr:colOff>
                <xdr:row>1</xdr:row>
                <xdr:rowOff>285750</xdr:rowOff>
              </to>
            </anchor>
          </controlPr>
        </control>
      </mc:Choice>
      <mc:Fallback>
        <control shapeId="9975" r:id="rId10" name="fullScreenMode"/>
      </mc:Fallback>
    </mc:AlternateContent>
    <mc:AlternateContent xmlns:mc="http://schemas.openxmlformats.org/markup-compatibility/2006">
      <mc:Choice Requires="x14">
        <control shapeId="9974" r:id="rId12" name="posReturn">
          <controlPr defaultSize="0" print="0" autoLine="0" r:id="rId13">
            <anchor moveWithCells="1">
              <from>
                <xdr:col>0</xdr:col>
                <xdr:colOff>104775</xdr:colOff>
                <xdr:row>2</xdr:row>
                <xdr:rowOff>657225</xdr:rowOff>
              </from>
              <to>
                <xdr:col>1</xdr:col>
                <xdr:colOff>647700</xdr:colOff>
                <xdr:row>3</xdr:row>
                <xdr:rowOff>161925</xdr:rowOff>
              </to>
            </anchor>
          </controlPr>
        </control>
      </mc:Choice>
      <mc:Fallback>
        <control shapeId="9974" r:id="rId12" name="posReturn"/>
      </mc:Fallback>
    </mc:AlternateContent>
    <mc:AlternateContent xmlns:mc="http://schemas.openxmlformats.org/markup-compatibility/2006">
      <mc:Choice Requires="x14">
        <control shapeId="9973" r:id="rId14" name="refreshMain">
          <controlPr defaultSize="0" print="0" autoLine="0" r:id="rId15">
            <anchor moveWithCells="1">
              <from>
                <xdr:col>0</xdr:col>
                <xdr:colOff>114300</xdr:colOff>
                <xdr:row>2</xdr:row>
                <xdr:rowOff>266700</xdr:rowOff>
              </from>
              <to>
                <xdr:col>1</xdr:col>
                <xdr:colOff>590550</xdr:colOff>
                <xdr:row>2</xdr:row>
                <xdr:rowOff>619125</xdr:rowOff>
              </to>
            </anchor>
          </controlPr>
        </control>
      </mc:Choice>
      <mc:Fallback>
        <control shapeId="9973" r:id="rId14" name="refreshMain"/>
      </mc:Fallback>
    </mc:AlternateContent>
    <mc:AlternateContent xmlns:mc="http://schemas.openxmlformats.org/markup-compatibility/2006">
      <mc:Choice Requires="x14">
        <control shapeId="9972" r:id="rId16" name="ClearSort">
          <controlPr defaultSize="0" print="0" autoLine="0" r:id="rId17">
            <anchor moveWithCells="1">
              <from>
                <xdr:col>0</xdr:col>
                <xdr:colOff>209550</xdr:colOff>
                <xdr:row>1</xdr:row>
                <xdr:rowOff>95250</xdr:rowOff>
              </from>
              <to>
                <xdr:col>1</xdr:col>
                <xdr:colOff>495300</xdr:colOff>
                <xdr:row>1</xdr:row>
                <xdr:rowOff>438150</xdr:rowOff>
              </to>
            </anchor>
          </controlPr>
        </control>
      </mc:Choice>
      <mc:Fallback>
        <control shapeId="9972" r:id="rId16" name="ClearSort"/>
      </mc:Fallback>
    </mc:AlternateContent>
    <mc:AlternateContent xmlns:mc="http://schemas.openxmlformats.org/markup-compatibility/2006">
      <mc:Choice Requires="x14">
        <control shapeId="9971" r:id="rId18" name="gotoDept">
          <controlPr defaultSize="0" print="0" autoLine="0" r:id="rId19">
            <anchor moveWithCells="1">
              <from>
                <xdr:col>0</xdr:col>
                <xdr:colOff>161925</xdr:colOff>
                <xdr:row>1</xdr:row>
                <xdr:rowOff>514350</xdr:rowOff>
              </from>
              <to>
                <xdr:col>1</xdr:col>
                <xdr:colOff>581025</xdr:colOff>
                <xdr:row>2</xdr:row>
                <xdr:rowOff>200025</xdr:rowOff>
              </to>
            </anchor>
          </controlPr>
        </control>
      </mc:Choice>
      <mc:Fallback>
        <control shapeId="9971" r:id="rId18" name="gotoDept"/>
      </mc:Fallback>
    </mc:AlternateContent>
    <mc:AlternateContent xmlns:mc="http://schemas.openxmlformats.org/markup-compatibility/2006">
      <mc:Choice Requires="x14">
        <control shapeId="9970" r:id="rId20" name="prioritizer">
          <controlPr defaultSize="0" print="0" autoFill="0" autoLine="0" r:id="rId21">
            <anchor moveWithCells="1">
              <from>
                <xdr:col>2</xdr:col>
                <xdr:colOff>76200</xdr:colOff>
                <xdr:row>2</xdr:row>
                <xdr:rowOff>381000</xdr:rowOff>
              </from>
              <to>
                <xdr:col>2</xdr:col>
                <xdr:colOff>1714500</xdr:colOff>
                <xdr:row>2</xdr:row>
                <xdr:rowOff>781050</xdr:rowOff>
              </to>
            </anchor>
          </controlPr>
        </control>
      </mc:Choice>
      <mc:Fallback>
        <control shapeId="9970" r:id="rId20" name="prioritizer"/>
      </mc:Fallback>
    </mc:AlternateContent>
    <mc:AlternateContent xmlns:mc="http://schemas.openxmlformats.org/markup-compatibility/2006">
      <mc:Choice Requires="x14">
        <control shapeId="9969" r:id="rId22" name="printReport">
          <controlPr defaultSize="0" print="0" autoFill="0" autoLine="0" r:id="rId23">
            <anchor moveWithCells="1">
              <from>
                <xdr:col>2</xdr:col>
                <xdr:colOff>76200</xdr:colOff>
                <xdr:row>1</xdr:row>
                <xdr:rowOff>771525</xdr:rowOff>
              </from>
              <to>
                <xdr:col>2</xdr:col>
                <xdr:colOff>1714500</xdr:colOff>
                <xdr:row>2</xdr:row>
                <xdr:rowOff>352425</xdr:rowOff>
              </to>
            </anchor>
          </controlPr>
        </control>
      </mc:Choice>
      <mc:Fallback>
        <control shapeId="9969" r:id="rId22" name="printReport"/>
      </mc:Fallback>
    </mc:AlternateContent>
    <mc:AlternateContent xmlns:mc="http://schemas.openxmlformats.org/markup-compatibility/2006">
      <mc:Choice Requires="x14">
        <control shapeId="9968" r:id="rId24" name="tools">
          <controlPr defaultSize="0" print="0" autoFill="0" autoLine="0" r:id="rId25">
            <anchor moveWithCells="1">
              <from>
                <xdr:col>2</xdr:col>
                <xdr:colOff>76200</xdr:colOff>
                <xdr:row>1</xdr:row>
                <xdr:rowOff>342900</xdr:rowOff>
              </from>
              <to>
                <xdr:col>2</xdr:col>
                <xdr:colOff>1714500</xdr:colOff>
                <xdr:row>1</xdr:row>
                <xdr:rowOff>742950</xdr:rowOff>
              </to>
            </anchor>
          </controlPr>
        </control>
      </mc:Choice>
      <mc:Fallback>
        <control shapeId="9968" r:id="rId24" name="tools"/>
      </mc:Fallback>
    </mc:AlternateContent>
    <mc:AlternateContent xmlns:mc="http://schemas.openxmlformats.org/markup-compatibility/2006">
      <mc:Choice Requires="x14">
        <control shapeId="9967" r:id="rId26" name="searchButton">
          <controlPr defaultSize="0" print="0" autoLine="0" r:id="rId27">
            <anchor moveWithCells="1">
              <from>
                <xdr:col>2</xdr:col>
                <xdr:colOff>1143000</xdr:colOff>
                <xdr:row>2</xdr:row>
                <xdr:rowOff>819150</xdr:rowOff>
              </from>
              <to>
                <xdr:col>2</xdr:col>
                <xdr:colOff>1524000</xdr:colOff>
                <xdr:row>3</xdr:row>
                <xdr:rowOff>219075</xdr:rowOff>
              </to>
            </anchor>
          </controlPr>
        </control>
      </mc:Choice>
      <mc:Fallback>
        <control shapeId="9967" r:id="rId26" name="searchButton"/>
      </mc:Fallback>
    </mc:AlternateContent>
    <mc:AlternateContent xmlns:mc="http://schemas.openxmlformats.org/markup-compatibility/2006">
      <mc:Choice Requires="x14">
        <control shapeId="9961" r:id="rId28" name="rtasearch">
          <controlPr defaultSize="0" print="0" autoLine="0" listFillRange="B6:B2170" r:id="rId29">
            <anchor moveWithCells="1">
              <from>
                <xdr:col>2</xdr:col>
                <xdr:colOff>276225</xdr:colOff>
                <xdr:row>2</xdr:row>
                <xdr:rowOff>819150</xdr:rowOff>
              </from>
              <to>
                <xdr:col>2</xdr:col>
                <xdr:colOff>1114425</xdr:colOff>
                <xdr:row>3</xdr:row>
                <xdr:rowOff>209550</xdr:rowOff>
              </to>
            </anchor>
          </controlPr>
        </control>
      </mc:Choice>
      <mc:Fallback>
        <control shapeId="9961" r:id="rId28" name="rtasearch"/>
      </mc:Fallback>
    </mc:AlternateContent>
    <mc:AlternateContent xmlns:mc="http://schemas.openxmlformats.org/markup-compatibility/2006">
      <mc:Choice Requires="x14">
        <control shapeId="1045" r:id="rId30" name="PM">
          <controlPr defaultSize="0" print="0" autoFill="0" autoLine="0" r:id="rId31">
            <anchor moveWithCells="1">
              <from>
                <xdr:col>3</xdr:col>
                <xdr:colOff>209550</xdr:colOff>
                <xdr:row>1</xdr:row>
                <xdr:rowOff>200025</xdr:rowOff>
              </from>
              <to>
                <xdr:col>3</xdr:col>
                <xdr:colOff>2400300</xdr:colOff>
                <xdr:row>1</xdr:row>
                <xdr:rowOff>523875</xdr:rowOff>
              </to>
            </anchor>
          </controlPr>
        </control>
      </mc:Choice>
      <mc:Fallback>
        <control shapeId="1045" r:id="rId30" name="PM"/>
      </mc:Fallback>
    </mc:AlternateContent>
    <mc:AlternateContent xmlns:mc="http://schemas.openxmlformats.org/markup-compatibility/2006">
      <mc:Choice Requires="x14">
        <control shapeId="1046" r:id="rId32" name="fc">
          <controlPr defaultSize="0" print="0" autoFill="0" autoLine="0" r:id="rId33">
            <anchor moveWithCells="1">
              <from>
                <xdr:col>3</xdr:col>
                <xdr:colOff>209550</xdr:colOff>
                <xdr:row>1</xdr:row>
                <xdr:rowOff>581025</xdr:rowOff>
              </from>
              <to>
                <xdr:col>3</xdr:col>
                <xdr:colOff>2400300</xdr:colOff>
                <xdr:row>2</xdr:row>
                <xdr:rowOff>85725</xdr:rowOff>
              </to>
            </anchor>
          </controlPr>
        </control>
      </mc:Choice>
      <mc:Fallback>
        <control shapeId="1046" r:id="rId32" name="fc"/>
      </mc:Fallback>
    </mc:AlternateContent>
    <mc:AlternateContent xmlns:mc="http://schemas.openxmlformats.org/markup-compatibility/2006">
      <mc:Choice Requires="x14">
        <control shapeId="1047" r:id="rId34" name="di">
          <controlPr defaultSize="0" print="0" autoFill="0" autoLine="0" r:id="rId35">
            <anchor moveWithCells="1">
              <from>
                <xdr:col>3</xdr:col>
                <xdr:colOff>209550</xdr:colOff>
                <xdr:row>2</xdr:row>
                <xdr:rowOff>142875</xdr:rowOff>
              </from>
              <to>
                <xdr:col>3</xdr:col>
                <xdr:colOff>2400300</xdr:colOff>
                <xdr:row>2</xdr:row>
                <xdr:rowOff>466725</xdr:rowOff>
              </to>
            </anchor>
          </controlPr>
        </control>
      </mc:Choice>
      <mc:Fallback>
        <control shapeId="1047" r:id="rId34" name="di"/>
      </mc:Fallback>
    </mc:AlternateContent>
    <mc:AlternateContent xmlns:mc="http://schemas.openxmlformats.org/markup-compatibility/2006">
      <mc:Choice Requires="x14">
        <control shapeId="1048" r:id="rId36" name="soft">
          <controlPr defaultSize="0" print="0" autoFill="0" autoLine="0" r:id="rId37">
            <anchor moveWithCells="1">
              <from>
                <xdr:col>3</xdr:col>
                <xdr:colOff>209550</xdr:colOff>
                <xdr:row>2</xdr:row>
                <xdr:rowOff>533400</xdr:rowOff>
              </from>
              <to>
                <xdr:col>3</xdr:col>
                <xdr:colOff>2400300</xdr:colOff>
                <xdr:row>2</xdr:row>
                <xdr:rowOff>857250</xdr:rowOff>
              </to>
            </anchor>
          </controlPr>
        </control>
      </mc:Choice>
      <mc:Fallback>
        <control shapeId="1048" r:id="rId36" name="soft"/>
      </mc:Fallback>
    </mc:AlternateContent>
    <mc:AlternateContent xmlns:mc="http://schemas.openxmlformats.org/markup-compatibility/2006">
      <mc:Choice Requires="x14">
        <control shapeId="1055" r:id="rId38" name="sheetView">
          <controlPr defaultSize="0" print="0" autoLine="0" r:id="rId39">
            <anchor moveWithCells="1">
              <from>
                <xdr:col>3</xdr:col>
                <xdr:colOff>133350</xdr:colOff>
                <xdr:row>0</xdr:row>
                <xdr:rowOff>66675</xdr:rowOff>
              </from>
              <to>
                <xdr:col>3</xdr:col>
                <xdr:colOff>2819400</xdr:colOff>
                <xdr:row>1</xdr:row>
                <xdr:rowOff>190500</xdr:rowOff>
              </to>
            </anchor>
          </controlPr>
        </control>
      </mc:Choice>
      <mc:Fallback>
        <control shapeId="1055" r:id="rId38" name="sheetView"/>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colorScale" priority="623" id="{CAB80E75-2909-44E5-A760-AD4C4C5BDB81}">
            <x14:colorScale>
              <x14:cfvo type="num">
                <xm:f>Settings!#REF!</xm:f>
              </x14:cfvo>
              <x14:cfvo type="percentile">
                <xm:f>65</xm:f>
              </x14:cfvo>
              <x14:cfvo type="num">
                <xm:f>Settings!#REF!</xm:f>
              </x14:cfvo>
              <x14:color rgb="FFD87674"/>
              <x14:color rgb="FFFFFFC5"/>
              <x14:color rgb="FFC0E391"/>
            </x14:colorScale>
          </x14:cfRule>
          <xm:sqref>H6:H1357</xm:sqref>
        </x14:conditionalFormatting>
        <x14:conditionalFormatting xmlns:xm="http://schemas.microsoft.com/office/excel/2006/main">
          <x14:cfRule type="iconSet" priority="1708" id="{A1FC3F13-76EB-4633-85C9-6092B91F0CE3}">
            <x14:iconSet iconSet="3Symbols2" custom="1">
              <x14:cfvo type="percent">
                <xm:f>0</xm:f>
              </x14:cfvo>
              <x14:cfvo type="num">
                <xm:f>TODAY()</xm:f>
              </x14:cfvo>
              <x14:cfvo type="num">
                <xm:f>TODAY()+2</xm:f>
              </x14:cfvo>
              <x14:cfIcon iconSet="3Signs" iconId="0"/>
              <x14:cfIcon iconSet="3Symbols2" iconId="1"/>
              <x14:cfIcon iconSet="NoIcons" iconId="0"/>
            </x14:iconSet>
          </x14:cfRule>
          <xm:sqref>R6:R1357</xm:sqref>
        </x14:conditionalFormatting>
        <x14:conditionalFormatting xmlns:xm="http://schemas.microsoft.com/office/excel/2006/main">
          <x14:cfRule type="iconSet" priority="1710" id="{2117E296-A918-4CFC-A156-CEDDE2B84118}">
            <x14:iconSet iconSet="3Symbols" custom="1">
              <x14:cfvo type="percent">
                <xm:f>0</xm:f>
              </x14:cfvo>
              <x14:cfvo type="num" gte="0">
                <xm:f>TODAY()</xm:f>
              </x14:cfvo>
              <x14:cfvo type="num" gte="0">
                <xm:f>TODAY()+4</xm:f>
              </x14:cfvo>
              <x14:cfIcon iconSet="3Signs" iconId="0"/>
              <x14:cfIcon iconSet="3Symbols2" iconId="1"/>
              <x14:cfIcon iconSet="3Symbols2" iconId="2"/>
            </x14:iconSet>
          </x14:cfRule>
          <xm:sqref>Q6:Q1357</xm:sqref>
        </x14:conditionalFormatting>
        <x14:conditionalFormatting xmlns:xm="http://schemas.microsoft.com/office/excel/2006/main">
          <x14:cfRule type="colorScale" priority="1712" id="{4B0BC6B7-F52E-48C0-A0DE-8DA28A8CD3F2}">
            <x14:colorScale>
              <x14:cfvo type="formula">
                <xm:f>Settings!#REF!</xm:f>
              </x14:cfvo>
              <x14:cfvo type="percent">
                <xm:f>65</xm:f>
              </x14:cfvo>
              <x14:cfvo type="formula">
                <xm:f>Settings!#REF!</xm:f>
              </x14:cfvo>
              <x14:color rgb="FFD7796F"/>
              <x14:color rgb="FFFFEB84"/>
              <x14:color rgb="FFC0E391"/>
            </x14:colorScale>
          </x14:cfRule>
          <xm:sqref>G6:G1357</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39997558519241921"/>
  </sheetPr>
  <dimension ref="A1:Y92"/>
  <sheetViews>
    <sheetView showGridLines="0" showRowColHeaders="0" topLeftCell="G1" zoomScale="70" zoomScaleNormal="70" workbookViewId="0">
      <selection activeCell="D5" sqref="D5:M5"/>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7" width="20.375" style="4" customWidth="1"/>
    <col min="18" max="18" width="27.75" style="4" customWidth="1"/>
    <col min="19" max="26" width="15.5" style="4" customWidth="1"/>
    <col min="27" max="16384" width="15.5" style="4"/>
  </cols>
  <sheetData>
    <row r="1" spans="2:18" ht="15" customHeight="1" thickBot="1"/>
    <row r="2" spans="2:18" ht="54" customHeight="1" thickTop="1" thickBot="1">
      <c r="B2" s="173" t="s">
        <v>1014</v>
      </c>
      <c r="C2" s="174"/>
      <c r="D2" s="174"/>
      <c r="E2" s="174"/>
      <c r="F2" s="174"/>
      <c r="G2" s="174"/>
      <c r="H2" s="174"/>
      <c r="I2" s="174"/>
      <c r="J2" s="174"/>
      <c r="K2" s="174"/>
      <c r="L2" s="174"/>
      <c r="M2" s="175"/>
      <c r="O2" s="161" t="s">
        <v>1955</v>
      </c>
      <c r="P2" s="162"/>
      <c r="Q2" s="161" t="s">
        <v>1968</v>
      </c>
      <c r="R2" s="162"/>
    </row>
    <row r="3" spans="2:18" s="7" customFormat="1" ht="19.5" customHeight="1" thickTop="1">
      <c r="B3" s="176" t="s">
        <v>998</v>
      </c>
      <c r="C3" s="23" t="s">
        <v>1002</v>
      </c>
      <c r="D3" s="17" t="s">
        <v>11</v>
      </c>
      <c r="E3" s="18"/>
      <c r="F3" s="18"/>
      <c r="G3" s="18"/>
      <c r="H3" s="18"/>
      <c r="I3" s="18"/>
      <c r="J3" s="18"/>
      <c r="K3" s="18"/>
      <c r="L3" s="18"/>
      <c r="M3" s="19"/>
      <c r="N3" s="9"/>
      <c r="O3" s="163" t="s">
        <v>3543</v>
      </c>
      <c r="P3" s="163"/>
      <c r="Q3" s="163" t="s">
        <v>2727</v>
      </c>
      <c r="R3" s="163"/>
    </row>
    <row r="4" spans="2:18" s="7" customFormat="1" ht="19.5" customHeight="1">
      <c r="B4" s="177"/>
      <c r="C4" s="24" t="s">
        <v>1960</v>
      </c>
      <c r="D4" s="29" t="s">
        <v>1937</v>
      </c>
      <c r="E4" s="30"/>
      <c r="F4" s="30"/>
      <c r="G4" s="30"/>
      <c r="H4" s="30"/>
      <c r="I4" s="30"/>
      <c r="J4" s="30"/>
      <c r="K4" s="30"/>
      <c r="L4" s="30"/>
      <c r="M4" s="31"/>
      <c r="N4" s="9"/>
      <c r="O4" s="164"/>
      <c r="P4" s="164"/>
      <c r="Q4" s="164"/>
      <c r="R4" s="164"/>
    </row>
    <row r="5" spans="2:18" s="8" customFormat="1" ht="19.5" customHeight="1">
      <c r="B5" s="177"/>
      <c r="C5" s="24" t="s">
        <v>1003</v>
      </c>
      <c r="D5" s="20">
        <v>1</v>
      </c>
      <c r="E5" s="21">
        <v>2</v>
      </c>
      <c r="F5" s="21">
        <v>3</v>
      </c>
      <c r="G5" s="21">
        <v>4</v>
      </c>
      <c r="H5" s="21">
        <v>5</v>
      </c>
      <c r="I5" s="21">
        <v>6</v>
      </c>
      <c r="J5" s="21">
        <v>7</v>
      </c>
      <c r="K5" s="21">
        <v>0</v>
      </c>
      <c r="L5" s="21">
        <v>0</v>
      </c>
      <c r="M5" s="22">
        <v>0</v>
      </c>
      <c r="N5" s="9"/>
      <c r="O5" s="164"/>
      <c r="P5" s="164"/>
      <c r="Q5" s="164"/>
      <c r="R5" s="164"/>
    </row>
    <row r="6" spans="2:18" ht="19.5" customHeight="1">
      <c r="B6" s="177"/>
      <c r="C6" s="24" t="s">
        <v>1004</v>
      </c>
      <c r="D6" s="20" t="s">
        <v>7</v>
      </c>
      <c r="E6" s="21" t="s">
        <v>29</v>
      </c>
      <c r="F6" s="21" t="s">
        <v>540</v>
      </c>
      <c r="G6" s="21" t="s">
        <v>704</v>
      </c>
      <c r="H6" s="21"/>
      <c r="I6" s="21"/>
      <c r="J6" s="21"/>
      <c r="K6" s="21"/>
      <c r="L6" s="21"/>
      <c r="M6" s="22"/>
      <c r="O6" s="164"/>
      <c r="P6" s="164"/>
      <c r="Q6" s="164"/>
      <c r="R6" s="164"/>
    </row>
    <row r="7" spans="2:18" ht="19.5" customHeight="1" thickBot="1">
      <c r="B7" s="177"/>
      <c r="C7" s="24" t="s">
        <v>3326</v>
      </c>
      <c r="D7" s="27" t="s">
        <v>7</v>
      </c>
      <c r="E7" s="27" t="s">
        <v>29</v>
      </c>
      <c r="F7" s="27" t="s">
        <v>540</v>
      </c>
      <c r="G7" s="27" t="s">
        <v>704</v>
      </c>
      <c r="H7" s="27"/>
      <c r="I7" s="27"/>
      <c r="J7" s="27"/>
      <c r="K7" s="27"/>
      <c r="L7" s="27"/>
      <c r="M7" s="27"/>
      <c r="O7" s="164"/>
      <c r="P7" s="164"/>
      <c r="Q7" s="164"/>
      <c r="R7" s="164"/>
    </row>
    <row r="8" spans="2:18" ht="19.5" customHeight="1" thickTop="1" thickBot="1">
      <c r="B8" s="178"/>
      <c r="C8" s="25" t="s">
        <v>3327</v>
      </c>
      <c r="D8" s="28" t="s">
        <v>3426</v>
      </c>
      <c r="E8" s="28"/>
      <c r="F8" s="28"/>
      <c r="G8" s="28"/>
      <c r="H8" s="28"/>
      <c r="I8" s="28"/>
      <c r="J8" s="28"/>
      <c r="K8" s="28"/>
      <c r="L8" s="28"/>
      <c r="M8" s="28"/>
      <c r="O8" s="165" t="s">
        <v>2186</v>
      </c>
      <c r="P8" s="165"/>
      <c r="Q8" s="165" t="s">
        <v>3365</v>
      </c>
      <c r="R8" s="165"/>
    </row>
    <row r="9" spans="2:18" ht="19.5" customHeight="1" thickTop="1" thickBot="1">
      <c r="B9" s="176" t="s">
        <v>999</v>
      </c>
      <c r="C9" s="23" t="s">
        <v>1005</v>
      </c>
      <c r="D9" s="17" t="s">
        <v>11</v>
      </c>
      <c r="E9" s="18"/>
      <c r="F9" s="18"/>
      <c r="G9" s="18"/>
      <c r="H9" s="18"/>
      <c r="I9" s="18"/>
      <c r="J9" s="18"/>
      <c r="K9" s="18"/>
      <c r="L9" s="18"/>
      <c r="M9" s="19"/>
      <c r="O9" s="166">
        <v>0</v>
      </c>
      <c r="P9" s="166"/>
      <c r="Q9" s="166" t="b">
        <v>1</v>
      </c>
      <c r="R9" s="166"/>
    </row>
    <row r="10" spans="2:18" s="7" customFormat="1" ht="19.5" customHeight="1" thickTop="1" thickBot="1">
      <c r="B10" s="177"/>
      <c r="C10" s="24" t="s">
        <v>1963</v>
      </c>
      <c r="D10" s="29" t="s">
        <v>1940</v>
      </c>
      <c r="E10" s="30" t="s">
        <v>1947</v>
      </c>
      <c r="F10" s="30"/>
      <c r="G10" s="30"/>
      <c r="H10" s="30"/>
      <c r="I10" s="30"/>
      <c r="J10" s="30"/>
      <c r="K10" s="30"/>
      <c r="L10" s="30"/>
      <c r="M10" s="31"/>
      <c r="N10" s="9"/>
      <c r="O10" s="165" t="s">
        <v>2298</v>
      </c>
      <c r="P10" s="165"/>
      <c r="Q10" s="165" t="s">
        <v>2299</v>
      </c>
      <c r="R10" s="165"/>
    </row>
    <row r="11" spans="2:18" ht="19.5" customHeight="1" thickTop="1" thickBot="1">
      <c r="B11" s="177"/>
      <c r="C11" s="24" t="s">
        <v>1006</v>
      </c>
      <c r="D11" s="20">
        <v>1</v>
      </c>
      <c r="E11" s="21">
        <v>2</v>
      </c>
      <c r="F11" s="21">
        <v>3</v>
      </c>
      <c r="G11" s="21">
        <v>4</v>
      </c>
      <c r="H11" s="21">
        <v>5</v>
      </c>
      <c r="I11" s="21">
        <v>6</v>
      </c>
      <c r="J11" s="21">
        <v>7</v>
      </c>
      <c r="K11" s="21">
        <v>0</v>
      </c>
      <c r="L11" s="21">
        <v>0</v>
      </c>
      <c r="M11" s="22">
        <v>0</v>
      </c>
      <c r="O11" s="166" t="s">
        <v>86</v>
      </c>
      <c r="P11" s="166"/>
      <c r="Q11" s="166" t="s">
        <v>1946</v>
      </c>
      <c r="R11" s="166"/>
    </row>
    <row r="12" spans="2:18" ht="19.5" customHeight="1" thickTop="1" thickBot="1">
      <c r="B12" s="177"/>
      <c r="C12" s="24" t="s">
        <v>1007</v>
      </c>
      <c r="D12" s="20" t="s">
        <v>7</v>
      </c>
      <c r="E12" s="21" t="s">
        <v>29</v>
      </c>
      <c r="F12" s="21" t="s">
        <v>540</v>
      </c>
      <c r="G12" s="21" t="s">
        <v>704</v>
      </c>
      <c r="H12" s="21"/>
      <c r="I12" s="21"/>
      <c r="J12" s="21"/>
      <c r="K12" s="21"/>
      <c r="L12" s="21"/>
      <c r="M12" s="22"/>
      <c r="O12" s="165" t="s">
        <v>3325</v>
      </c>
      <c r="P12" s="165"/>
      <c r="Q12" s="165"/>
      <c r="R12" s="165"/>
    </row>
    <row r="13" spans="2:18" ht="19.5" customHeight="1" thickTop="1" thickBot="1">
      <c r="B13" s="177"/>
      <c r="C13" s="24" t="s">
        <v>3328</v>
      </c>
      <c r="D13" s="27"/>
      <c r="E13" s="27"/>
      <c r="F13" s="27"/>
      <c r="G13" s="27"/>
      <c r="H13" s="27"/>
      <c r="I13" s="27"/>
      <c r="J13" s="27"/>
      <c r="K13" s="27"/>
      <c r="L13" s="27"/>
      <c r="M13" s="27"/>
      <c r="O13" s="166"/>
      <c r="P13" s="166"/>
      <c r="Q13" s="166"/>
      <c r="R13" s="166"/>
    </row>
    <row r="14" spans="2:18" ht="19.5" customHeight="1" thickTop="1" thickBot="1">
      <c r="B14" s="178"/>
      <c r="C14" s="25" t="s">
        <v>3329</v>
      </c>
      <c r="D14" s="28"/>
      <c r="E14" s="28"/>
      <c r="F14" s="28"/>
      <c r="G14" s="28"/>
      <c r="H14" s="28"/>
      <c r="I14" s="28"/>
      <c r="J14" s="28"/>
      <c r="K14" s="28"/>
      <c r="L14" s="28"/>
      <c r="M14" s="28"/>
      <c r="O14" s="7"/>
      <c r="P14" s="7"/>
      <c r="Q14" s="7"/>
      <c r="R14" s="7"/>
    </row>
    <row r="15" spans="2:18" ht="19.5" customHeight="1" thickTop="1">
      <c r="B15" s="176" t="s">
        <v>1000</v>
      </c>
      <c r="C15" s="23" t="s">
        <v>1008</v>
      </c>
      <c r="D15" s="17" t="s">
        <v>11</v>
      </c>
      <c r="E15" s="18"/>
      <c r="F15" s="18"/>
      <c r="G15" s="18"/>
      <c r="H15" s="18"/>
      <c r="I15" s="18"/>
      <c r="J15" s="18"/>
      <c r="K15" s="18"/>
      <c r="L15" s="18"/>
      <c r="M15" s="19"/>
      <c r="O15" s="7"/>
      <c r="P15" s="7"/>
      <c r="Q15" s="7"/>
      <c r="R15" s="7"/>
    </row>
    <row r="16" spans="2:18" ht="19.5" customHeight="1">
      <c r="B16" s="177"/>
      <c r="C16" s="24" t="s">
        <v>1962</v>
      </c>
      <c r="D16" s="29" t="s">
        <v>1938</v>
      </c>
      <c r="E16" s="30"/>
      <c r="F16" s="30"/>
      <c r="G16" s="30"/>
      <c r="H16" s="30"/>
      <c r="I16" s="30"/>
      <c r="J16" s="30"/>
      <c r="K16" s="30"/>
      <c r="L16" s="30"/>
      <c r="M16" s="31"/>
      <c r="O16" s="7"/>
      <c r="P16" s="7"/>
      <c r="Q16" s="7"/>
      <c r="R16" s="7"/>
    </row>
    <row r="17" spans="1:24" ht="19.5" customHeight="1">
      <c r="B17" s="177"/>
      <c r="C17" s="24" t="s">
        <v>1009</v>
      </c>
      <c r="D17" s="20">
        <v>1</v>
      </c>
      <c r="E17" s="21">
        <v>2</v>
      </c>
      <c r="F17" s="21">
        <v>3</v>
      </c>
      <c r="G17" s="21">
        <v>4</v>
      </c>
      <c r="H17" s="21">
        <v>5</v>
      </c>
      <c r="I17" s="21">
        <v>6</v>
      </c>
      <c r="J17" s="21">
        <v>7</v>
      </c>
      <c r="K17" s="21">
        <v>0</v>
      </c>
      <c r="L17" s="21">
        <v>0</v>
      </c>
      <c r="M17" s="22">
        <v>0</v>
      </c>
      <c r="O17" s="7"/>
      <c r="P17" s="7"/>
      <c r="Q17" s="7"/>
      <c r="R17" s="7"/>
    </row>
    <row r="18" spans="1:24" ht="19.5" customHeight="1">
      <c r="B18" s="177"/>
      <c r="C18" s="24" t="s">
        <v>1010</v>
      </c>
      <c r="D18" s="20" t="s">
        <v>7</v>
      </c>
      <c r="E18" s="21" t="s">
        <v>29</v>
      </c>
      <c r="F18" s="21" t="s">
        <v>540</v>
      </c>
      <c r="G18" s="21" t="s">
        <v>704</v>
      </c>
      <c r="H18" s="21"/>
      <c r="I18" s="21"/>
      <c r="J18" s="21"/>
      <c r="K18" s="21"/>
      <c r="L18" s="21"/>
      <c r="M18" s="22"/>
    </row>
    <row r="19" spans="1:24" ht="19.5" customHeight="1">
      <c r="B19" s="177"/>
      <c r="C19" s="24" t="s">
        <v>3330</v>
      </c>
      <c r="D19" s="27" t="s">
        <v>7</v>
      </c>
      <c r="E19" s="27" t="s">
        <v>29</v>
      </c>
      <c r="F19" s="27" t="s">
        <v>540</v>
      </c>
      <c r="G19" s="27" t="s">
        <v>704</v>
      </c>
      <c r="H19" s="27"/>
      <c r="I19" s="27"/>
      <c r="J19" s="27"/>
      <c r="K19" s="27"/>
      <c r="L19" s="27"/>
      <c r="M19" s="27"/>
    </row>
    <row r="20" spans="1:24" ht="19.5" customHeight="1" thickBot="1">
      <c r="B20" s="178"/>
      <c r="C20" s="25" t="s">
        <v>3331</v>
      </c>
      <c r="D20" s="28"/>
      <c r="E20" s="28"/>
      <c r="F20" s="28"/>
      <c r="G20" s="28"/>
      <c r="H20" s="28"/>
      <c r="I20" s="28"/>
      <c r="J20" s="28"/>
      <c r="K20" s="28"/>
      <c r="L20" s="28"/>
      <c r="M20" s="28"/>
    </row>
    <row r="21" spans="1:24" ht="19.5" customHeight="1" thickTop="1">
      <c r="B21" s="176" t="s">
        <v>1001</v>
      </c>
      <c r="C21" s="23" t="s">
        <v>1011</v>
      </c>
      <c r="D21" s="17" t="s">
        <v>11</v>
      </c>
      <c r="E21" s="18"/>
      <c r="F21" s="18"/>
      <c r="G21" s="18"/>
      <c r="H21" s="18"/>
      <c r="I21" s="18"/>
      <c r="J21" s="18"/>
      <c r="K21" s="18"/>
      <c r="L21" s="18"/>
      <c r="M21" s="19"/>
    </row>
    <row r="22" spans="1:24" ht="19.5" customHeight="1">
      <c r="B22" s="177"/>
      <c r="C22" s="24" t="s">
        <v>1961</v>
      </c>
      <c r="D22" s="29" t="s">
        <v>1952</v>
      </c>
      <c r="E22" s="30"/>
      <c r="F22" s="30"/>
      <c r="G22" s="30"/>
      <c r="H22" s="30"/>
      <c r="I22" s="30"/>
      <c r="J22" s="30"/>
      <c r="K22" s="30"/>
      <c r="L22" s="30"/>
      <c r="M22" s="31"/>
    </row>
    <row r="23" spans="1:24" ht="19.5" customHeight="1">
      <c r="B23" s="177"/>
      <c r="C23" s="24" t="s">
        <v>1012</v>
      </c>
      <c r="D23" s="20">
        <v>1</v>
      </c>
      <c r="E23" s="21">
        <v>2</v>
      </c>
      <c r="F23" s="21">
        <v>3</v>
      </c>
      <c r="G23" s="21">
        <v>4</v>
      </c>
      <c r="H23" s="21">
        <v>5</v>
      </c>
      <c r="I23" s="21">
        <v>6</v>
      </c>
      <c r="J23" s="21">
        <v>7</v>
      </c>
      <c r="K23" s="21">
        <v>0</v>
      </c>
      <c r="L23" s="21">
        <v>0</v>
      </c>
      <c r="M23" s="22">
        <v>0</v>
      </c>
    </row>
    <row r="24" spans="1:24" ht="19.5" customHeight="1">
      <c r="B24" s="177"/>
      <c r="C24" s="24" t="s">
        <v>1013</v>
      </c>
      <c r="D24" s="20" t="s">
        <v>7</v>
      </c>
      <c r="E24" s="21" t="s">
        <v>29</v>
      </c>
      <c r="F24" s="21" t="s">
        <v>540</v>
      </c>
      <c r="G24" s="21" t="s">
        <v>704</v>
      </c>
      <c r="H24" s="21"/>
      <c r="I24" s="21"/>
      <c r="J24" s="21"/>
      <c r="K24" s="21"/>
      <c r="L24" s="21"/>
      <c r="M24" s="22"/>
    </row>
    <row r="25" spans="1:24" ht="19.5" customHeight="1">
      <c r="B25" s="177"/>
      <c r="C25" s="24" t="s">
        <v>3332</v>
      </c>
      <c r="D25" s="27"/>
      <c r="E25" s="27"/>
      <c r="F25" s="27"/>
      <c r="G25" s="27"/>
      <c r="H25" s="27"/>
      <c r="I25" s="27"/>
      <c r="J25" s="27"/>
      <c r="K25" s="27"/>
      <c r="L25" s="27"/>
      <c r="M25" s="27"/>
    </row>
    <row r="26" spans="1:24" ht="19.5" customHeight="1" thickBot="1">
      <c r="B26" s="178"/>
      <c r="C26" s="25" t="s">
        <v>3333</v>
      </c>
      <c r="D26" s="28"/>
      <c r="E26" s="28"/>
      <c r="F26" s="28"/>
      <c r="G26" s="28"/>
      <c r="H26" s="28"/>
      <c r="I26" s="28"/>
      <c r="J26" s="28"/>
      <c r="K26" s="28"/>
      <c r="L26" s="28"/>
      <c r="M26" s="28"/>
    </row>
    <row r="27" spans="1:24" ht="35.25" customHeight="1" thickTop="1" thickBot="1">
      <c r="C27" s="167" t="s">
        <v>992</v>
      </c>
      <c r="D27" s="168"/>
      <c r="E27" s="168"/>
      <c r="F27" s="169"/>
      <c r="G27" s="167" t="s">
        <v>997</v>
      </c>
      <c r="H27" s="168"/>
      <c r="I27" s="168"/>
      <c r="J27" s="168"/>
      <c r="K27" s="170" t="s">
        <v>1953</v>
      </c>
      <c r="L27" s="171"/>
      <c r="M27" s="171"/>
      <c r="N27" s="171"/>
      <c r="O27" s="172"/>
    </row>
    <row r="28" spans="1:24" s="11" customFormat="1" ht="21" thickTop="1">
      <c r="A28" s="10"/>
      <c r="B28" s="10"/>
      <c r="C28" s="13" t="s">
        <v>998</v>
      </c>
      <c r="D28" s="13" t="s">
        <v>999</v>
      </c>
      <c r="E28" s="13" t="s">
        <v>1000</v>
      </c>
      <c r="F28" s="13" t="s">
        <v>1015</v>
      </c>
      <c r="G28" s="16" t="s">
        <v>1017</v>
      </c>
      <c r="H28" s="14" t="s">
        <v>983</v>
      </c>
      <c r="I28" s="14" t="s">
        <v>3</v>
      </c>
      <c r="J28" s="15" t="s">
        <v>1023</v>
      </c>
      <c r="K28" s="26" t="s">
        <v>982</v>
      </c>
      <c r="L28" s="12" t="s">
        <v>980</v>
      </c>
      <c r="M28" s="12" t="s">
        <v>981</v>
      </c>
      <c r="N28" s="12" t="s">
        <v>993</v>
      </c>
      <c r="O28" s="12" t="s">
        <v>994</v>
      </c>
      <c r="X28" s="4"/>
    </row>
    <row r="29" spans="1:24" ht="17.25" customHeight="1">
      <c r="C29" s="2" t="s">
        <v>891</v>
      </c>
      <c r="D29" s="2" t="s">
        <v>2001</v>
      </c>
      <c r="E29" s="2" t="s">
        <v>972</v>
      </c>
      <c r="F29" s="12" t="s">
        <v>2242</v>
      </c>
      <c r="G29" t="s">
        <v>2672</v>
      </c>
      <c r="H29" s="2" t="s">
        <v>11</v>
      </c>
      <c r="I29" s="2" t="s">
        <v>14</v>
      </c>
      <c r="J29" s="12" t="s">
        <v>1945</v>
      </c>
      <c r="K29" s="12" t="s">
        <v>1946</v>
      </c>
      <c r="L29" s="12">
        <v>2</v>
      </c>
      <c r="M29" s="12">
        <v>4</v>
      </c>
      <c r="N29" s="12">
        <v>5</v>
      </c>
      <c r="O29" s="12">
        <v>9</v>
      </c>
      <c r="X29" s="11"/>
    </row>
    <row r="30" spans="1:24" ht="17.25" customHeight="1">
      <c r="C30" s="2" t="s">
        <v>50</v>
      </c>
      <c r="D30" s="2" t="s">
        <v>987</v>
      </c>
      <c r="E30" s="2" t="s">
        <v>50</v>
      </c>
      <c r="F30" s="12" t="s">
        <v>2039</v>
      </c>
      <c r="G30" t="s">
        <v>2053</v>
      </c>
      <c r="H30" s="2" t="s">
        <v>17</v>
      </c>
      <c r="I30" s="2" t="s">
        <v>995</v>
      </c>
      <c r="J30" s="12" t="s">
        <v>1943</v>
      </c>
      <c r="K30" s="12" t="s">
        <v>1944</v>
      </c>
      <c r="L30" s="12">
        <v>6</v>
      </c>
      <c r="M30" s="12">
        <v>12</v>
      </c>
      <c r="N30" s="12">
        <v>15</v>
      </c>
      <c r="O30" s="12">
        <v>19</v>
      </c>
    </row>
    <row r="31" spans="1:24" ht="17.25" customHeight="1">
      <c r="C31" s="2" t="s">
        <v>984</v>
      </c>
      <c r="D31" s="2" t="s">
        <v>2078</v>
      </c>
      <c r="E31" s="2" t="s">
        <v>2691</v>
      </c>
      <c r="F31" s="12" t="s">
        <v>2237</v>
      </c>
      <c r="G31" t="s">
        <v>75</v>
      </c>
      <c r="H31" s="2" t="s">
        <v>417</v>
      </c>
      <c r="I31" s="3" t="s">
        <v>12</v>
      </c>
      <c r="J31" s="12" t="s">
        <v>1951</v>
      </c>
      <c r="K31" s="12" t="s">
        <v>1950</v>
      </c>
      <c r="L31" s="12">
        <v>9</v>
      </c>
      <c r="M31" s="12">
        <v>19</v>
      </c>
      <c r="N31" s="12">
        <v>23</v>
      </c>
      <c r="O31" s="12">
        <v>28</v>
      </c>
    </row>
    <row r="32" spans="1:24" ht="17.25" customHeight="1">
      <c r="C32" s="2" t="s">
        <v>311</v>
      </c>
      <c r="D32" s="2" t="s">
        <v>242</v>
      </c>
      <c r="E32" s="2" t="s">
        <v>311</v>
      </c>
      <c r="F32" s="12" t="s">
        <v>404</v>
      </c>
      <c r="G32" t="s">
        <v>2003</v>
      </c>
      <c r="H32" s="2" t="s">
        <v>6</v>
      </c>
      <c r="I32" s="2" t="s">
        <v>704</v>
      </c>
      <c r="J32" s="12" t="s">
        <v>1939</v>
      </c>
      <c r="K32" s="12" t="s">
        <v>1949</v>
      </c>
      <c r="L32" s="12">
        <v>15</v>
      </c>
      <c r="M32" s="12">
        <v>19</v>
      </c>
      <c r="N32" s="12">
        <v>35</v>
      </c>
      <c r="O32" s="12">
        <v>60</v>
      </c>
    </row>
    <row r="33" spans="3:14" ht="17.25" customHeight="1">
      <c r="C33" s="2" t="s">
        <v>44</v>
      </c>
      <c r="D33" s="2" t="s">
        <v>2071</v>
      </c>
      <c r="E33" s="2" t="s">
        <v>404</v>
      </c>
      <c r="F33" s="12" t="s">
        <v>962</v>
      </c>
      <c r="G33" t="s">
        <v>70</v>
      </c>
      <c r="H33" s="3" t="s">
        <v>301</v>
      </c>
      <c r="I33" s="2" t="s">
        <v>540</v>
      </c>
      <c r="J33" s="12" t="s">
        <v>1941</v>
      </c>
      <c r="K33" s="9"/>
      <c r="L33" s="4"/>
      <c r="M33" s="4"/>
      <c r="N33" s="4"/>
    </row>
    <row r="34" spans="3:14" ht="17.25" customHeight="1">
      <c r="C34" s="2" t="s">
        <v>404</v>
      </c>
      <c r="D34" s="2" t="s">
        <v>81</v>
      </c>
      <c r="E34" s="2" t="s">
        <v>423</v>
      </c>
      <c r="F34" s="39" t="s">
        <v>102</v>
      </c>
      <c r="G34" t="s">
        <v>2243</v>
      </c>
      <c r="H34" s="2" t="s">
        <v>323</v>
      </c>
      <c r="I34" s="2" t="s">
        <v>103</v>
      </c>
      <c r="J34" s="12" t="s">
        <v>1942</v>
      </c>
      <c r="K34" s="9"/>
      <c r="L34" s="4"/>
      <c r="M34" s="4"/>
      <c r="N34" s="4"/>
    </row>
    <row r="35" spans="3:14" ht="17.25" customHeight="1">
      <c r="C35" s="2" t="s">
        <v>423</v>
      </c>
      <c r="D35" s="2" t="s">
        <v>50</v>
      </c>
      <c r="E35" s="2" t="s">
        <v>2283</v>
      </c>
      <c r="F35" s="39" t="s">
        <v>2239</v>
      </c>
      <c r="G35" t="s">
        <v>51</v>
      </c>
      <c r="H35" s="2" t="s">
        <v>23</v>
      </c>
      <c r="I35" s="2" t="s">
        <v>7</v>
      </c>
      <c r="J35" s="12" t="s">
        <v>1948</v>
      </c>
      <c r="K35" s="9"/>
      <c r="L35" s="4"/>
      <c r="M35" s="4"/>
      <c r="N35" s="4"/>
    </row>
    <row r="36" spans="3:14" ht="17.25" customHeight="1">
      <c r="C36" s="2" t="s">
        <v>922</v>
      </c>
      <c r="D36" s="2" t="s">
        <v>757</v>
      </c>
      <c r="E36" s="2" t="s">
        <v>962</v>
      </c>
      <c r="F36" s="40" t="s">
        <v>937</v>
      </c>
      <c r="G36" t="s">
        <v>996</v>
      </c>
      <c r="H36" s="2" t="s">
        <v>49</v>
      </c>
      <c r="I36" s="2" t="s">
        <v>29</v>
      </c>
      <c r="K36" s="9"/>
      <c r="L36" s="4"/>
      <c r="M36" s="4"/>
      <c r="N36" s="4"/>
    </row>
    <row r="37" spans="3:14" ht="17.25" customHeight="1">
      <c r="C37" s="2" t="s">
        <v>568</v>
      </c>
      <c r="D37" s="2" t="s">
        <v>984</v>
      </c>
      <c r="E37" s="2" t="s">
        <v>958</v>
      </c>
      <c r="F37" s="40" t="s">
        <v>2040</v>
      </c>
      <c r="G37" t="s">
        <v>52</v>
      </c>
      <c r="K37" s="9"/>
      <c r="L37" s="4"/>
      <c r="M37" s="4"/>
      <c r="N37" s="4"/>
    </row>
    <row r="38" spans="3:14" ht="17.25" customHeight="1">
      <c r="C38" s="2" t="s">
        <v>102</v>
      </c>
      <c r="D38" s="2" t="s">
        <v>897</v>
      </c>
      <c r="E38" s="2" t="s">
        <v>102</v>
      </c>
      <c r="F38" s="40" t="s">
        <v>2045</v>
      </c>
      <c r="G38" t="s">
        <v>21</v>
      </c>
      <c r="H38" s="5"/>
      <c r="K38" s="9"/>
      <c r="L38" s="4"/>
      <c r="M38" s="4"/>
      <c r="N38" s="4"/>
    </row>
    <row r="39" spans="3:14" ht="17.25" customHeight="1">
      <c r="C39" s="2" t="s">
        <v>719</v>
      </c>
      <c r="D39" s="2" t="s">
        <v>311</v>
      </c>
      <c r="E39" s="2" t="s">
        <v>956</v>
      </c>
      <c r="F39" s="4"/>
      <c r="G39" t="s">
        <v>28</v>
      </c>
      <c r="K39" s="9"/>
      <c r="L39" s="4"/>
      <c r="M39" s="4"/>
      <c r="N39" s="4"/>
    </row>
    <row r="40" spans="3:14" ht="17.25" customHeight="1">
      <c r="C40" s="2" t="s">
        <v>2239</v>
      </c>
      <c r="D40" s="2" t="s">
        <v>44</v>
      </c>
      <c r="E40" s="2" t="s">
        <v>2239</v>
      </c>
      <c r="K40" s="9"/>
      <c r="L40" s="4"/>
      <c r="M40" s="4"/>
      <c r="N40" s="4"/>
    </row>
    <row r="41" spans="3:14" ht="17.25" customHeight="1">
      <c r="C41" s="2" t="s">
        <v>903</v>
      </c>
      <c r="D41" s="2" t="s">
        <v>2052</v>
      </c>
      <c r="E41" s="2" t="s">
        <v>903</v>
      </c>
      <c r="K41" s="9"/>
      <c r="L41" s="4"/>
      <c r="M41" s="4"/>
      <c r="N41" s="4"/>
    </row>
    <row r="42" spans="3:14" ht="17.25" customHeight="1">
      <c r="C42" s="2" t="s">
        <v>2079</v>
      </c>
      <c r="D42" s="2" t="s">
        <v>404</v>
      </c>
      <c r="E42" s="2" t="s">
        <v>108</v>
      </c>
      <c r="K42" s="9"/>
      <c r="L42" s="4"/>
      <c r="M42" s="4"/>
      <c r="N42" s="4"/>
    </row>
    <row r="43" spans="3:14" ht="17.25" customHeight="1">
      <c r="C43" s="2" t="s">
        <v>126</v>
      </c>
      <c r="D43" s="2" t="s">
        <v>421</v>
      </c>
      <c r="E43" s="34" t="s">
        <v>991</v>
      </c>
      <c r="K43" s="9"/>
    </row>
    <row r="44" spans="3:14" ht="17.25" customHeight="1">
      <c r="C44" s="2" t="s">
        <v>129</v>
      </c>
      <c r="D44" s="2" t="s">
        <v>423</v>
      </c>
      <c r="E44" s="34" t="s">
        <v>957</v>
      </c>
      <c r="K44" s="9"/>
    </row>
    <row r="45" spans="3:14" ht="17.25" customHeight="1">
      <c r="C45" s="2" t="s">
        <v>937</v>
      </c>
      <c r="D45" s="2" t="s">
        <v>988</v>
      </c>
      <c r="E45" s="34" t="s">
        <v>2080</v>
      </c>
      <c r="J45" s="5"/>
      <c r="K45" s="9"/>
    </row>
    <row r="46" spans="3:14" ht="17.25" customHeight="1">
      <c r="C46" s="2" t="s">
        <v>909</v>
      </c>
      <c r="D46" s="2" t="s">
        <v>165</v>
      </c>
      <c r="E46" s="34" t="s">
        <v>985</v>
      </c>
      <c r="H46" s="1"/>
      <c r="I46" s="5"/>
      <c r="J46" s="5"/>
      <c r="K46" s="9"/>
    </row>
    <row r="47" spans="3:14" ht="17.25" customHeight="1">
      <c r="C47" s="2" t="s">
        <v>437</v>
      </c>
      <c r="D47" s="2" t="s">
        <v>131</v>
      </c>
      <c r="E47" s="4"/>
      <c r="H47" s="1"/>
    </row>
    <row r="48" spans="3:14" ht="17.25" customHeight="1">
      <c r="C48" s="2" t="s">
        <v>927</v>
      </c>
      <c r="D48" s="2" t="s">
        <v>102</v>
      </c>
      <c r="H48" s="1"/>
    </row>
    <row r="49" spans="3:25" ht="17.25" customHeight="1">
      <c r="C49" s="2" t="s">
        <v>2693</v>
      </c>
      <c r="D49" s="2" t="s">
        <v>65</v>
      </c>
      <c r="H49" s="1"/>
    </row>
    <row r="50" spans="3:25" ht="17.25" customHeight="1">
      <c r="C50" s="2" t="s">
        <v>953</v>
      </c>
      <c r="D50" s="2" t="s">
        <v>2239</v>
      </c>
      <c r="G50" s="5"/>
      <c r="H50" s="1"/>
    </row>
    <row r="51" spans="3:25" ht="17.25" customHeight="1">
      <c r="C51" s="2" t="s">
        <v>985</v>
      </c>
      <c r="D51" s="2" t="s">
        <v>2079</v>
      </c>
      <c r="H51" s="1"/>
      <c r="N51" s="1"/>
      <c r="O51" s="1"/>
    </row>
    <row r="52" spans="3:25" ht="17.25" customHeight="1">
      <c r="C52" s="2" t="s">
        <v>900</v>
      </c>
      <c r="D52" s="2" t="s">
        <v>660</v>
      </c>
      <c r="H52" s="1"/>
      <c r="L52" s="1"/>
      <c r="M52" s="1"/>
      <c r="N52" s="1"/>
      <c r="O52" s="1"/>
    </row>
    <row r="53" spans="3:25" ht="17.25" customHeight="1">
      <c r="C53" s="34" t="s">
        <v>986</v>
      </c>
      <c r="D53" s="2" t="s">
        <v>866</v>
      </c>
      <c r="H53" s="1"/>
      <c r="J53" s="1"/>
      <c r="L53" s="1"/>
      <c r="M53" s="1"/>
      <c r="N53" s="1"/>
      <c r="O53" s="1"/>
    </row>
    <row r="54" spans="3:25" ht="17.25" customHeight="1">
      <c r="C54" s="4"/>
      <c r="D54" s="2" t="s">
        <v>30</v>
      </c>
      <c r="H54" s="1"/>
      <c r="I54" s="1"/>
      <c r="J54" s="1"/>
      <c r="L54" s="1"/>
      <c r="M54" s="1"/>
      <c r="N54" s="1"/>
      <c r="O54" s="1"/>
      <c r="P54" s="1"/>
      <c r="Q54" s="1"/>
      <c r="R54" s="1"/>
      <c r="S54" s="1"/>
      <c r="T54" s="1"/>
      <c r="U54" s="1"/>
      <c r="V54" s="1"/>
      <c r="W54" s="1"/>
      <c r="X54" s="1"/>
      <c r="Y54" s="1"/>
    </row>
    <row r="55" spans="3:25" ht="17.25" customHeight="1">
      <c r="D55" s="2" t="s">
        <v>909</v>
      </c>
      <c r="H55" s="1"/>
      <c r="I55" s="1"/>
      <c r="J55" s="1"/>
      <c r="K55" s="1"/>
      <c r="L55" s="1"/>
      <c r="M55" s="1"/>
      <c r="N55" s="1"/>
      <c r="O55" s="1"/>
      <c r="P55" s="1"/>
      <c r="Q55" s="1"/>
      <c r="R55" s="1"/>
      <c r="S55" s="1"/>
      <c r="T55" s="1"/>
      <c r="U55" s="1"/>
      <c r="V55" s="1"/>
      <c r="W55" s="1"/>
      <c r="X55" s="1"/>
      <c r="Y55" s="1"/>
    </row>
    <row r="56" spans="3:25" ht="17.25" customHeight="1">
      <c r="D56" s="2" t="s">
        <v>536</v>
      </c>
      <c r="H56" s="1"/>
      <c r="I56" s="1"/>
      <c r="J56" s="1"/>
      <c r="K56" s="1"/>
      <c r="L56" s="1"/>
      <c r="M56" s="1"/>
      <c r="N56" s="1"/>
      <c r="O56" s="1"/>
      <c r="P56" s="1"/>
      <c r="Q56" s="1"/>
      <c r="R56" s="1"/>
      <c r="S56" s="1"/>
      <c r="T56" s="1"/>
      <c r="U56" s="1"/>
      <c r="V56" s="1"/>
      <c r="W56" s="1"/>
      <c r="X56" s="1"/>
      <c r="Y56" s="1"/>
    </row>
    <row r="57" spans="3:25" ht="17.25" customHeight="1">
      <c r="D57" s="2" t="s">
        <v>437</v>
      </c>
      <c r="H57" s="1"/>
      <c r="I57" s="1"/>
      <c r="J57" s="1"/>
      <c r="K57" s="1"/>
      <c r="L57" s="1"/>
      <c r="M57" s="1"/>
      <c r="N57" s="1"/>
      <c r="O57" s="1"/>
      <c r="P57" s="1"/>
      <c r="Q57" s="1"/>
      <c r="R57" s="1"/>
      <c r="S57" s="1"/>
      <c r="T57" s="1"/>
      <c r="U57" s="1"/>
      <c r="V57" s="1"/>
      <c r="W57" s="1"/>
      <c r="X57" s="1"/>
      <c r="Y57" s="1"/>
    </row>
    <row r="58" spans="3:25" ht="17.25" customHeight="1">
      <c r="D58" s="2" t="s">
        <v>74</v>
      </c>
      <c r="G58" s="1"/>
      <c r="H58" s="1"/>
      <c r="I58" s="1"/>
      <c r="J58" s="1"/>
      <c r="K58" s="1"/>
      <c r="L58" s="1"/>
      <c r="M58" s="1"/>
      <c r="N58" s="1"/>
      <c r="O58" s="1"/>
      <c r="P58" s="1"/>
      <c r="Q58" s="1"/>
      <c r="R58" s="1"/>
      <c r="S58" s="1"/>
      <c r="T58" s="1"/>
      <c r="U58" s="1"/>
      <c r="V58" s="1"/>
      <c r="W58" s="1"/>
      <c r="X58" s="1"/>
      <c r="Y58" s="1"/>
    </row>
    <row r="59" spans="3:25" ht="17.25" customHeight="1">
      <c r="D59" s="2" t="s">
        <v>913</v>
      </c>
      <c r="G59" s="1"/>
      <c r="H59" s="1"/>
      <c r="I59" s="1"/>
      <c r="J59" s="1"/>
      <c r="K59" s="1"/>
      <c r="L59" s="1"/>
      <c r="M59" s="1"/>
      <c r="N59" s="1"/>
      <c r="O59" s="1"/>
      <c r="P59" s="1"/>
      <c r="Q59" s="1"/>
      <c r="R59" s="1"/>
      <c r="S59" s="1"/>
      <c r="T59" s="1"/>
      <c r="U59" s="1"/>
      <c r="V59" s="1"/>
      <c r="W59" s="1"/>
      <c r="X59" s="1"/>
      <c r="Y59" s="1"/>
    </row>
    <row r="60" spans="3:25" ht="17.25" customHeight="1">
      <c r="D60" s="2" t="s">
        <v>2070</v>
      </c>
      <c r="G60" s="1"/>
      <c r="H60" s="1"/>
      <c r="I60" s="1"/>
      <c r="J60" s="1"/>
      <c r="K60" s="1"/>
      <c r="L60" s="1"/>
      <c r="M60" s="1"/>
      <c r="N60" s="1"/>
      <c r="O60" s="1"/>
      <c r="P60" s="1"/>
      <c r="Q60" s="1"/>
      <c r="R60" s="1"/>
      <c r="S60" s="1"/>
      <c r="T60" s="1"/>
      <c r="U60" s="1"/>
      <c r="V60" s="1"/>
      <c r="W60" s="1"/>
      <c r="X60" s="1"/>
      <c r="Y60" s="1"/>
    </row>
    <row r="61" spans="3:25" ht="17.25" customHeight="1">
      <c r="D61" s="2" t="s">
        <v>277</v>
      </c>
      <c r="G61" s="1"/>
      <c r="H61" s="1"/>
      <c r="I61" s="1"/>
      <c r="J61" s="1"/>
      <c r="K61" s="1"/>
      <c r="L61" s="1"/>
      <c r="M61" s="1"/>
      <c r="N61" s="1"/>
      <c r="O61" s="1"/>
      <c r="P61" s="1"/>
      <c r="Q61" s="1"/>
      <c r="R61" s="1"/>
      <c r="S61" s="1"/>
      <c r="T61" s="1"/>
      <c r="U61" s="1"/>
      <c r="V61" s="1"/>
      <c r="W61" s="1"/>
      <c r="X61" s="1"/>
      <c r="Y61" s="1"/>
    </row>
    <row r="62" spans="3:25" ht="17.25" customHeight="1">
      <c r="D62" s="2" t="s">
        <v>989</v>
      </c>
      <c r="G62" s="1"/>
      <c r="H62" s="1"/>
      <c r="I62" s="1"/>
      <c r="J62" s="1"/>
      <c r="K62" s="1"/>
      <c r="L62" s="1"/>
      <c r="M62" s="1"/>
      <c r="N62" s="1"/>
      <c r="O62" s="1"/>
      <c r="P62" s="1"/>
      <c r="Q62" s="1"/>
      <c r="R62" s="1"/>
      <c r="S62" s="1"/>
      <c r="T62" s="1"/>
      <c r="U62" s="1"/>
      <c r="V62" s="1"/>
      <c r="W62" s="1"/>
      <c r="X62" s="1"/>
      <c r="Y62" s="1"/>
    </row>
    <row r="63" spans="3:25" ht="17.25" customHeight="1">
      <c r="D63" s="2" t="s">
        <v>560</v>
      </c>
      <c r="F63" s="1"/>
      <c r="G63" s="1"/>
      <c r="H63" s="1"/>
      <c r="I63" s="1"/>
      <c r="J63" s="1"/>
      <c r="K63" s="1"/>
      <c r="L63" s="1"/>
      <c r="M63" s="1"/>
      <c r="N63" s="1"/>
      <c r="O63" s="1"/>
      <c r="P63" s="1"/>
      <c r="Q63" s="1"/>
      <c r="R63" s="1"/>
      <c r="S63" s="1"/>
      <c r="T63" s="1"/>
      <c r="U63" s="1"/>
      <c r="V63" s="1"/>
      <c r="W63" s="1"/>
      <c r="X63" s="1"/>
      <c r="Y63" s="1"/>
    </row>
    <row r="64" spans="3:25" ht="17.25" customHeight="1">
      <c r="D64" s="2" t="s">
        <v>495</v>
      </c>
      <c r="F64" s="1"/>
      <c r="G64" s="1"/>
      <c r="H64" s="1"/>
      <c r="I64" s="1"/>
      <c r="J64" s="1"/>
      <c r="K64" s="1"/>
      <c r="L64" s="1"/>
      <c r="M64" s="1"/>
      <c r="N64" s="1"/>
      <c r="O64" s="1"/>
      <c r="P64" s="1"/>
      <c r="Q64" s="1"/>
      <c r="R64" s="1"/>
      <c r="S64" s="1"/>
      <c r="T64" s="1"/>
      <c r="U64" s="1"/>
      <c r="V64" s="1"/>
      <c r="W64" s="1"/>
      <c r="X64" s="1"/>
      <c r="Y64" s="1"/>
    </row>
    <row r="65" spans="4:25" ht="17.25" customHeight="1">
      <c r="D65" s="2" t="s">
        <v>777</v>
      </c>
      <c r="F65" s="1"/>
      <c r="G65" s="1"/>
      <c r="H65" s="1"/>
      <c r="I65" s="1"/>
      <c r="J65" s="1"/>
      <c r="K65" s="1"/>
      <c r="L65" s="1"/>
      <c r="M65" s="1"/>
      <c r="N65" s="1"/>
      <c r="O65" s="1"/>
      <c r="P65" s="1"/>
      <c r="Q65" s="1"/>
      <c r="R65" s="1"/>
      <c r="S65" s="1"/>
      <c r="T65" s="1"/>
      <c r="U65" s="1"/>
      <c r="V65" s="1"/>
      <c r="W65" s="1"/>
      <c r="X65" s="1"/>
      <c r="Y65" s="1"/>
    </row>
    <row r="66" spans="4:25" ht="17.25" customHeight="1">
      <c r="D66" s="34" t="s">
        <v>435</v>
      </c>
      <c r="F66" s="1"/>
      <c r="G66" s="1"/>
      <c r="H66" s="1"/>
      <c r="I66" s="1"/>
      <c r="J66" s="1"/>
      <c r="K66" s="1"/>
      <c r="L66" s="1"/>
      <c r="M66" s="1"/>
      <c r="N66" s="1"/>
      <c r="O66" s="1"/>
      <c r="P66" s="1"/>
      <c r="Q66" s="1"/>
      <c r="R66" s="1"/>
      <c r="S66" s="1"/>
      <c r="T66" s="1"/>
      <c r="U66" s="1"/>
      <c r="V66" s="1"/>
      <c r="W66" s="1"/>
      <c r="X66" s="1"/>
      <c r="Y66" s="1"/>
    </row>
    <row r="67" spans="4:25" ht="17.25" customHeight="1">
      <c r="D67" s="34" t="s">
        <v>990</v>
      </c>
      <c r="F67" s="1"/>
      <c r="G67" s="1"/>
      <c r="H67" s="1"/>
      <c r="I67" s="1"/>
      <c r="J67" s="1"/>
      <c r="K67" s="1"/>
      <c r="L67" s="1"/>
      <c r="M67" s="1"/>
      <c r="N67" s="1"/>
      <c r="O67" s="1"/>
      <c r="P67" s="1"/>
      <c r="Q67" s="1"/>
      <c r="R67" s="1"/>
      <c r="S67" s="1"/>
      <c r="T67" s="1"/>
      <c r="U67" s="1"/>
      <c r="V67" s="1"/>
      <c r="W67" s="1"/>
      <c r="X67" s="1"/>
      <c r="Y67" s="1"/>
    </row>
    <row r="68" spans="4:25" ht="17.25" customHeight="1">
      <c r="D68" s="34" t="s">
        <v>2457</v>
      </c>
      <c r="F68" s="1"/>
      <c r="G68" s="1"/>
      <c r="H68" s="1"/>
      <c r="I68" s="1"/>
      <c r="J68" s="1"/>
      <c r="K68" s="1"/>
      <c r="L68" s="1"/>
      <c r="M68" s="1"/>
      <c r="N68" s="1"/>
      <c r="O68" s="1"/>
      <c r="P68" s="1"/>
      <c r="Q68" s="1"/>
      <c r="R68" s="1"/>
      <c r="S68" s="1"/>
      <c r="T68" s="1"/>
      <c r="U68" s="1"/>
      <c r="V68" s="1"/>
      <c r="W68" s="1"/>
      <c r="X68" s="1"/>
      <c r="Y68" s="1"/>
    </row>
    <row r="69" spans="4:25" ht="17.25" customHeight="1">
      <c r="D69" s="34" t="s">
        <v>69</v>
      </c>
      <c r="F69" s="1"/>
      <c r="G69" s="1"/>
      <c r="H69" s="1"/>
      <c r="I69" s="1"/>
      <c r="J69" s="1"/>
      <c r="K69" s="1"/>
      <c r="L69" s="1"/>
      <c r="M69" s="1"/>
      <c r="N69" s="1"/>
      <c r="O69" s="1"/>
      <c r="P69" s="1"/>
      <c r="Q69" s="1"/>
      <c r="R69" s="1"/>
      <c r="S69" s="1"/>
      <c r="T69" s="1"/>
      <c r="U69" s="1"/>
      <c r="V69" s="1"/>
      <c r="W69" s="1"/>
      <c r="X69" s="1"/>
      <c r="Y69" s="1"/>
    </row>
    <row r="70" spans="4:25" ht="17.25" customHeight="1">
      <c r="D70" s="34" t="s">
        <v>986</v>
      </c>
      <c r="F70" s="1"/>
      <c r="G70" s="1"/>
      <c r="H70" s="1"/>
      <c r="I70" s="1"/>
      <c r="J70" s="1"/>
      <c r="K70" s="1"/>
      <c r="L70" s="1"/>
      <c r="M70" s="1"/>
      <c r="N70" s="1"/>
      <c r="O70" s="1"/>
      <c r="P70" s="1"/>
      <c r="Q70" s="1"/>
      <c r="R70" s="1"/>
      <c r="S70" s="1"/>
      <c r="T70" s="1"/>
      <c r="U70" s="1"/>
      <c r="V70" s="1"/>
      <c r="W70" s="1"/>
      <c r="X70" s="1"/>
      <c r="Y70" s="1"/>
    </row>
    <row r="71" spans="4:25" ht="17.25" customHeight="1">
      <c r="D71" s="34" t="s">
        <v>375</v>
      </c>
      <c r="F71" s="1"/>
      <c r="G71" s="1"/>
      <c r="H71" s="1"/>
      <c r="I71" s="1"/>
      <c r="J71" s="1"/>
      <c r="K71" s="1"/>
      <c r="L71" s="1"/>
      <c r="M71" s="1"/>
      <c r="N71" s="1"/>
      <c r="O71" s="1"/>
      <c r="P71" s="1"/>
      <c r="Q71" s="1"/>
      <c r="R71" s="1"/>
      <c r="S71" s="1"/>
      <c r="T71" s="1"/>
      <c r="U71" s="1"/>
      <c r="V71" s="1"/>
      <c r="W71" s="1"/>
      <c r="X71" s="1"/>
      <c r="Y71" s="1"/>
    </row>
    <row r="72" spans="4:25" ht="17.25" customHeight="1">
      <c r="D72" s="34" t="s">
        <v>173</v>
      </c>
      <c r="F72" s="1"/>
      <c r="G72" s="1"/>
      <c r="H72" s="1"/>
      <c r="I72" s="1"/>
      <c r="J72" s="1"/>
      <c r="K72" s="1"/>
      <c r="L72" s="1"/>
      <c r="M72" s="1"/>
      <c r="N72" s="1"/>
      <c r="O72" s="1"/>
      <c r="P72" s="1"/>
      <c r="Q72" s="1"/>
      <c r="R72" s="1"/>
      <c r="S72" s="1"/>
      <c r="T72" s="1"/>
      <c r="U72" s="1"/>
      <c r="V72" s="1"/>
      <c r="W72" s="1"/>
      <c r="X72" s="1"/>
      <c r="Y72" s="1"/>
    </row>
    <row r="73" spans="4:25" ht="17.25" customHeight="1">
      <c r="D73" s="4"/>
      <c r="F73" s="1"/>
      <c r="G73" s="1"/>
      <c r="H73" s="1"/>
      <c r="I73" s="1"/>
      <c r="J73" s="1"/>
      <c r="K73" s="1"/>
      <c r="L73" s="1"/>
      <c r="M73" s="1"/>
      <c r="N73" s="1"/>
      <c r="O73" s="1"/>
      <c r="P73" s="1"/>
      <c r="Q73" s="1"/>
      <c r="R73" s="1"/>
      <c r="S73" s="1"/>
      <c r="T73" s="1"/>
      <c r="U73" s="1"/>
      <c r="V73" s="1"/>
      <c r="W73" s="1"/>
      <c r="X73" s="1"/>
      <c r="Y73" s="1"/>
    </row>
    <row r="74" spans="4:25" ht="17.25" customHeight="1">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row>
    <row r="89" spans="6:25" ht="17.25" customHeight="1">
      <c r="F89" s="1"/>
    </row>
    <row r="90" spans="6:25" ht="17.25" customHeight="1">
      <c r="F90" s="1"/>
    </row>
    <row r="91" spans="6:25" ht="17.25" customHeight="1">
      <c r="F91" s="1"/>
    </row>
    <row r="92" spans="6:25" ht="17.25" customHeight="1">
      <c r="F92" s="1"/>
    </row>
  </sheetData>
  <dataConsolidate/>
  <mergeCells count="24">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 ref="Q2:R2"/>
    <mergeCell ref="Q3:R7"/>
    <mergeCell ref="Q10:R10"/>
    <mergeCell ref="Q12:R12"/>
    <mergeCell ref="Q13:R13"/>
    <mergeCell ref="Q11:R11"/>
    <mergeCell ref="Q8:R8"/>
    <mergeCell ref="Q9:R9"/>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election activeCell="A2" sqref="A2"/>
    </sheetView>
  </sheetViews>
  <sheetFormatPr defaultColWidth="15.875" defaultRowHeight="20.100000000000001" customHeight="1"/>
  <cols>
    <col min="1" max="1" width="8.25" style="32" customWidth="1"/>
    <col min="2" max="2" width="20.5" style="32" customWidth="1"/>
    <col min="3" max="3" width="64.375" style="32" customWidth="1"/>
    <col min="4" max="4" width="37.25" style="32" customWidth="1"/>
    <col min="5" max="7" width="15.875" style="32"/>
    <col min="8" max="8" width="16.625" style="33" customWidth="1"/>
    <col min="9" max="16384" width="15.875" style="32"/>
  </cols>
  <sheetData>
    <row r="1" spans="1:8" s="34" customFormat="1" ht="30" customHeight="1">
      <c r="A1" s="36" t="s">
        <v>983</v>
      </c>
      <c r="B1" s="36" t="s">
        <v>1964</v>
      </c>
      <c r="C1" s="36" t="s">
        <v>0</v>
      </c>
      <c r="D1" s="36" t="s">
        <v>2</v>
      </c>
      <c r="E1" s="36" t="s">
        <v>1965</v>
      </c>
      <c r="F1" s="36" t="s">
        <v>1936</v>
      </c>
      <c r="G1" s="36" t="s">
        <v>1966</v>
      </c>
      <c r="H1" s="37" t="s">
        <v>1967</v>
      </c>
    </row>
    <row r="2" spans="1:8" ht="14.25">
      <c r="A2" s="38"/>
      <c r="B2" s="38"/>
      <c r="C2" s="35"/>
      <c r="D2" s="35"/>
    </row>
    <row r="3" spans="1:8" ht="20.100000000000001" customHeight="1">
      <c r="A3" s="38"/>
      <c r="B3" s="38"/>
      <c r="C3" s="35"/>
      <c r="D3" s="35"/>
    </row>
    <row r="4" spans="1:8" ht="20.100000000000001" customHeight="1">
      <c r="A4" s="38"/>
      <c r="B4" s="38"/>
      <c r="C4" s="35"/>
      <c r="D4" s="35"/>
    </row>
    <row r="5" spans="1:8" ht="20.100000000000001" customHeight="1">
      <c r="A5" s="38"/>
      <c r="B5" s="38"/>
      <c r="C5" s="35"/>
      <c r="D5" s="35"/>
    </row>
    <row r="6" spans="1:8" ht="20.100000000000001" customHeight="1">
      <c r="A6" s="38"/>
      <c r="B6" s="38"/>
      <c r="C6" s="35"/>
      <c r="D6" s="35"/>
    </row>
    <row r="7" spans="1:8" ht="20.100000000000001" customHeight="1">
      <c r="A7" s="38"/>
      <c r="B7" s="38"/>
      <c r="C7" s="35"/>
      <c r="D7" s="35"/>
    </row>
    <row r="8" spans="1:8" ht="20.100000000000001" customHeight="1">
      <c r="A8" s="38"/>
      <c r="B8" s="38"/>
      <c r="C8" s="35"/>
      <c r="D8" s="35"/>
    </row>
    <row r="9" spans="1:8" ht="20.100000000000001" customHeight="1">
      <c r="A9" s="38"/>
      <c r="B9" s="38"/>
      <c r="C9" s="35"/>
      <c r="D9" s="35"/>
    </row>
    <row r="10" spans="1:8" ht="20.100000000000001" customHeight="1">
      <c r="A10" s="38"/>
      <c r="B10" s="38"/>
      <c r="C10" s="35"/>
      <c r="D10" s="35"/>
    </row>
    <row r="11" spans="1:8" ht="20.100000000000001" customHeight="1">
      <c r="A11" s="38"/>
      <c r="B11" s="38"/>
      <c r="C11" s="35"/>
      <c r="D11" s="35"/>
    </row>
    <row r="12" spans="1:8" ht="20.100000000000001" customHeight="1">
      <c r="A12" s="38"/>
      <c r="B12" s="38"/>
      <c r="C12" s="35"/>
      <c r="D12" s="35"/>
    </row>
    <row r="13" spans="1:8" ht="20.100000000000001" customHeight="1">
      <c r="A13" s="38"/>
      <c r="B13" s="38"/>
      <c r="C13" s="35"/>
      <c r="D13" s="35"/>
    </row>
    <row r="14" spans="1:8" ht="20.100000000000001" customHeight="1">
      <c r="A14" s="38"/>
      <c r="B14" s="38"/>
      <c r="C14" s="35"/>
      <c r="D14" s="35"/>
    </row>
    <row r="15" spans="1:8" ht="20.100000000000001" customHeight="1">
      <c r="A15" s="38"/>
      <c r="B15" s="38"/>
      <c r="C15" s="35"/>
      <c r="D15" s="35"/>
    </row>
    <row r="16" spans="1:8" ht="20.100000000000001" customHeight="1">
      <c r="A16" s="38"/>
      <c r="B16" s="38"/>
      <c r="C16" s="35"/>
      <c r="D16" s="35"/>
    </row>
    <row r="17" spans="1:4" ht="20.100000000000001" customHeight="1">
      <c r="A17" s="38"/>
      <c r="B17" s="38"/>
      <c r="C17" s="35"/>
      <c r="D17" s="35"/>
    </row>
    <row r="18" spans="1:4" ht="20.100000000000001" customHeight="1">
      <c r="C18" s="35"/>
      <c r="D18" s="35"/>
    </row>
    <row r="19" spans="1:4" ht="20.100000000000001" customHeight="1">
      <c r="C19" s="35"/>
      <c r="D19" s="35"/>
    </row>
    <row r="20" spans="1:4" ht="20.100000000000001" customHeight="1">
      <c r="C20" s="35"/>
      <c r="D20" s="35"/>
    </row>
    <row r="21" spans="1:4" ht="20.100000000000001" customHeight="1">
      <c r="C21" s="35"/>
      <c r="D21" s="35"/>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topLeftCell="A18" workbookViewId="0">
      <selection activeCell="C36" sqref="C36"/>
    </sheetView>
  </sheetViews>
  <sheetFormatPr defaultColWidth="15.875" defaultRowHeight="20.100000000000001" customHeight="1"/>
  <cols>
    <col min="1" max="1" width="8.25" style="32" customWidth="1"/>
    <col min="2" max="2" width="20.5" style="32" customWidth="1"/>
    <col min="3" max="3" width="79.625" style="32" customWidth="1"/>
    <col min="4" max="16384" width="15.875" style="32"/>
  </cols>
  <sheetData>
    <row r="1" spans="1:3" s="34" customFormat="1" ht="30" customHeight="1">
      <c r="A1" s="36" t="s">
        <v>983</v>
      </c>
      <c r="B1" s="36" t="s">
        <v>1964</v>
      </c>
      <c r="C1" s="36" t="s">
        <v>2</v>
      </c>
    </row>
    <row r="2" spans="1:3" ht="20.100000000000001" customHeight="1">
      <c r="A2" s="38"/>
      <c r="B2" s="38"/>
      <c r="C2" s="35"/>
    </row>
    <row r="3" spans="1:3" ht="20.100000000000001" customHeight="1">
      <c r="A3" s="38"/>
      <c r="B3" s="38"/>
      <c r="C3" s="35"/>
    </row>
    <row r="4" spans="1:3" ht="20.100000000000001" customHeight="1">
      <c r="A4" s="38"/>
      <c r="B4" s="38"/>
      <c r="C4" s="35"/>
    </row>
    <row r="5" spans="1:3" ht="20.100000000000001" customHeight="1">
      <c r="A5" s="38"/>
      <c r="B5" s="38"/>
      <c r="C5" s="35"/>
    </row>
    <row r="6" spans="1:3" ht="20.100000000000001" customHeight="1">
      <c r="A6" s="38"/>
      <c r="B6" s="38"/>
      <c r="C6" s="35"/>
    </row>
    <row r="7" spans="1:3" ht="20.100000000000001" customHeight="1">
      <c r="A7" s="38"/>
      <c r="B7" s="38"/>
      <c r="C7" s="35"/>
    </row>
    <row r="8" spans="1:3" ht="20.100000000000001" customHeight="1">
      <c r="A8" s="38"/>
      <c r="B8" s="38"/>
      <c r="C8" s="35"/>
    </row>
    <row r="9" spans="1:3" ht="20.100000000000001" customHeight="1">
      <c r="A9" s="38"/>
      <c r="B9" s="38"/>
      <c r="C9" s="35"/>
    </row>
    <row r="10" spans="1:3" ht="20.100000000000001" customHeight="1">
      <c r="A10" s="38"/>
      <c r="B10" s="38"/>
      <c r="C10" s="35"/>
    </row>
    <row r="11" spans="1:3" ht="20.100000000000001" customHeight="1">
      <c r="A11" s="38"/>
      <c r="B11" s="38"/>
      <c r="C11" s="35"/>
    </row>
    <row r="12" spans="1:3" ht="20.100000000000001" customHeight="1">
      <c r="A12" s="38"/>
      <c r="B12" s="38"/>
      <c r="C12" s="35"/>
    </row>
    <row r="13" spans="1:3" ht="20.100000000000001" customHeight="1">
      <c r="A13" s="38"/>
      <c r="B13" s="38"/>
      <c r="C13" s="35"/>
    </row>
    <row r="14" spans="1:3" ht="20.100000000000001" customHeight="1">
      <c r="A14" s="38"/>
      <c r="B14" s="38"/>
      <c r="C14" s="35"/>
    </row>
    <row r="15" spans="1:3" ht="20.100000000000001" customHeight="1">
      <c r="A15" s="38"/>
      <c r="B15" s="38"/>
      <c r="C15" s="35"/>
    </row>
    <row r="16" spans="1:3" ht="20.100000000000001" customHeight="1">
      <c r="A16" s="38"/>
      <c r="B16" s="38"/>
      <c r="C16" s="35"/>
    </row>
    <row r="17" spans="1:3" ht="20.100000000000001" customHeight="1">
      <c r="A17" s="38"/>
      <c r="B17" s="38"/>
      <c r="C17" s="35"/>
    </row>
    <row r="18" spans="1:3" ht="20.100000000000001" customHeight="1">
      <c r="A18" s="38"/>
      <c r="B18" s="38"/>
      <c r="C18" s="35"/>
    </row>
    <row r="19" spans="1:3" ht="20.100000000000001" customHeight="1">
      <c r="C19" s="35"/>
    </row>
    <row r="20" spans="1:3" ht="20.100000000000001" customHeight="1">
      <c r="C20" s="35"/>
    </row>
    <row r="21" spans="1:3" ht="20.100000000000001" customHeight="1">
      <c r="C21" s="35"/>
    </row>
    <row r="22" spans="1:3" ht="20.100000000000001" customHeight="1">
      <c r="C22" s="3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zoomScaleNormal="100" workbookViewId="0">
      <selection activeCell="A3" sqref="A3:XFD40"/>
    </sheetView>
  </sheetViews>
  <sheetFormatPr defaultRowHeight="15.95" customHeight="1"/>
  <cols>
    <col min="1" max="1" width="3.875" style="42" customWidth="1"/>
    <col min="2" max="2" width="9.625" style="42" customWidth="1"/>
    <col min="3" max="3" width="13" style="42" customWidth="1"/>
    <col min="4" max="4" width="32.125" style="42" customWidth="1"/>
    <col min="5" max="5" width="11.875" style="42" customWidth="1"/>
    <col min="6" max="6" width="19.875" style="42" customWidth="1"/>
    <col min="7" max="7" width="14.25" style="42" customWidth="1"/>
    <col min="8" max="8" width="12" style="42" customWidth="1"/>
    <col min="9" max="16384" width="9" style="42"/>
  </cols>
  <sheetData>
    <row r="1" spans="1:8" ht="68.25" customHeight="1">
      <c r="A1" s="179" t="s">
        <v>3427</v>
      </c>
      <c r="B1" s="179"/>
      <c r="C1" s="179"/>
      <c r="D1" s="179"/>
      <c r="E1" s="179"/>
      <c r="F1" s="41"/>
    </row>
    <row r="2" spans="1:8" ht="33.75" customHeight="1">
      <c r="A2" s="34" t="s">
        <v>1994</v>
      </c>
      <c r="B2" s="34" t="s">
        <v>979</v>
      </c>
      <c r="C2" s="34" t="s">
        <v>1018</v>
      </c>
      <c r="D2" s="34" t="s">
        <v>0</v>
      </c>
      <c r="E2" s="34" t="s">
        <v>1995</v>
      </c>
      <c r="F2" s="34" t="s">
        <v>1936</v>
      </c>
      <c r="G2" s="34" t="s">
        <v>1993</v>
      </c>
      <c r="H2" s="34" t="s">
        <v>1996</v>
      </c>
    </row>
    <row r="3" spans="1:8" ht="15.95" customHeight="1">
      <c r="A3" s="43"/>
      <c r="B3" s="43"/>
      <c r="C3" s="43"/>
      <c r="D3" s="62"/>
      <c r="E3" s="44"/>
      <c r="F3" s="43"/>
      <c r="G3" s="43"/>
      <c r="H3" s="44"/>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Intro Checker</vt:lpstr>
      <vt:lpstr>RTA Manager</vt:lpstr>
      <vt:lpstr>Settings</vt:lpstr>
      <vt:lpstr>RTAimport</vt:lpstr>
      <vt:lpstr>PriorityLoad</vt:lpstr>
      <vt:lpstr>Report</vt:lpstr>
      <vt:lpstr>aisHide</vt:lpstr>
      <vt:lpstr>ATTRclass</vt:lpstr>
      <vt:lpstr>cFilt</vt:lpstr>
      <vt:lpstr>deptHide</vt:lpstr>
      <vt:lpstr>DIcode</vt:lpstr>
      <vt:lpstr>DIgroup</vt:lpstr>
      <vt:lpstr>DIgroupDelim</vt:lpstr>
      <vt:lpstr>DIlab</vt:lpstr>
      <vt:lpstr>DIstate</vt:lpstr>
      <vt:lpstr>DItype</vt:lpstr>
      <vt:lpstr>FCcode</vt:lpstr>
      <vt:lpstr>FCgroup</vt:lpstr>
      <vt:lpstr>FCgroupDelim</vt:lpstr>
      <vt:lpstr>FClab</vt:lpstr>
      <vt:lpstr>FCstate</vt:lpstr>
      <vt:lpstr>FCtype</vt:lpstr>
      <vt:lpstr>FullScreenMode</vt:lpstr>
      <vt:lpstr>inProc</vt:lpstr>
      <vt:lpstr>nameQuery</vt:lpstr>
      <vt:lpstr>PMcode</vt:lpstr>
      <vt:lpstr>PMgroup</vt:lpstr>
      <vt:lpstr>PMgroupDelim</vt:lpstr>
      <vt:lpstr>PMlab</vt:lpstr>
      <vt:lpstr>PMstate</vt:lpstr>
      <vt:lpstr>PMThide</vt:lpstr>
      <vt:lpstr>PMtype</vt:lpstr>
      <vt:lpstr>'RTA Manager'!Print_Area</vt:lpstr>
      <vt:lpstr>reportHide</vt:lpstr>
      <vt:lpstr>rtaDatesHide</vt:lpstr>
      <vt:lpstr>schedHide</vt:lpstr>
      <vt:lpstr>Scode</vt:lpstr>
      <vt:lpstr>Sgroup</vt:lpstr>
      <vt:lpstr>SgroupDelim</vt:lpstr>
      <vt:lpstr>sheetViewMode</vt:lpstr>
      <vt:lpstr>showAll</vt:lpstr>
      <vt:lpstr>Slab</vt:lpstr>
      <vt:lpstr>sortCol</vt:lpstr>
      <vt:lpstr>sortOrder</vt:lpstr>
      <vt:lpstr>Sstate</vt:lpstr>
      <vt:lpstr>Stype</vt:lpstr>
      <vt:lpstr>trackRtaHide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2012-01-15T05:16:41Z</cp:lastPrinted>
  <dcterms:created xsi:type="dcterms:W3CDTF">2011-06-24T10:58:18Z</dcterms:created>
  <dcterms:modified xsi:type="dcterms:W3CDTF">2012-01-20T15:49:09Z</dcterms:modified>
</cp:coreProperties>
</file>